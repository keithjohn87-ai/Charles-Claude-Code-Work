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4" autoFilterDateGrouping="1"/>
  </bookViews>
  <sheets>
    <sheet xmlns:r="http://schemas.openxmlformats.org/officeDocument/2006/relationships" name="Instructions" sheetId="1" state="visible" r:id="rId1"/>
    <sheet xmlns:r="http://schemas.openxmlformats.org/officeDocument/2006/relationships" name="Company Info" sheetId="2" state="visible" r:id="rId2"/>
    <sheet xmlns:r="http://schemas.openxmlformats.org/officeDocument/2006/relationships" name="Sub-Vendor COI Log" sheetId="3" state="visible" r:id="rId3"/>
    <sheet xmlns:r="http://schemas.openxmlformats.org/officeDocument/2006/relationships" name="Compliance Summary" sheetId="4" state="visible" r:id="rId4"/>
    <sheet xmlns:r="http://schemas.openxmlformats.org/officeDocument/2006/relationships" name="Dashboard" sheetId="5" state="visible" r:id="rId5"/>
    <sheet xmlns:r="http://schemas.openxmlformats.org/officeDocument/2006/relationships" name="CSI Reference" sheetId="6" state="hidden" r:id="rId6"/>
  </sheets>
  <definedNames>
    <definedName name="CSI_Divisions">'CSI Reference'!$A$4:$A$38</definedName>
    <definedName name="CSI_Table">'CSI Reference'!$A$4:$B$38</definedName>
  </definedNames>
  <calcPr calcId="124519" fullCalcOnLoad="1"/>
</workbook>
</file>

<file path=xl/styles.xml><?xml version="1.0" encoding="utf-8"?>
<styleSheet xmlns="http://schemas.openxmlformats.org/spreadsheetml/2006/main">
  <numFmts count="3">
    <numFmt numFmtId="164" formatCode="yyyy-mm-dd"/>
    <numFmt numFmtId="165" formatCode="_($* #,##0.00_);_($* (#,##0.00);_($* &quot;-&quot;??_);_(@_)"/>
    <numFmt numFmtId="166" formatCode="0.0%"/>
  </numFmts>
  <fonts count="10">
    <font>
      <name val="Calibri"/>
      <family val="2"/>
      <color theme="1"/>
      <sz val="11"/>
      <scheme val="minor"/>
    </font>
    <font>
      <name val="Calibri"/>
      <b val="1"/>
      <color rgb="001E3A5F"/>
      <sz val="22"/>
    </font>
    <font>
      <name val="Calibri"/>
      <i val="1"/>
      <color rgb="00808080"/>
      <sz val="11"/>
    </font>
    <font>
      <name val="Calibri"/>
      <b val="1"/>
      <color rgb="001E3A5F"/>
      <sz val="12"/>
    </font>
    <font>
      <name val="Calibri"/>
      <sz val="11"/>
    </font>
    <font>
      <name val="Calibri"/>
      <i val="1"/>
      <color rgb="00808080"/>
      <sz val="10"/>
    </font>
    <font>
      <name val="Calibri"/>
      <b val="1"/>
      <color rgb="00FFFFFF"/>
      <sz val="11"/>
    </font>
    <font>
      <name val="Calibri"/>
      <b val="1"/>
      <sz val="11"/>
    </font>
    <font>
      <name val="Calibri"/>
      <b val="1"/>
      <color rgb="00FFFFFF"/>
      <sz val="14"/>
    </font>
    <font>
      <name val="Calibri"/>
      <b val="1"/>
      <color rgb="001E3A5F"/>
      <sz val="18"/>
    </font>
  </fonts>
  <fills count="4">
    <fill>
      <patternFill/>
    </fill>
    <fill>
      <patternFill patternType="gray125"/>
    </fill>
    <fill>
      <patternFill patternType="solid">
        <fgColor rgb="00D6E0EC"/>
      </patternFill>
    </fill>
    <fill>
      <patternFill patternType="solid">
        <fgColor rgb="001E3A5F"/>
      </patternFill>
    </fill>
  </fills>
  <borders count="6">
    <border>
      <left/>
      <right/>
      <top/>
      <bottom/>
      <diagonal/>
    </border>
    <border>
      <left style="thin">
        <color rgb="00B0B7BF"/>
      </left>
      <right style="thin">
        <color rgb="00B0B7BF"/>
      </right>
      <top style="thin">
        <color rgb="00B0B7BF"/>
      </top>
      <bottom style="thin">
        <color rgb="00B0B7BF"/>
      </bottom>
    </border>
    <border>
      <left/>
      <right/>
      <top style="thin">
        <color rgb="00B0B7BF"/>
      </top>
      <bottom/>
      <diagonal/>
    </border>
    <border>
      <left/>
      <right style="thin">
        <color rgb="00B0B7BF"/>
      </right>
      <top style="thin">
        <color rgb="00B0B7BF"/>
      </top>
      <bottom/>
      <diagonal/>
    </border>
    <border>
      <left/>
      <right/>
      <top style="thin">
        <color rgb="00B0B7BF"/>
      </top>
      <bottom style="thin">
        <color rgb="00B0B7BF"/>
      </bottom>
      <diagonal/>
    </border>
    <border>
      <left/>
      <right style="thin">
        <color rgb="00B0B7BF"/>
      </right>
      <top style="thin">
        <color rgb="00B0B7BF"/>
      </top>
      <bottom style="thin">
        <color rgb="00B0B7BF"/>
      </bottom>
      <diagonal/>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indent="1"/>
    </xf>
    <xf numFmtId="0" fontId="4" fillId="0" borderId="0" applyAlignment="1" pivotButton="0" quotePrefix="0" xfId="0">
      <alignment vertical="top" wrapText="1"/>
    </xf>
    <xf numFmtId="0" fontId="5" fillId="0" borderId="0" pivotButton="0" quotePrefix="0" xfId="0"/>
    <xf numFmtId="0" fontId="6" fillId="3" borderId="1" applyAlignment="1" pivotButton="0" quotePrefix="0" xfId="0">
      <alignment horizontal="center" vertical="center" wrapText="1"/>
    </xf>
    <xf numFmtId="0" fontId="2" fillId="0" borderId="1" applyAlignment="1" pivotButton="0" quotePrefix="0" xfId="0">
      <alignment vertical="center" wrapText="1"/>
    </xf>
    <xf numFmtId="164" fontId="2" fillId="0" borderId="1" applyAlignment="1" pivotButton="0" quotePrefix="0" xfId="0">
      <alignment vertical="center" wrapText="1"/>
    </xf>
    <xf numFmtId="0" fontId="0" fillId="0" borderId="1" pivotButton="0" quotePrefix="0" xfId="0"/>
    <xf numFmtId="164" fontId="0" fillId="0" borderId="1" pivotButton="0" quotePrefix="0" xfId="0"/>
    <xf numFmtId="0" fontId="0" fillId="0" borderId="1" applyAlignment="1" pivotButton="0" quotePrefix="0" xfId="0">
      <alignment vertical="center" wrapText="1"/>
    </xf>
    <xf numFmtId="0" fontId="0" fillId="0" borderId="1" applyAlignment="1" pivotButton="0" quotePrefix="0" xfId="0">
      <alignment vertical="center"/>
    </xf>
    <xf numFmtId="49" fontId="0" fillId="0" borderId="1" applyAlignment="1" pivotButton="0" quotePrefix="0" xfId="0">
      <alignment vertical="center"/>
    </xf>
    <xf numFmtId="165" fontId="0" fillId="0" borderId="1" applyAlignment="1" pivotButton="0" quotePrefix="0" xfId="0">
      <alignment vertical="center"/>
    </xf>
    <xf numFmtId="164" fontId="0" fillId="0" borderId="1" applyAlignment="1" pivotButton="0" quotePrefix="0" xfId="0">
      <alignment vertical="center"/>
    </xf>
    <xf numFmtId="1" fontId="0" fillId="0" borderId="1" applyAlignment="1" pivotButton="0" quotePrefix="0" xfId="0">
      <alignment vertical="center"/>
    </xf>
    <xf numFmtId="0" fontId="7" fillId="2" borderId="1" applyAlignment="1" pivotButton="0" quotePrefix="0" xfId="0">
      <alignment vertical="center" wrapText="1" indent="1"/>
    </xf>
    <xf numFmtId="1" fontId="7" fillId="0" borderId="1" applyAlignment="1" pivotButton="0" quotePrefix="0" xfId="0">
      <alignment horizontal="center" vertical="center"/>
    </xf>
    <xf numFmtId="0" fontId="7" fillId="0" borderId="1" applyAlignment="1" pivotButton="0" quotePrefix="0" xfId="0">
      <alignment horizontal="center" vertical="center"/>
    </xf>
    <xf numFmtId="0" fontId="8" fillId="3" borderId="0" applyAlignment="1" pivotButton="0" quotePrefix="0" xfId="0">
      <alignment vertical="center" indent="1"/>
    </xf>
    <xf numFmtId="0" fontId="7" fillId="2" borderId="1" applyAlignment="1" pivotButton="0" quotePrefix="0" xfId="0">
      <alignment vertical="center" indent="1"/>
    </xf>
    <xf numFmtId="0" fontId="0" fillId="0" borderId="4" pivotButton="0" quotePrefix="0" xfId="0"/>
    <xf numFmtId="0" fontId="0" fillId="0" borderId="5" pivotButton="0" quotePrefix="0" xfId="0"/>
    <xf numFmtId="166" fontId="9" fillId="0" borderId="1" applyAlignment="1" pivotButton="0" quotePrefix="0" xfId="0">
      <alignment horizontal="right" vertical="center" indent="1"/>
    </xf>
    <xf numFmtId="1" fontId="9" fillId="0" borderId="1" applyAlignment="1" pivotButton="0" quotePrefix="0" xfId="0">
      <alignment horizontal="right" vertical="center" indent="1"/>
    </xf>
    <xf numFmtId="0" fontId="4" fillId="0" borderId="1" applyAlignment="1" pivotButton="0" quotePrefix="0" xfId="0">
      <alignment vertical="center" indent="1"/>
    </xf>
    <xf numFmtId="164" fontId="4" fillId="0" borderId="1" applyAlignment="1" pivotButton="0" quotePrefix="0" xfId="0">
      <alignment vertical="center" indent="1"/>
    </xf>
    <xf numFmtId="1" fontId="4" fillId="0" borderId="1" applyAlignment="1" pivotButton="0" quotePrefix="0" xfId="0">
      <alignment vertical="center" indent="1"/>
    </xf>
    <xf numFmtId="0" fontId="0" fillId="3" borderId="0" pivotButton="0" quotePrefix="0" xfId="0"/>
    <xf numFmtId="1" fontId="0" fillId="0" borderId="1" applyAlignment="1" pivotButton="0" quotePrefix="0" xfId="0">
      <alignment horizontal="center" vertical="center"/>
    </xf>
    <xf numFmtId="49" fontId="4" fillId="0" borderId="1" pivotButton="0" quotePrefix="0" xfId="0"/>
    <xf numFmtId="0" fontId="4" fillId="0" borderId="1" pivotButton="0" quotePrefix="0" xfId="0"/>
  </cellXfs>
  <cellStyles count="1">
    <cellStyle name="Normal" xfId="0" builtinId="0" hidden="0"/>
  </cellStyles>
  <dxfs count="8">
    <dxf>
      <font>
        <b val="1"/>
        <color rgb="009C0006"/>
      </font>
      <fill>
        <patternFill patternType="solid">
          <fgColor rgb="00FFC7CE"/>
        </patternFill>
      </fill>
    </dxf>
    <dxf>
      <font>
        <b val="1"/>
        <color rgb="00006100"/>
      </font>
      <fill>
        <patternFill patternType="solid">
          <fgColor rgb="00C6EFCE"/>
        </patternFill>
      </fill>
    </dxf>
    <dxf>
      <font>
        <b val="1"/>
        <color rgb="009C5700"/>
      </font>
      <fill>
        <patternFill patternType="solid">
          <fgColor rgb="00FFEB9C"/>
        </patternFill>
      </fill>
    </dxf>
    <dxf>
      <font>
        <b val="1"/>
        <color rgb="008A4B00"/>
      </font>
      <fill>
        <patternFill patternType="solid">
          <fgColor rgb="00FFD8A8"/>
        </patternFill>
      </fill>
    </dxf>
    <dxf>
      <font>
        <b val="1"/>
        <color rgb="009C0006"/>
        <sz val="12"/>
      </font>
      <fill>
        <patternFill patternType="solid">
          <fgColor rgb="00FFC7CE"/>
        </patternFill>
      </fill>
    </dxf>
    <dxf>
      <font>
        <b val="1"/>
        <color rgb="00006100"/>
        <sz val="18"/>
      </font>
      <fill>
        <patternFill patternType="solid">
          <fgColor rgb="00C6EFCE"/>
        </patternFill>
      </fill>
    </dxf>
    <dxf>
      <font>
        <b val="1"/>
        <color rgb="009C5700"/>
        <sz val="18"/>
      </font>
      <fill>
        <patternFill patternType="solid">
          <fgColor rgb="00FFEB9C"/>
        </patternFill>
      </fill>
    </dxf>
    <dxf>
      <font>
        <b val="1"/>
        <color rgb="009C0006"/>
        <sz val="18"/>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62"/>
  <sheetViews>
    <sheetView showGridLines="0" workbookViewId="0">
      <selection activeCell="A1" sqref="A1"/>
    </sheetView>
  </sheetViews>
  <sheetFormatPr baseColWidth="8" defaultRowHeight="15"/>
  <cols>
    <col width="4" customWidth="1" min="1" max="1"/>
    <col width="110" customWidth="1" min="2" max="2"/>
  </cols>
  <sheetData>
    <row r="2" ht="32" customHeight="1">
      <c r="B2" s="1" t="inlineStr">
        <is>
          <t>ContrPro - Certificate of Insurance (COI) Tracker</t>
        </is>
      </c>
    </row>
    <row r="3">
      <c r="B3" s="2" t="inlineStr">
        <is>
          <t>The risk management workbook for your subs and vendors. If a COI is expired or missing the right endorsements, YOUR policy is on the hook.</t>
        </is>
      </c>
    </row>
    <row r="5" ht="22" customHeight="1">
      <c r="B5" s="3" t="inlineStr">
        <is>
          <t>Why this workbook is non-negotiable</t>
        </is>
      </c>
    </row>
    <row r="6" ht="48" customHeight="1">
      <c r="B6" s="4" t="inlineStr">
        <is>
          <t>In Texas, Georgia, and most other states, the General Contractor is the 'statutory employer' for any uncovered sub on the jobsite. Translation: if a sub's worker gets hurt and that sub has no current Workers' Comp policy, the GC's WC carrier pays the claim. Premium hikes follow.</t>
        </is>
      </c>
    </row>
    <row r="7" ht="48" customHeight="1">
      <c r="B7" s="4" t="inlineStr">
        <is>
          <t>Same logic for General Liability. An expired sub GL means the sub is operating uninsured. When the OSHA inspector shows up, when a third party gets injured, when property gets damaged - the GC's GL policy backstops the loss. That's a margin-killer on a job you already bid tight.</t>
        </is>
      </c>
    </row>
    <row r="8" ht="32" customHeight="1">
      <c r="B8" s="4" t="inlineStr">
        <is>
          <t>Bottom line: an expired COI on an active sub IS the GC's risk exposure. This workbook is the early-warning system. Red flags here = risk to your business.</t>
        </is>
      </c>
    </row>
    <row r="10" ht="22" customHeight="1">
      <c r="B10" s="3" t="inlineStr">
        <is>
          <t>What to verify on every certificate (the 5-point check)</t>
        </is>
      </c>
    </row>
    <row r="11" ht="32" customHeight="1">
      <c r="B11" s="4" t="inlineStr">
        <is>
          <t>1. Certificate Holder - your company name and address, exactly as on the contract. Not the project name, not the owner. YOU are the certificate holder.</t>
        </is>
      </c>
    </row>
    <row r="12" ht="48" customHeight="1">
      <c r="B12" s="4" t="inlineStr">
        <is>
          <t>2. Additional Insured endorsement - the cert must list YOUR company as an Additional Insured on the sub's GL. Look for endorsement form CG 20 10 (ongoing operations) and CG 20 37 (completed operations). 'Listed in Description of Operations' is not enough - you want the endorsement form.</t>
        </is>
      </c>
    </row>
    <row r="13" ht="32" customHeight="1">
      <c r="B13" s="4" t="inlineStr">
        <is>
          <t>3. Waiver of Subrogation - both GL and WC. Means the sub's carrier waives the right to come after YOU after they pay a claim caused by your shared work. Most prime contracts require this.</t>
        </is>
      </c>
    </row>
    <row r="14" ht="32" customHeight="1">
      <c r="B14" s="4" t="inlineStr">
        <is>
          <t>4. Policy Effective and Expiration Dates - the cert must cover the entire term of the sub's work, including completed operations tail. Today's date must fall between Effective and Expiration.</t>
        </is>
      </c>
    </row>
    <row r="15" ht="32" customHeight="1">
      <c r="B15" s="4" t="inlineStr">
        <is>
          <t>5. Coverage Limits meet the contract minimum - usually $1M per occurrence / $2M aggregate for GL, statutory WC, $1M Auto. Excess/Umbrella per contract.</t>
        </is>
      </c>
    </row>
    <row r="17" ht="22" customHeight="1">
      <c r="B17" s="3" t="inlineStr">
        <is>
          <t>Renewal cadence</t>
        </is>
      </c>
    </row>
    <row r="18" ht="18" customHeight="1">
      <c r="B18" s="4" t="inlineStr">
        <is>
          <t>Most commercial policies are annual. Sub turns over a new cert each year on policy anniversary.</t>
        </is>
      </c>
    </row>
    <row r="19" ht="18" customHeight="1">
      <c r="B19" s="4" t="inlineStr">
        <is>
          <t>Set the 90-day flag (Renew Soon): request the renewal cert from the sub now. Don't wait.</t>
        </is>
      </c>
    </row>
    <row r="20" ht="32" customHeight="1">
      <c r="B20" s="4" t="inlineStr">
        <is>
          <t>30-day flag (Expiring Soon): escalate. Email + phone call. PMs forget; insurance brokers don't always push the cert to you automatically.</t>
        </is>
      </c>
    </row>
    <row r="21" ht="32" customHeight="1">
      <c r="B21" s="4" t="inlineStr">
        <is>
          <t>Day of expiry: if you don't have the renewal cert in hand, the sub stops work. Period. Document the stop-work decision in writing.</t>
        </is>
      </c>
    </row>
    <row r="23" ht="22" customHeight="1">
      <c r="B23" s="3" t="inlineStr">
        <is>
          <t>What to do when a COI expires on an active sub</t>
        </is>
      </c>
    </row>
    <row r="24" ht="32" customHeight="1">
      <c r="B24" s="4" t="inlineStr">
        <is>
          <t>1. Pull the sub from the site that day. Email the sub PM AND your own super: 'Per contract, [Sub Name] cannot be on site without current COI. Stand down until cert received.'</t>
        </is>
      </c>
    </row>
    <row r="25" ht="32" customHeight="1">
      <c r="B25" s="4" t="inlineStr">
        <is>
          <t>2. Issue a written demand for the renewal cert with 48-hour response window. Email + certified mail if you've had problems with this sub before.</t>
        </is>
      </c>
    </row>
    <row r="26" ht="32" customHeight="1">
      <c r="B26" s="4" t="inlineStr">
        <is>
          <t>3. Document the gap in the Notes column of this tracker. If anything happens during the gap, you need a paper trail showing you enforced the requirement.</t>
        </is>
      </c>
    </row>
    <row r="27" ht="18" customHeight="1">
      <c r="B27" s="4" t="inlineStr">
        <is>
          <t>4. Do NOT issue the next pay application until current COI is on file. Pay app + cert go together.</t>
        </is>
      </c>
    </row>
    <row r="29" ht="22" customHeight="1">
      <c r="B29" s="3" t="inlineStr">
        <is>
          <t>Tab-by-tab quick start</t>
        </is>
      </c>
    </row>
    <row r="30" ht="32" customHeight="1">
      <c r="B30" s="4" t="inlineStr">
        <is>
          <t>1. Company Info - fill in YOUR company's GL and WC policy details. Single row. If your own GL or WC is within 30 days of expiry, the cell turns red. Same drill - you owe certs to YOUR clients.</t>
        </is>
      </c>
    </row>
    <row r="31" ht="32" customHeight="1">
      <c r="B31" s="4" t="inlineStr">
        <is>
          <t>2. Sub/Vendor COI Log - one row per sub-coverage combo. A sub with GL, WC, and Auto = three rows. Effective + Expiration dates are required. Status and Days to Expiry calculate automatically.</t>
        </is>
      </c>
    </row>
    <row r="32" ht="18" customHeight="1">
      <c r="B32" s="4" t="inlineStr">
        <is>
          <t>3. Compliance Summary - DO NOT edit. Headline risk counts with traffic lights.</t>
        </is>
      </c>
    </row>
    <row r="33" ht="18" customHeight="1">
      <c r="B33" s="4" t="inlineStr">
        <is>
          <t>4. Dashboard - DO NOT edit. COI Compliance Score, top 5 expiring soonest, coverage breakdown.</t>
        </is>
      </c>
    </row>
    <row r="35" ht="22" customHeight="1">
      <c r="B35" s="3" t="inlineStr">
        <is>
          <t>Color coding cheat sheet</t>
        </is>
      </c>
    </row>
    <row r="36" ht="18" customHeight="1">
      <c r="B36" s="4" t="inlineStr">
        <is>
          <t>Status: green = Current, yellow = Renew Soon, orange = Expiring Soon, RED = EXPIRED.</t>
        </is>
      </c>
    </row>
    <row r="37" ht="18" customHeight="1">
      <c r="B37" s="4" t="inlineStr">
        <is>
          <t>Days to Expiry: red fill anytime &lt; 30 days. Includes negative values (already expired).</t>
        </is>
      </c>
    </row>
    <row r="38" ht="18" customHeight="1">
      <c r="B38" s="4" t="inlineStr">
        <is>
          <t>Additional Insured: red if 'No' - YOUR policy will eat any claim.</t>
        </is>
      </c>
    </row>
    <row r="39" ht="18" customHeight="1">
      <c r="B39" s="4" t="inlineStr">
        <is>
          <t>Waiver of Subrogation: red if 'No' - violates most prime contracts.</t>
        </is>
      </c>
    </row>
    <row r="40" ht="18" customHeight="1">
      <c r="B40" s="4" t="inlineStr">
        <is>
          <t>Risk Exposure panel on Dashboard: any cell red = active risk, deal with it this week.</t>
        </is>
      </c>
    </row>
    <row r="42" ht="22" customHeight="1">
      <c r="B42" s="3" t="inlineStr">
        <is>
          <t>CSI coding rules (must follow)</t>
        </is>
      </c>
    </row>
    <row r="43" ht="18" customHeight="1">
      <c r="B43" s="4" t="inlineStr">
        <is>
          <t>CSI Division: 2-digit text (01-49). Pick from the dropdown - leading zeros preserved.</t>
        </is>
      </c>
    </row>
    <row r="44" ht="18" customHeight="1">
      <c r="B44" s="4" t="inlineStr">
        <is>
          <t>CSI Code: 6-digit space-separated, e.g. 05 12 00 for Structural Steel Framing. Level 3 OK (05 12 13).</t>
        </is>
      </c>
    </row>
    <row r="45" ht="32" customHeight="1">
      <c r="B45" s="4" t="inlineStr">
        <is>
          <t>Division Name auto-fills from a VLOOKUP against CSI Reference. If it shows blank/error, your CSI Division value does not match the reference list - re-pick from the dropdown.</t>
        </is>
      </c>
    </row>
    <row r="47" ht="22" customHeight="1">
      <c r="B47" s="3" t="inlineStr">
        <is>
          <t>Weekly cadence</t>
        </is>
      </c>
    </row>
    <row r="48" ht="18" customHeight="1">
      <c r="B48" s="4" t="inlineStr">
        <is>
          <t>Monday morning: open Dashboard. Anything RED in Risk Exposure panel? That's the week's collection list.</t>
        </is>
      </c>
    </row>
    <row r="49" ht="18" customHeight="1">
      <c r="B49" s="4" t="inlineStr">
        <is>
          <t>Friday afternoon: log new COIs received this week. Update Notes on any renewals in progress.</t>
        </is>
      </c>
    </row>
    <row r="50" ht="18" customHeight="1">
      <c r="B50" s="4" t="inlineStr">
        <is>
          <t>End of month: pull Compliance Summary. Zero EXPIRED, zero missing Additional Insured = clean month.</t>
        </is>
      </c>
    </row>
    <row r="51" ht="18" customHeight="1">
      <c r="B51" s="4" t="inlineStr">
        <is>
          <t>Quarterly: full audit. Confirm every active sub has current GL + WC on file. No exceptions.</t>
        </is>
      </c>
    </row>
    <row r="53" ht="22" customHeight="1">
      <c r="B53" s="3" t="inlineStr">
        <is>
          <t>Tabs in this workbook</t>
        </is>
      </c>
    </row>
    <row r="54" ht="18" customHeight="1">
      <c r="B54" s="4" t="inlineStr">
        <is>
          <t>Instructions  -  this tab</t>
        </is>
      </c>
    </row>
    <row r="55" ht="18" customHeight="1">
      <c r="B55" s="4" t="inlineStr">
        <is>
          <t>Company Info  -  your own GC GL and WC policy details + expiry alerts</t>
        </is>
      </c>
    </row>
    <row r="56" ht="18" customHeight="1">
      <c r="B56" s="4" t="inlineStr">
        <is>
          <t>Sub/Vendor COI Log  -  the main worksheet, CSI-coded with status + risk flags</t>
        </is>
      </c>
    </row>
    <row r="57" ht="18" customHeight="1">
      <c r="B57" s="4" t="inlineStr">
        <is>
          <t>Compliance Summary  -  headline risk counts with traffic lights</t>
        </is>
      </c>
    </row>
    <row r="58" ht="18" customHeight="1">
      <c r="B58" s="4" t="inlineStr">
        <is>
          <t>Dashboard  -  COI Compliance Score, Risk Exposure panel, top 5 expiring soonest</t>
        </is>
      </c>
    </row>
    <row r="59" ht="18" customHeight="1">
      <c r="B59" s="4" t="inlineStr">
        <is>
          <t>CSI Reference  -  canonical division list (hidden - do not edit)</t>
        </is>
      </c>
    </row>
    <row r="62">
      <c r="B62" s="5" t="inlineStr">
        <is>
          <t>ContrPro - built for builders. Questions: support@contrpro.com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
  <sheetViews>
    <sheetView showGridLines="0" workbookViewId="0">
      <pane ySplit="3" topLeftCell="A4" activePane="bottomLeft" state="frozen"/>
      <selection pane="bottomLeft" activeCell="A1" sqref="A1"/>
    </sheetView>
  </sheetViews>
  <sheetFormatPr baseColWidth="8" defaultRowHeight="15"/>
  <cols>
    <col width="32" customWidth="1" min="1" max="1"/>
    <col width="14" customWidth="1" min="2" max="2"/>
    <col width="18" customWidth="1" min="3" max="3"/>
    <col width="18" customWidth="1" min="4" max="4"/>
    <col width="13" customWidth="1" min="5" max="5"/>
    <col width="13" customWidth="1" min="6" max="6"/>
    <col width="18" customWidth="1" min="7" max="7"/>
    <col width="18" customWidth="1" min="8" max="8"/>
    <col width="13" customWidth="1" min="9" max="9"/>
    <col width="13" customWidth="1" min="10" max="10"/>
    <col width="40" customWidth="1" min="11" max="11"/>
  </cols>
  <sheetData>
    <row r="1" ht="30" customHeight="1">
      <c r="A1" s="1" t="inlineStr">
        <is>
          <t>Company Information (Your GC Policies)</t>
        </is>
      </c>
    </row>
    <row r="2">
      <c r="A2" s="5" t="inlineStr">
        <is>
          <t>Single row of metadata for your own company. The 'Expires' cells turn red within 30 days - renew before you find out the hard way.</t>
        </is>
      </c>
    </row>
    <row r="3" ht="32" customHeight="1">
      <c r="A3" s="6" t="inlineStr">
        <is>
          <t>Company Name</t>
        </is>
      </c>
      <c r="B3" s="6" t="inlineStr">
        <is>
          <t>EIN</t>
        </is>
      </c>
      <c r="C3" s="6" t="inlineStr">
        <is>
          <t>GL Carrier</t>
        </is>
      </c>
      <c r="D3" s="6" t="inlineStr">
        <is>
          <t>GL Policy #</t>
        </is>
      </c>
      <c r="E3" s="6" t="inlineStr">
        <is>
          <t>GL Effective</t>
        </is>
      </c>
      <c r="F3" s="6" t="inlineStr">
        <is>
          <t>GL Expires</t>
        </is>
      </c>
      <c r="G3" s="6" t="inlineStr">
        <is>
          <t>WC Carrier</t>
        </is>
      </c>
      <c r="H3" s="6" t="inlineStr">
        <is>
          <t>WC Policy #</t>
        </is>
      </c>
      <c r="I3" s="6" t="inlineStr">
        <is>
          <t>WC Effective</t>
        </is>
      </c>
      <c r="J3" s="6" t="inlineStr">
        <is>
          <t>WC Expires</t>
        </is>
      </c>
      <c r="K3" s="6" t="inlineStr">
        <is>
          <t>Notes</t>
        </is>
      </c>
    </row>
    <row r="4">
      <c r="A4" s="7" t="inlineStr">
        <is>
          <t>EXAMPLE - Your Construction Co LLC</t>
        </is>
      </c>
      <c r="B4" s="7" t="inlineStr">
        <is>
          <t>12-3456789</t>
        </is>
      </c>
      <c r="C4" s="7" t="inlineStr">
        <is>
          <t>Travelers</t>
        </is>
      </c>
      <c r="D4" s="7" t="inlineStr">
        <is>
          <t>GL-CO-2241-08</t>
        </is>
      </c>
      <c r="E4" s="8" t="inlineStr">
        <is>
          <t>2025-10-01</t>
        </is>
      </c>
      <c r="F4" s="8" t="inlineStr">
        <is>
          <t>2026-10-01</t>
        </is>
      </c>
      <c r="G4" s="7" t="inlineStr">
        <is>
          <t>Texas Mutual</t>
        </is>
      </c>
      <c r="H4" s="7" t="inlineStr">
        <is>
          <t>WC-CO-118-99</t>
        </is>
      </c>
      <c r="I4" s="8" t="inlineStr">
        <is>
          <t>2025-06-01</t>
        </is>
      </c>
      <c r="J4" s="8" t="inlineStr">
        <is>
          <t>2026-06-01</t>
        </is>
      </c>
      <c r="K4" s="7" t="inlineStr">
        <is>
          <t>Replace this row with your company's actual policy info.</t>
        </is>
      </c>
    </row>
    <row r="5" ht="22" customHeight="1">
      <c r="A5" s="9" t="n"/>
      <c r="B5" s="9" t="n"/>
      <c r="C5" s="9" t="n"/>
      <c r="D5" s="9" t="n"/>
      <c r="E5" s="10" t="n"/>
      <c r="F5" s="10" t="n"/>
      <c r="G5" s="9" t="n"/>
      <c r="H5" s="9" t="n"/>
      <c r="I5" s="10" t="n"/>
      <c r="J5" s="10" t="n"/>
      <c r="K5" s="9" t="n"/>
    </row>
    <row r="6" ht="22" customHeight="1">
      <c r="A6" s="9" t="n"/>
      <c r="B6" s="9" t="n"/>
      <c r="C6" s="9" t="n"/>
      <c r="D6" s="9" t="n"/>
      <c r="E6" s="10" t="n"/>
      <c r="F6" s="10" t="n"/>
      <c r="G6" s="9" t="n"/>
      <c r="H6" s="9" t="n"/>
      <c r="I6" s="10" t="n"/>
      <c r="J6" s="10" t="n"/>
      <c r="K6" s="9" t="n"/>
    </row>
    <row r="7" ht="22" customHeight="1">
      <c r="A7" s="9" t="n"/>
      <c r="B7" s="9" t="n"/>
      <c r="C7" s="9" t="n"/>
      <c r="D7" s="9" t="n"/>
      <c r="E7" s="10" t="n"/>
      <c r="F7" s="10" t="n"/>
      <c r="G7" s="9" t="n"/>
      <c r="H7" s="9" t="n"/>
      <c r="I7" s="10" t="n"/>
      <c r="J7" s="10" t="n"/>
      <c r="K7" s="9" t="n"/>
    </row>
  </sheetData>
  <mergeCells count="2">
    <mergeCell ref="A2:K2"/>
    <mergeCell ref="A1:K1"/>
  </mergeCells>
  <conditionalFormatting sqref="F4:F7">
    <cfRule type="expression" priority="1" dxfId="0" stopIfTrue="0">
      <formula>AND($F4&lt;&gt;"",$F4-TODAY()&lt;30)</formula>
    </cfRule>
  </conditionalFormatting>
  <conditionalFormatting sqref="J4:J7">
    <cfRule type="expression" priority="2" dxfId="0" stopIfTrue="0">
      <formula>AND($J4&lt;&gt;"",$J4-TODAY()&lt;30)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9"/>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8" customWidth="1" min="1" max="1"/>
    <col width="14" customWidth="1" min="2" max="2"/>
    <col width="11" customWidth="1" min="3" max="3"/>
    <col width="12" customWidth="1" min="4" max="4"/>
    <col width="24" customWidth="1" min="5" max="5"/>
    <col width="18" customWidth="1" min="6" max="6"/>
    <col width="16" customWidth="1" min="7" max="7"/>
    <col width="16" customWidth="1" min="8" max="8"/>
    <col width="16" customWidth="1" min="9" max="9"/>
    <col width="16" customWidth="1" min="10" max="10"/>
    <col width="13" customWidth="1" min="11" max="11"/>
    <col width="13" customWidth="1" min="12" max="12"/>
    <col width="12" customWidth="1" min="13" max="13"/>
    <col width="15" customWidth="1" min="14" max="14"/>
    <col width="14" customWidth="1" min="15" max="15"/>
    <col width="14" customWidth="1" min="16" max="16"/>
    <col width="14" customWidth="1" min="17" max="17"/>
    <col width="24" customWidth="1" min="18" max="18"/>
    <col width="28" customWidth="1" min="19" max="19"/>
    <col width="36" customWidth="1" min="20" max="20"/>
  </cols>
  <sheetData>
    <row r="1" ht="28" customHeight="1">
      <c r="A1" s="1" t="inlineStr">
        <is>
          <t>Sub/Vendor COI Log (CSI MasterFormat)</t>
        </is>
      </c>
    </row>
    <row r="3" ht="32" customHeight="1">
      <c r="A3" s="6" t="inlineStr">
        <is>
          <t>Subcontractor / Vendor Name</t>
        </is>
      </c>
      <c r="B3" s="6" t="inlineStr">
        <is>
          <t>Trade</t>
        </is>
      </c>
      <c r="C3" s="6" t="inlineStr">
        <is>
          <t>CSI Division</t>
        </is>
      </c>
      <c r="D3" s="6" t="inlineStr">
        <is>
          <t>CSI Code</t>
        </is>
      </c>
      <c r="E3" s="6" t="inlineStr">
        <is>
          <t>Division Name</t>
        </is>
      </c>
      <c r="F3" s="6" t="inlineStr">
        <is>
          <t>Insurance Carrier</t>
        </is>
      </c>
      <c r="G3" s="6" t="inlineStr">
        <is>
          <t>Policy Number</t>
        </is>
      </c>
      <c r="H3" s="6" t="inlineStr">
        <is>
          <t>Coverage Type</t>
        </is>
      </c>
      <c r="I3" s="6" t="inlineStr">
        <is>
          <t>Each Occurrence Limit</t>
        </is>
      </c>
      <c r="J3" s="6" t="inlineStr">
        <is>
          <t>General Aggregate Limit</t>
        </is>
      </c>
      <c r="K3" s="6" t="inlineStr">
        <is>
          <t>Effective Date</t>
        </is>
      </c>
      <c r="L3" s="6" t="inlineStr">
        <is>
          <t>Expiration Date</t>
        </is>
      </c>
      <c r="M3" s="6" t="inlineStr">
        <is>
          <t>Days to Expiry</t>
        </is>
      </c>
      <c r="N3" s="6" t="inlineStr">
        <is>
          <t>Status</t>
        </is>
      </c>
      <c r="O3" s="6" t="inlineStr">
        <is>
          <t>Additional Insured?</t>
        </is>
      </c>
      <c r="P3" s="6" t="inlineStr">
        <is>
          <t>Waiver of Subrogation?</t>
        </is>
      </c>
      <c r="Q3" s="6" t="inlineStr">
        <is>
          <t>Certificate Holder Listed?</t>
        </is>
      </c>
      <c r="R3" s="6" t="inlineStr">
        <is>
          <t>Project / Job</t>
        </is>
      </c>
      <c r="S3" s="6" t="inlineStr">
        <is>
          <t>COI Document Path</t>
        </is>
      </c>
      <c r="T3" s="6" t="inlineStr">
        <is>
          <t>Notes</t>
        </is>
      </c>
    </row>
    <row r="4" ht="34" customHeight="1">
      <c r="A4" s="11" t="inlineStr">
        <is>
          <t>Acme Structural Steel LLC</t>
        </is>
      </c>
      <c r="B4" s="12" t="inlineStr">
        <is>
          <t>Structural Steel</t>
        </is>
      </c>
      <c r="C4" s="13" t="inlineStr">
        <is>
          <t>05</t>
        </is>
      </c>
      <c r="D4" s="13" t="inlineStr">
        <is>
          <t>05 12 00</t>
        </is>
      </c>
      <c r="E4" s="11">
        <f>IFERROR(VLOOKUP(C4,CSI_Table,2,FALSE),"")</f>
        <v/>
      </c>
      <c r="F4" s="12" t="inlineStr">
        <is>
          <t>Travelers</t>
        </is>
      </c>
      <c r="G4" s="13" t="inlineStr">
        <is>
          <t>GL-7782341</t>
        </is>
      </c>
      <c r="H4" s="12" t="inlineStr">
        <is>
          <t>GL</t>
        </is>
      </c>
      <c r="I4" s="14" t="n">
        <v>2000000</v>
      </c>
      <c r="J4" s="14" t="n">
        <v>4000000</v>
      </c>
      <c r="K4" s="15" t="inlineStr">
        <is>
          <t>2025-09-01</t>
        </is>
      </c>
      <c r="L4" s="15" t="inlineStr">
        <is>
          <t>2026-09-01</t>
        </is>
      </c>
      <c r="M4" s="16">
        <f>IF(L4="","",L4-TODAY())</f>
        <v/>
      </c>
      <c r="N4" s="12">
        <f>IF(L4="","",IF(M4&lt;0,"EXPIRED",IF(M4&lt;30,"Expiring Soon",IF(M4&lt;90,"Renew Soon","Current"))))</f>
        <v/>
      </c>
      <c r="O4" s="12" t="inlineStr">
        <is>
          <t>Yes</t>
        </is>
      </c>
      <c r="P4" s="12" t="inlineStr">
        <is>
          <t>Yes</t>
        </is>
      </c>
      <c r="Q4" s="12" t="inlineStr">
        <is>
          <t>Yes</t>
        </is>
      </c>
      <c r="R4" s="11" t="inlineStr">
        <is>
          <t>Riverside Office Bldg</t>
        </is>
      </c>
      <c r="S4" s="11" t="inlineStr">
        <is>
          <t>/COIs/2026/Acme_GL.pdf</t>
        </is>
      </c>
      <c r="T4" s="11" t="inlineStr">
        <is>
          <t>Fully compliant. Endorsement CG 20 10 + CG 20 37 on file.</t>
        </is>
      </c>
    </row>
    <row r="5" ht="34" customHeight="1">
      <c r="A5" s="11" t="inlineStr">
        <is>
          <t>Acme Structural Steel LLC</t>
        </is>
      </c>
      <c r="B5" s="12" t="inlineStr">
        <is>
          <t>Structural Steel</t>
        </is>
      </c>
      <c r="C5" s="13" t="inlineStr">
        <is>
          <t>05</t>
        </is>
      </c>
      <c r="D5" s="13" t="inlineStr">
        <is>
          <t>05 12 00</t>
        </is>
      </c>
      <c r="E5" s="11">
        <f>IFERROR(VLOOKUP(C5,CSI_Table,2,FALSE),"")</f>
        <v/>
      </c>
      <c r="F5" s="12" t="inlineStr">
        <is>
          <t>Texas Mutual</t>
        </is>
      </c>
      <c r="G5" s="13" t="inlineStr">
        <is>
          <t>WC-118-44-2210</t>
        </is>
      </c>
      <c r="H5" s="12" t="inlineStr">
        <is>
          <t>WC</t>
        </is>
      </c>
      <c r="I5" s="14" t="n">
        <v>1000000</v>
      </c>
      <c r="J5" s="14" t="n">
        <v>1000000</v>
      </c>
      <c r="K5" s="15" t="inlineStr">
        <is>
          <t>2025-09-01</t>
        </is>
      </c>
      <c r="L5" s="15" t="inlineStr">
        <is>
          <t>2026-09-01</t>
        </is>
      </c>
      <c r="M5" s="16">
        <f>IF(L5="","",L5-TODAY())</f>
        <v/>
      </c>
      <c r="N5" s="12">
        <f>IF(L5="","",IF(M5&lt;0,"EXPIRED",IF(M5&lt;30,"Expiring Soon",IF(M5&lt;90,"Renew Soon","Current"))))</f>
        <v/>
      </c>
      <c r="O5" s="12" t="inlineStr">
        <is>
          <t>N/A</t>
        </is>
      </c>
      <c r="P5" s="12" t="inlineStr">
        <is>
          <t>Yes</t>
        </is>
      </c>
      <c r="Q5" s="12" t="inlineStr">
        <is>
          <t>Yes</t>
        </is>
      </c>
      <c r="R5" s="11" t="inlineStr">
        <is>
          <t>Riverside Office Bldg</t>
        </is>
      </c>
      <c r="S5" s="11" t="inlineStr">
        <is>
          <t>/COIs/2026/Acme_WC.pdf</t>
        </is>
      </c>
      <c r="T5" s="11" t="inlineStr">
        <is>
          <t>WC compliant. State of Texas form. Stat employer risk = covered.</t>
        </is>
      </c>
    </row>
    <row r="6" ht="34" customHeight="1">
      <c r="A6" s="11" t="inlineStr">
        <is>
          <t>Northstar HVAC Inc</t>
        </is>
      </c>
      <c r="B6" s="12" t="inlineStr">
        <is>
          <t>Mechanical</t>
        </is>
      </c>
      <c r="C6" s="13" t="inlineStr">
        <is>
          <t>23</t>
        </is>
      </c>
      <c r="D6" s="13" t="inlineStr">
        <is>
          <t>23 30 00</t>
        </is>
      </c>
      <c r="E6" s="11">
        <f>IFERROR(VLOOKUP(C6,CSI_Table,2,FALSE),"")</f>
        <v/>
      </c>
      <c r="F6" s="12" t="inlineStr">
        <is>
          <t>The Hartford</t>
        </is>
      </c>
      <c r="G6" s="13" t="inlineStr">
        <is>
          <t>GL-2298-1144</t>
        </is>
      </c>
      <c r="H6" s="12" t="inlineStr">
        <is>
          <t>GL</t>
        </is>
      </c>
      <c r="I6" s="14" t="n">
        <v>1000000</v>
      </c>
      <c r="J6" s="14" t="n">
        <v>2000000</v>
      </c>
      <c r="K6" s="15" t="inlineStr">
        <is>
          <t>2025-05-25</t>
        </is>
      </c>
      <c r="L6" s="15" t="inlineStr">
        <is>
          <t>2026-05-25</t>
        </is>
      </c>
      <c r="M6" s="16">
        <f>IF(L6="","",L6-TODAY())</f>
        <v/>
      </c>
      <c r="N6" s="12">
        <f>IF(L6="","",IF(M6&lt;0,"EXPIRED",IF(M6&lt;30,"Expiring Soon",IF(M6&lt;90,"Renew Soon","Current"))))</f>
        <v/>
      </c>
      <c r="O6" s="12" t="inlineStr">
        <is>
          <t>Yes</t>
        </is>
      </c>
      <c r="P6" s="12" t="inlineStr">
        <is>
          <t>Yes</t>
        </is>
      </c>
      <c r="Q6" s="12" t="inlineStr">
        <is>
          <t>Yes</t>
        </is>
      </c>
      <c r="R6" s="11" t="inlineStr">
        <is>
          <t>Pinnacle Tower</t>
        </is>
      </c>
      <c r="S6" s="11" t="inlineStr">
        <is>
          <t>/COIs/2026/Northstar_GL.pdf</t>
        </is>
      </c>
      <c r="T6" s="11" t="inlineStr">
        <is>
          <t>12 days to expiry. Renewal cert requested 2026-04-25 - follow up.</t>
        </is>
      </c>
    </row>
    <row r="7" ht="34" customHeight="1">
      <c r="A7" s="11" t="inlineStr">
        <is>
          <t>Bayside Electric LLC</t>
        </is>
      </c>
      <c r="B7" s="12" t="inlineStr">
        <is>
          <t>Electrical</t>
        </is>
      </c>
      <c r="C7" s="13" t="inlineStr">
        <is>
          <t>26</t>
        </is>
      </c>
      <c r="D7" s="13" t="inlineStr">
        <is>
          <t>26 50 00</t>
        </is>
      </c>
      <c r="E7" s="11">
        <f>IFERROR(VLOOKUP(C7,CSI_Table,2,FALSE),"")</f>
        <v/>
      </c>
      <c r="F7" s="12" t="inlineStr">
        <is>
          <t>Liberty Mutual</t>
        </is>
      </c>
      <c r="G7" s="13" t="inlineStr">
        <is>
          <t>GL-441-9982</t>
        </is>
      </c>
      <c r="H7" s="12" t="inlineStr">
        <is>
          <t>GL</t>
        </is>
      </c>
      <c r="I7" s="14" t="n">
        <v>1000000</v>
      </c>
      <c r="J7" s="14" t="n">
        <v>2000000</v>
      </c>
      <c r="K7" s="15" t="inlineStr">
        <is>
          <t>2025-03-15</t>
        </is>
      </c>
      <c r="L7" s="15" t="inlineStr">
        <is>
          <t>2026-03-15</t>
        </is>
      </c>
      <c r="M7" s="16">
        <f>IF(L7="","",L7-TODAY())</f>
        <v/>
      </c>
      <c r="N7" s="12">
        <f>IF(L7="","",IF(M7&lt;0,"EXPIRED",IF(M7&lt;30,"Expiring Soon",IF(M7&lt;90,"Renew Soon","Current"))))</f>
        <v/>
      </c>
      <c r="O7" s="12" t="inlineStr">
        <is>
          <t>Yes</t>
        </is>
      </c>
      <c r="P7" s="12" t="inlineStr">
        <is>
          <t>Yes</t>
        </is>
      </c>
      <c r="Q7" s="12" t="inlineStr">
        <is>
          <t>Yes</t>
        </is>
      </c>
      <c r="R7" s="11" t="inlineStr">
        <is>
          <t>Heartland Industrial</t>
        </is>
      </c>
      <c r="S7" s="11" t="inlineStr">
        <is>
          <t>/COIs/2026/Bayside_GL_EXPIRED.pdf</t>
        </is>
      </c>
      <c r="T7" s="11" t="inlineStr">
        <is>
          <t>EXPIRED 59 days ago. PULL FROM SITE until renewal received. Statutory employer exposure live.</t>
        </is>
      </c>
    </row>
    <row r="8" ht="34" customHeight="1">
      <c r="A8" s="11" t="inlineStr">
        <is>
          <t>Cypress Plumbing Co</t>
        </is>
      </c>
      <c r="B8" s="12" t="inlineStr">
        <is>
          <t>Plumbing</t>
        </is>
      </c>
      <c r="C8" s="13" t="inlineStr">
        <is>
          <t>22</t>
        </is>
      </c>
      <c r="D8" s="13" t="inlineStr">
        <is>
          <t>22 10 00</t>
        </is>
      </c>
      <c r="E8" s="11">
        <f>IFERROR(VLOOKUP(C8,CSI_Table,2,FALSE),"")</f>
        <v/>
      </c>
      <c r="F8" s="12" t="inlineStr">
        <is>
          <t>Nationwide</t>
        </is>
      </c>
      <c r="G8" s="13" t="inlineStr">
        <is>
          <t>GL-77-2231</t>
        </is>
      </c>
      <c r="H8" s="12" t="inlineStr">
        <is>
          <t>GL</t>
        </is>
      </c>
      <c r="I8" s="14" t="n">
        <v>1000000</v>
      </c>
      <c r="J8" s="14" t="n">
        <v>2000000</v>
      </c>
      <c r="K8" s="15" t="inlineStr">
        <is>
          <t>2026-01-10</t>
        </is>
      </c>
      <c r="L8" s="15" t="inlineStr">
        <is>
          <t>2027-01-10</t>
        </is>
      </c>
      <c r="M8" s="16">
        <f>IF(L8="","",L8-TODAY())</f>
        <v/>
      </c>
      <c r="N8" s="12">
        <f>IF(L8="","",IF(M8&lt;0,"EXPIRED",IF(M8&lt;30,"Expiring Soon",IF(M8&lt;90,"Renew Soon","Current"))))</f>
        <v/>
      </c>
      <c r="O8" s="12" t="inlineStr">
        <is>
          <t>No</t>
        </is>
      </c>
      <c r="P8" s="12" t="inlineStr">
        <is>
          <t>Yes</t>
        </is>
      </c>
      <c r="Q8" s="12" t="inlineStr">
        <is>
          <t>Yes</t>
        </is>
      </c>
      <c r="R8" s="11" t="inlineStr">
        <is>
          <t>Riverside Office Bldg</t>
        </is>
      </c>
      <c r="S8" s="11" t="inlineStr">
        <is>
          <t>/COIs/2026/Cypress_GL.pdf</t>
        </is>
      </c>
      <c r="T8" s="11" t="inlineStr">
        <is>
          <t>GL current but Additional Insured endorsement NOT on cert. Demand CG 20 10 before next pay app.</t>
        </is>
      </c>
    </row>
    <row r="9" ht="34" customHeight="1">
      <c r="A9" s="11" t="inlineStr">
        <is>
          <t>Lone Star Concrete Inc</t>
        </is>
      </c>
      <c r="B9" s="12" t="inlineStr">
        <is>
          <t>General</t>
        </is>
      </c>
      <c r="C9" s="13" t="inlineStr">
        <is>
          <t>03</t>
        </is>
      </c>
      <c r="D9" s="13" t="inlineStr">
        <is>
          <t>03 30 00</t>
        </is>
      </c>
      <c r="E9" s="11">
        <f>IFERROR(VLOOKUP(C9,CSI_Table,2,FALSE),"")</f>
        <v/>
      </c>
      <c r="F9" s="12" t="inlineStr">
        <is>
          <t>CNA</t>
        </is>
      </c>
      <c r="G9" s="13" t="inlineStr">
        <is>
          <t>GL-5589-7711</t>
        </is>
      </c>
      <c r="H9" s="12" t="inlineStr">
        <is>
          <t>GL</t>
        </is>
      </c>
      <c r="I9" s="14" t="n">
        <v>2000000</v>
      </c>
      <c r="J9" s="14" t="n">
        <v>4000000</v>
      </c>
      <c r="K9" s="15" t="inlineStr">
        <is>
          <t>2025-07-27</t>
        </is>
      </c>
      <c r="L9" s="15" t="inlineStr">
        <is>
          <t>2026-07-27</t>
        </is>
      </c>
      <c r="M9" s="16">
        <f>IF(L9="","",L9-TODAY())</f>
        <v/>
      </c>
      <c r="N9" s="12">
        <f>IF(L9="","",IF(M9&lt;0,"EXPIRED",IF(M9&lt;30,"Expiring Soon",IF(M9&lt;90,"Renew Soon","Current"))))</f>
        <v/>
      </c>
      <c r="O9" s="12" t="inlineStr">
        <is>
          <t>Yes</t>
        </is>
      </c>
      <c r="P9" s="12" t="inlineStr">
        <is>
          <t>No</t>
        </is>
      </c>
      <c r="Q9" s="12" t="inlineStr">
        <is>
          <t>Yes</t>
        </is>
      </c>
      <c r="R9" s="11" t="inlineStr">
        <is>
          <t>Apex Industrial</t>
        </is>
      </c>
      <c r="S9" s="11" t="inlineStr">
        <is>
          <t>/COIs/2026/LoneStar_GL.pdf</t>
        </is>
      </c>
      <c r="T9" s="11" t="inlineStr">
        <is>
          <t>Renewal due in 75 days. Waiver of Subrogation MISSING - prime contract requires it. Demand endorsement.</t>
        </is>
      </c>
    </row>
    <row r="10" ht="34" customHeight="1">
      <c r="A10" s="11" t="n"/>
      <c r="B10" s="12" t="n"/>
      <c r="C10" s="13" t="n"/>
      <c r="D10" s="13" t="n"/>
      <c r="E10" s="11">
        <f>IFERROR(VLOOKUP(C10,CSI_Table,2,FALSE),"")</f>
        <v/>
      </c>
      <c r="F10" s="12" t="n"/>
      <c r="G10" s="13" t="n"/>
      <c r="H10" s="12" t="n"/>
      <c r="I10" s="14" t="n"/>
      <c r="J10" s="14" t="n"/>
      <c r="K10" s="15" t="n"/>
      <c r="L10" s="15" t="n"/>
      <c r="M10" s="16">
        <f>IF(L10="","",L10-TODAY())</f>
        <v/>
      </c>
      <c r="N10" s="12">
        <f>IF(L10="","",IF(M10&lt;0,"EXPIRED",IF(M10&lt;30,"Expiring Soon",IF(M10&lt;90,"Renew Soon","Current"))))</f>
        <v/>
      </c>
      <c r="O10" s="12" t="n"/>
      <c r="P10" s="12" t="n"/>
      <c r="Q10" s="12" t="n"/>
      <c r="R10" s="11" t="n"/>
      <c r="S10" s="11" t="n"/>
      <c r="T10" s="11" t="n"/>
    </row>
    <row r="11" ht="34" customHeight="1">
      <c r="A11" s="11" t="n"/>
      <c r="B11" s="12" t="n"/>
      <c r="C11" s="13" t="n"/>
      <c r="D11" s="13" t="n"/>
      <c r="E11" s="11">
        <f>IFERROR(VLOOKUP(C11,CSI_Table,2,FALSE),"")</f>
        <v/>
      </c>
      <c r="F11" s="12" t="n"/>
      <c r="G11" s="13" t="n"/>
      <c r="H11" s="12" t="n"/>
      <c r="I11" s="14" t="n"/>
      <c r="J11" s="14" t="n"/>
      <c r="K11" s="15" t="n"/>
      <c r="L11" s="15" t="n"/>
      <c r="M11" s="16">
        <f>IF(L11="","",L11-TODAY())</f>
        <v/>
      </c>
      <c r="N11" s="12">
        <f>IF(L11="","",IF(M11&lt;0,"EXPIRED",IF(M11&lt;30,"Expiring Soon",IF(M11&lt;90,"Renew Soon","Current"))))</f>
        <v/>
      </c>
      <c r="O11" s="12" t="n"/>
      <c r="P11" s="12" t="n"/>
      <c r="Q11" s="12" t="n"/>
      <c r="R11" s="11" t="n"/>
      <c r="S11" s="11" t="n"/>
      <c r="T11" s="11" t="n"/>
    </row>
    <row r="12" ht="34" customHeight="1">
      <c r="A12" s="11" t="n"/>
      <c r="B12" s="12" t="n"/>
      <c r="C12" s="13" t="n"/>
      <c r="D12" s="13" t="n"/>
      <c r="E12" s="11">
        <f>IFERROR(VLOOKUP(C12,CSI_Table,2,FALSE),"")</f>
        <v/>
      </c>
      <c r="F12" s="12" t="n"/>
      <c r="G12" s="13" t="n"/>
      <c r="H12" s="12" t="n"/>
      <c r="I12" s="14" t="n"/>
      <c r="J12" s="14" t="n"/>
      <c r="K12" s="15" t="n"/>
      <c r="L12" s="15" t="n"/>
      <c r="M12" s="16">
        <f>IF(L12="","",L12-TODAY())</f>
        <v/>
      </c>
      <c r="N12" s="12">
        <f>IF(L12="","",IF(M12&lt;0,"EXPIRED",IF(M12&lt;30,"Expiring Soon",IF(M12&lt;90,"Renew Soon","Current"))))</f>
        <v/>
      </c>
      <c r="O12" s="12" t="n"/>
      <c r="P12" s="12" t="n"/>
      <c r="Q12" s="12" t="n"/>
      <c r="R12" s="11" t="n"/>
      <c r="S12" s="11" t="n"/>
      <c r="T12" s="11" t="n"/>
    </row>
    <row r="13" ht="34" customHeight="1">
      <c r="A13" s="11" t="n"/>
      <c r="B13" s="12" t="n"/>
      <c r="C13" s="13" t="n"/>
      <c r="D13" s="13" t="n"/>
      <c r="E13" s="11">
        <f>IFERROR(VLOOKUP(C13,CSI_Table,2,FALSE),"")</f>
        <v/>
      </c>
      <c r="F13" s="12" t="n"/>
      <c r="G13" s="13" t="n"/>
      <c r="H13" s="12" t="n"/>
      <c r="I13" s="14" t="n"/>
      <c r="J13" s="14" t="n"/>
      <c r="K13" s="15" t="n"/>
      <c r="L13" s="15" t="n"/>
      <c r="M13" s="16">
        <f>IF(L13="","",L13-TODAY())</f>
        <v/>
      </c>
      <c r="N13" s="12">
        <f>IF(L13="","",IF(M13&lt;0,"EXPIRED",IF(M13&lt;30,"Expiring Soon",IF(M13&lt;90,"Renew Soon","Current"))))</f>
        <v/>
      </c>
      <c r="O13" s="12" t="n"/>
      <c r="P13" s="12" t="n"/>
      <c r="Q13" s="12" t="n"/>
      <c r="R13" s="11" t="n"/>
      <c r="S13" s="11" t="n"/>
      <c r="T13" s="11" t="n"/>
    </row>
    <row r="14" ht="34" customHeight="1">
      <c r="A14" s="11" t="n"/>
      <c r="B14" s="12" t="n"/>
      <c r="C14" s="13" t="n"/>
      <c r="D14" s="13" t="n"/>
      <c r="E14" s="11">
        <f>IFERROR(VLOOKUP(C14,CSI_Table,2,FALSE),"")</f>
        <v/>
      </c>
      <c r="F14" s="12" t="n"/>
      <c r="G14" s="13" t="n"/>
      <c r="H14" s="12" t="n"/>
      <c r="I14" s="14" t="n"/>
      <c r="J14" s="14" t="n"/>
      <c r="K14" s="15" t="n"/>
      <c r="L14" s="15" t="n"/>
      <c r="M14" s="16">
        <f>IF(L14="","",L14-TODAY())</f>
        <v/>
      </c>
      <c r="N14" s="12">
        <f>IF(L14="","",IF(M14&lt;0,"EXPIRED",IF(M14&lt;30,"Expiring Soon",IF(M14&lt;90,"Renew Soon","Current"))))</f>
        <v/>
      </c>
      <c r="O14" s="12" t="n"/>
      <c r="P14" s="12" t="n"/>
      <c r="Q14" s="12" t="n"/>
      <c r="R14" s="11" t="n"/>
      <c r="S14" s="11" t="n"/>
      <c r="T14" s="11" t="n"/>
    </row>
    <row r="15" ht="34" customHeight="1">
      <c r="A15" s="11" t="n"/>
      <c r="B15" s="12" t="n"/>
      <c r="C15" s="13" t="n"/>
      <c r="D15" s="13" t="n"/>
      <c r="E15" s="11">
        <f>IFERROR(VLOOKUP(C15,CSI_Table,2,FALSE),"")</f>
        <v/>
      </c>
      <c r="F15" s="12" t="n"/>
      <c r="G15" s="13" t="n"/>
      <c r="H15" s="12" t="n"/>
      <c r="I15" s="14" t="n"/>
      <c r="J15" s="14" t="n"/>
      <c r="K15" s="15" t="n"/>
      <c r="L15" s="15" t="n"/>
      <c r="M15" s="16">
        <f>IF(L15="","",L15-TODAY())</f>
        <v/>
      </c>
      <c r="N15" s="12">
        <f>IF(L15="","",IF(M15&lt;0,"EXPIRED",IF(M15&lt;30,"Expiring Soon",IF(M15&lt;90,"Renew Soon","Current"))))</f>
        <v/>
      </c>
      <c r="O15" s="12" t="n"/>
      <c r="P15" s="12" t="n"/>
      <c r="Q15" s="12" t="n"/>
      <c r="R15" s="11" t="n"/>
      <c r="S15" s="11" t="n"/>
      <c r="T15" s="11" t="n"/>
    </row>
    <row r="16" ht="34" customHeight="1">
      <c r="A16" s="11" t="n"/>
      <c r="B16" s="12" t="n"/>
      <c r="C16" s="13" t="n"/>
      <c r="D16" s="13" t="n"/>
      <c r="E16" s="11">
        <f>IFERROR(VLOOKUP(C16,CSI_Table,2,FALSE),"")</f>
        <v/>
      </c>
      <c r="F16" s="12" t="n"/>
      <c r="G16" s="13" t="n"/>
      <c r="H16" s="12" t="n"/>
      <c r="I16" s="14" t="n"/>
      <c r="J16" s="14" t="n"/>
      <c r="K16" s="15" t="n"/>
      <c r="L16" s="15" t="n"/>
      <c r="M16" s="16">
        <f>IF(L16="","",L16-TODAY())</f>
        <v/>
      </c>
      <c r="N16" s="12">
        <f>IF(L16="","",IF(M16&lt;0,"EXPIRED",IF(M16&lt;30,"Expiring Soon",IF(M16&lt;90,"Renew Soon","Current"))))</f>
        <v/>
      </c>
      <c r="O16" s="12" t="n"/>
      <c r="P16" s="12" t="n"/>
      <c r="Q16" s="12" t="n"/>
      <c r="R16" s="11" t="n"/>
      <c r="S16" s="11" t="n"/>
      <c r="T16" s="11" t="n"/>
    </row>
    <row r="17" ht="34" customHeight="1">
      <c r="A17" s="11" t="n"/>
      <c r="B17" s="12" t="n"/>
      <c r="C17" s="13" t="n"/>
      <c r="D17" s="13" t="n"/>
      <c r="E17" s="11">
        <f>IFERROR(VLOOKUP(C17,CSI_Table,2,FALSE),"")</f>
        <v/>
      </c>
      <c r="F17" s="12" t="n"/>
      <c r="G17" s="13" t="n"/>
      <c r="H17" s="12" t="n"/>
      <c r="I17" s="14" t="n"/>
      <c r="J17" s="14" t="n"/>
      <c r="K17" s="15" t="n"/>
      <c r="L17" s="15" t="n"/>
      <c r="M17" s="16">
        <f>IF(L17="","",L17-TODAY())</f>
        <v/>
      </c>
      <c r="N17" s="12">
        <f>IF(L17="","",IF(M17&lt;0,"EXPIRED",IF(M17&lt;30,"Expiring Soon",IF(M17&lt;90,"Renew Soon","Current"))))</f>
        <v/>
      </c>
      <c r="O17" s="12" t="n"/>
      <c r="P17" s="12" t="n"/>
      <c r="Q17" s="12" t="n"/>
      <c r="R17" s="11" t="n"/>
      <c r="S17" s="11" t="n"/>
      <c r="T17" s="11" t="n"/>
    </row>
    <row r="18" ht="34" customHeight="1">
      <c r="A18" s="11" t="n"/>
      <c r="B18" s="12" t="n"/>
      <c r="C18" s="13" t="n"/>
      <c r="D18" s="13" t="n"/>
      <c r="E18" s="11">
        <f>IFERROR(VLOOKUP(C18,CSI_Table,2,FALSE),"")</f>
        <v/>
      </c>
      <c r="F18" s="12" t="n"/>
      <c r="G18" s="13" t="n"/>
      <c r="H18" s="12" t="n"/>
      <c r="I18" s="14" t="n"/>
      <c r="J18" s="14" t="n"/>
      <c r="K18" s="15" t="n"/>
      <c r="L18" s="15" t="n"/>
      <c r="M18" s="16">
        <f>IF(L18="","",L18-TODAY())</f>
        <v/>
      </c>
      <c r="N18" s="12">
        <f>IF(L18="","",IF(M18&lt;0,"EXPIRED",IF(M18&lt;30,"Expiring Soon",IF(M18&lt;90,"Renew Soon","Current"))))</f>
        <v/>
      </c>
      <c r="O18" s="12" t="n"/>
      <c r="P18" s="12" t="n"/>
      <c r="Q18" s="12" t="n"/>
      <c r="R18" s="11" t="n"/>
      <c r="S18" s="11" t="n"/>
      <c r="T18" s="11" t="n"/>
    </row>
    <row r="19" ht="34" customHeight="1">
      <c r="A19" s="11" t="n"/>
      <c r="B19" s="12" t="n"/>
      <c r="C19" s="13" t="n"/>
      <c r="D19" s="13" t="n"/>
      <c r="E19" s="11">
        <f>IFERROR(VLOOKUP(C19,CSI_Table,2,FALSE),"")</f>
        <v/>
      </c>
      <c r="F19" s="12" t="n"/>
      <c r="G19" s="13" t="n"/>
      <c r="H19" s="12" t="n"/>
      <c r="I19" s="14" t="n"/>
      <c r="J19" s="14" t="n"/>
      <c r="K19" s="15" t="n"/>
      <c r="L19" s="15" t="n"/>
      <c r="M19" s="16">
        <f>IF(L19="","",L19-TODAY())</f>
        <v/>
      </c>
      <c r="N19" s="12">
        <f>IF(L19="","",IF(M19&lt;0,"EXPIRED",IF(M19&lt;30,"Expiring Soon",IF(M19&lt;90,"Renew Soon","Current"))))</f>
        <v/>
      </c>
      <c r="O19" s="12" t="n"/>
      <c r="P19" s="12" t="n"/>
      <c r="Q19" s="12" t="n"/>
      <c r="R19" s="11" t="n"/>
      <c r="S19" s="11" t="n"/>
      <c r="T19" s="11" t="n"/>
    </row>
    <row r="20" ht="34" customHeight="1">
      <c r="A20" s="11" t="n"/>
      <c r="B20" s="12" t="n"/>
      <c r="C20" s="13" t="n"/>
      <c r="D20" s="13" t="n"/>
      <c r="E20" s="11">
        <f>IFERROR(VLOOKUP(C20,CSI_Table,2,FALSE),"")</f>
        <v/>
      </c>
      <c r="F20" s="12" t="n"/>
      <c r="G20" s="13" t="n"/>
      <c r="H20" s="12" t="n"/>
      <c r="I20" s="14" t="n"/>
      <c r="J20" s="14" t="n"/>
      <c r="K20" s="15" t="n"/>
      <c r="L20" s="15" t="n"/>
      <c r="M20" s="16">
        <f>IF(L20="","",L20-TODAY())</f>
        <v/>
      </c>
      <c r="N20" s="12">
        <f>IF(L20="","",IF(M20&lt;0,"EXPIRED",IF(M20&lt;30,"Expiring Soon",IF(M20&lt;90,"Renew Soon","Current"))))</f>
        <v/>
      </c>
      <c r="O20" s="12" t="n"/>
      <c r="P20" s="12" t="n"/>
      <c r="Q20" s="12" t="n"/>
      <c r="R20" s="11" t="n"/>
      <c r="S20" s="11" t="n"/>
      <c r="T20" s="11" t="n"/>
    </row>
    <row r="21" ht="34" customHeight="1">
      <c r="A21" s="11" t="n"/>
      <c r="B21" s="12" t="n"/>
      <c r="C21" s="13" t="n"/>
      <c r="D21" s="13" t="n"/>
      <c r="E21" s="11">
        <f>IFERROR(VLOOKUP(C21,CSI_Table,2,FALSE),"")</f>
        <v/>
      </c>
      <c r="F21" s="12" t="n"/>
      <c r="G21" s="13" t="n"/>
      <c r="H21" s="12" t="n"/>
      <c r="I21" s="14" t="n"/>
      <c r="J21" s="14" t="n"/>
      <c r="K21" s="15" t="n"/>
      <c r="L21" s="15" t="n"/>
      <c r="M21" s="16">
        <f>IF(L21="","",L21-TODAY())</f>
        <v/>
      </c>
      <c r="N21" s="12">
        <f>IF(L21="","",IF(M21&lt;0,"EXPIRED",IF(M21&lt;30,"Expiring Soon",IF(M21&lt;90,"Renew Soon","Current"))))</f>
        <v/>
      </c>
      <c r="O21" s="12" t="n"/>
      <c r="P21" s="12" t="n"/>
      <c r="Q21" s="12" t="n"/>
      <c r="R21" s="11" t="n"/>
      <c r="S21" s="11" t="n"/>
      <c r="T21" s="11" t="n"/>
    </row>
    <row r="22" ht="34" customHeight="1">
      <c r="A22" s="11" t="n"/>
      <c r="B22" s="12" t="n"/>
      <c r="C22" s="13" t="n"/>
      <c r="D22" s="13" t="n"/>
      <c r="E22" s="11">
        <f>IFERROR(VLOOKUP(C22,CSI_Table,2,FALSE),"")</f>
        <v/>
      </c>
      <c r="F22" s="12" t="n"/>
      <c r="G22" s="13" t="n"/>
      <c r="H22" s="12" t="n"/>
      <c r="I22" s="14" t="n"/>
      <c r="J22" s="14" t="n"/>
      <c r="K22" s="15" t="n"/>
      <c r="L22" s="15" t="n"/>
      <c r="M22" s="16">
        <f>IF(L22="","",L22-TODAY())</f>
        <v/>
      </c>
      <c r="N22" s="12">
        <f>IF(L22="","",IF(M22&lt;0,"EXPIRED",IF(M22&lt;30,"Expiring Soon",IF(M22&lt;90,"Renew Soon","Current"))))</f>
        <v/>
      </c>
      <c r="O22" s="12" t="n"/>
      <c r="P22" s="12" t="n"/>
      <c r="Q22" s="12" t="n"/>
      <c r="R22" s="11" t="n"/>
      <c r="S22" s="11" t="n"/>
      <c r="T22" s="11" t="n"/>
    </row>
    <row r="23" ht="34" customHeight="1">
      <c r="A23" s="11" t="n"/>
      <c r="B23" s="12" t="n"/>
      <c r="C23" s="13" t="n"/>
      <c r="D23" s="13" t="n"/>
      <c r="E23" s="11">
        <f>IFERROR(VLOOKUP(C23,CSI_Table,2,FALSE),"")</f>
        <v/>
      </c>
      <c r="F23" s="12" t="n"/>
      <c r="G23" s="13" t="n"/>
      <c r="H23" s="12" t="n"/>
      <c r="I23" s="14" t="n"/>
      <c r="J23" s="14" t="n"/>
      <c r="K23" s="15" t="n"/>
      <c r="L23" s="15" t="n"/>
      <c r="M23" s="16">
        <f>IF(L23="","",L23-TODAY())</f>
        <v/>
      </c>
      <c r="N23" s="12">
        <f>IF(L23="","",IF(M23&lt;0,"EXPIRED",IF(M23&lt;30,"Expiring Soon",IF(M23&lt;90,"Renew Soon","Current"))))</f>
        <v/>
      </c>
      <c r="O23" s="12" t="n"/>
      <c r="P23" s="12" t="n"/>
      <c r="Q23" s="12" t="n"/>
      <c r="R23" s="11" t="n"/>
      <c r="S23" s="11" t="n"/>
      <c r="T23" s="11" t="n"/>
    </row>
    <row r="24" ht="34" customHeight="1">
      <c r="A24" s="11" t="n"/>
      <c r="B24" s="12" t="n"/>
      <c r="C24" s="13" t="n"/>
      <c r="D24" s="13" t="n"/>
      <c r="E24" s="11">
        <f>IFERROR(VLOOKUP(C24,CSI_Table,2,FALSE),"")</f>
        <v/>
      </c>
      <c r="F24" s="12" t="n"/>
      <c r="G24" s="13" t="n"/>
      <c r="H24" s="12" t="n"/>
      <c r="I24" s="14" t="n"/>
      <c r="J24" s="14" t="n"/>
      <c r="K24" s="15" t="n"/>
      <c r="L24" s="15" t="n"/>
      <c r="M24" s="16">
        <f>IF(L24="","",L24-TODAY())</f>
        <v/>
      </c>
      <c r="N24" s="12">
        <f>IF(L24="","",IF(M24&lt;0,"EXPIRED",IF(M24&lt;30,"Expiring Soon",IF(M24&lt;90,"Renew Soon","Current"))))</f>
        <v/>
      </c>
      <c r="O24" s="12" t="n"/>
      <c r="P24" s="12" t="n"/>
      <c r="Q24" s="12" t="n"/>
      <c r="R24" s="11" t="n"/>
      <c r="S24" s="11" t="n"/>
      <c r="T24" s="11" t="n"/>
    </row>
    <row r="25" ht="34" customHeight="1">
      <c r="A25" s="11" t="n"/>
      <c r="B25" s="12" t="n"/>
      <c r="C25" s="13" t="n"/>
      <c r="D25" s="13" t="n"/>
      <c r="E25" s="11">
        <f>IFERROR(VLOOKUP(C25,CSI_Table,2,FALSE),"")</f>
        <v/>
      </c>
      <c r="F25" s="12" t="n"/>
      <c r="G25" s="13" t="n"/>
      <c r="H25" s="12" t="n"/>
      <c r="I25" s="14" t="n"/>
      <c r="J25" s="14" t="n"/>
      <c r="K25" s="15" t="n"/>
      <c r="L25" s="15" t="n"/>
      <c r="M25" s="16">
        <f>IF(L25="","",L25-TODAY())</f>
        <v/>
      </c>
      <c r="N25" s="12">
        <f>IF(L25="","",IF(M25&lt;0,"EXPIRED",IF(M25&lt;30,"Expiring Soon",IF(M25&lt;90,"Renew Soon","Current"))))</f>
        <v/>
      </c>
      <c r="O25" s="12" t="n"/>
      <c r="P25" s="12" t="n"/>
      <c r="Q25" s="12" t="n"/>
      <c r="R25" s="11" t="n"/>
      <c r="S25" s="11" t="n"/>
      <c r="T25" s="11" t="n"/>
    </row>
    <row r="26" ht="34" customHeight="1">
      <c r="A26" s="11" t="n"/>
      <c r="B26" s="12" t="n"/>
      <c r="C26" s="13" t="n"/>
      <c r="D26" s="13" t="n"/>
      <c r="E26" s="11">
        <f>IFERROR(VLOOKUP(C26,CSI_Table,2,FALSE),"")</f>
        <v/>
      </c>
      <c r="F26" s="12" t="n"/>
      <c r="G26" s="13" t="n"/>
      <c r="H26" s="12" t="n"/>
      <c r="I26" s="14" t="n"/>
      <c r="J26" s="14" t="n"/>
      <c r="K26" s="15" t="n"/>
      <c r="L26" s="15" t="n"/>
      <c r="M26" s="16">
        <f>IF(L26="","",L26-TODAY())</f>
        <v/>
      </c>
      <c r="N26" s="12">
        <f>IF(L26="","",IF(M26&lt;0,"EXPIRED",IF(M26&lt;30,"Expiring Soon",IF(M26&lt;90,"Renew Soon","Current"))))</f>
        <v/>
      </c>
      <c r="O26" s="12" t="n"/>
      <c r="P26" s="12" t="n"/>
      <c r="Q26" s="12" t="n"/>
      <c r="R26" s="11" t="n"/>
      <c r="S26" s="11" t="n"/>
      <c r="T26" s="11" t="n"/>
    </row>
    <row r="27" ht="34" customHeight="1">
      <c r="A27" s="11" t="n"/>
      <c r="B27" s="12" t="n"/>
      <c r="C27" s="13" t="n"/>
      <c r="D27" s="13" t="n"/>
      <c r="E27" s="11">
        <f>IFERROR(VLOOKUP(C27,CSI_Table,2,FALSE),"")</f>
        <v/>
      </c>
      <c r="F27" s="12" t="n"/>
      <c r="G27" s="13" t="n"/>
      <c r="H27" s="12" t="n"/>
      <c r="I27" s="14" t="n"/>
      <c r="J27" s="14" t="n"/>
      <c r="K27" s="15" t="n"/>
      <c r="L27" s="15" t="n"/>
      <c r="M27" s="16">
        <f>IF(L27="","",L27-TODAY())</f>
        <v/>
      </c>
      <c r="N27" s="12">
        <f>IF(L27="","",IF(M27&lt;0,"EXPIRED",IF(M27&lt;30,"Expiring Soon",IF(M27&lt;90,"Renew Soon","Current"))))</f>
        <v/>
      </c>
      <c r="O27" s="12" t="n"/>
      <c r="P27" s="12" t="n"/>
      <c r="Q27" s="12" t="n"/>
      <c r="R27" s="11" t="n"/>
      <c r="S27" s="11" t="n"/>
      <c r="T27" s="11" t="n"/>
    </row>
    <row r="28" ht="34" customHeight="1">
      <c r="A28" s="11" t="n"/>
      <c r="B28" s="12" t="n"/>
      <c r="C28" s="13" t="n"/>
      <c r="D28" s="13" t="n"/>
      <c r="E28" s="11">
        <f>IFERROR(VLOOKUP(C28,CSI_Table,2,FALSE),"")</f>
        <v/>
      </c>
      <c r="F28" s="12" t="n"/>
      <c r="G28" s="13" t="n"/>
      <c r="H28" s="12" t="n"/>
      <c r="I28" s="14" t="n"/>
      <c r="J28" s="14" t="n"/>
      <c r="K28" s="15" t="n"/>
      <c r="L28" s="15" t="n"/>
      <c r="M28" s="16">
        <f>IF(L28="","",L28-TODAY())</f>
        <v/>
      </c>
      <c r="N28" s="12">
        <f>IF(L28="","",IF(M28&lt;0,"EXPIRED",IF(M28&lt;30,"Expiring Soon",IF(M28&lt;90,"Renew Soon","Current"))))</f>
        <v/>
      </c>
      <c r="O28" s="12" t="n"/>
      <c r="P28" s="12" t="n"/>
      <c r="Q28" s="12" t="n"/>
      <c r="R28" s="11" t="n"/>
      <c r="S28" s="11" t="n"/>
      <c r="T28" s="11" t="n"/>
    </row>
    <row r="29" ht="34" customHeight="1">
      <c r="A29" s="11" t="n"/>
      <c r="B29" s="12" t="n"/>
      <c r="C29" s="13" t="n"/>
      <c r="D29" s="13" t="n"/>
      <c r="E29" s="11">
        <f>IFERROR(VLOOKUP(C29,CSI_Table,2,FALSE),"")</f>
        <v/>
      </c>
      <c r="F29" s="12" t="n"/>
      <c r="G29" s="13" t="n"/>
      <c r="H29" s="12" t="n"/>
      <c r="I29" s="14" t="n"/>
      <c r="J29" s="14" t="n"/>
      <c r="K29" s="15" t="n"/>
      <c r="L29" s="15" t="n"/>
      <c r="M29" s="16">
        <f>IF(L29="","",L29-TODAY())</f>
        <v/>
      </c>
      <c r="N29" s="12">
        <f>IF(L29="","",IF(M29&lt;0,"EXPIRED",IF(M29&lt;30,"Expiring Soon",IF(M29&lt;90,"Renew Soon","Current"))))</f>
        <v/>
      </c>
      <c r="O29" s="12" t="n"/>
      <c r="P29" s="12" t="n"/>
      <c r="Q29" s="12" t="n"/>
      <c r="R29" s="11" t="n"/>
      <c r="S29" s="11" t="n"/>
      <c r="T29" s="11" t="n"/>
    </row>
  </sheetData>
  <mergeCells count="1">
    <mergeCell ref="A1:T1"/>
  </mergeCells>
  <conditionalFormatting sqref="N4:N29">
    <cfRule type="expression" priority="1" dxfId="1" stopIfTrue="0">
      <formula>$N4="Current"</formula>
    </cfRule>
    <cfRule type="expression" priority="2" dxfId="2" stopIfTrue="0">
      <formula>$N4="Renew Soon"</formula>
    </cfRule>
    <cfRule type="expression" priority="3" dxfId="3" stopIfTrue="0">
      <formula>$N4="Expiring Soon"</formula>
    </cfRule>
    <cfRule type="expression" priority="4" dxfId="4" stopIfTrue="0">
      <formula>$N4="EXPIRED"</formula>
    </cfRule>
  </conditionalFormatting>
  <conditionalFormatting sqref="M4:M29">
    <cfRule type="expression" priority="5" dxfId="0" stopIfTrue="0">
      <formula>AND(ISNUMBER($M4),$M4&lt;30)</formula>
    </cfRule>
  </conditionalFormatting>
  <conditionalFormatting sqref="O4:O29">
    <cfRule type="expression" priority="6" dxfId="0" stopIfTrue="0">
      <formula>$O4="No"</formula>
    </cfRule>
  </conditionalFormatting>
  <conditionalFormatting sqref="P4:P29">
    <cfRule type="expression" priority="7" dxfId="0" stopIfTrue="0">
      <formula>$P4="No"</formula>
    </cfRule>
  </conditionalFormatting>
  <conditionalFormatting sqref="Q4:Q29">
    <cfRule type="expression" priority="8" dxfId="0" stopIfTrue="0">
      <formula>$Q4="No"</formula>
    </cfRule>
  </conditionalFormatting>
  <dataValidations count="6">
    <dataValidation sqref="B4:B29" showDropDown="0" showInputMessage="0" showErrorMessage="0" allowBlank="1" errorTitle="Invalid Trade" error="Pick a Trade from the dropdown." type="list">
      <formula1>"General,Mechanical,Electrical,Plumbing,Structural Steel,Other"</formula1>
    </dataValidation>
    <dataValidation sqref="C4:C29" showDropDown="0" showInputMessage="0" showErrorMessage="0" allowBlank="1" errorTitle="Invalid CSI Division" error="Pick a CSI Division from the dropdown." type="list">
      <formula1>=CSI_Divisions</formula1>
    </dataValidation>
    <dataValidation sqref="H4:H29" showDropDown="0" showInputMessage="0" showErrorMessage="0" allowBlank="1" errorTitle="Invalid Coverage Type" error="Pick a Coverage Type from the dropdown." type="list">
      <formula1>"GL,WC,Auto,Excess/Umbrella,Builder's Risk,Pollution"</formula1>
    </dataValidation>
    <dataValidation sqref="O4:O29" showDropDown="0" showInputMessage="0" showErrorMessage="0" allowBlank="1" errorTitle="Invalid" error="Pick Yes / No / Pending." type="list">
      <formula1>"Yes,No,Pending"</formula1>
    </dataValidation>
    <dataValidation sqref="P4:P29" showDropDown="0" showInputMessage="0" showErrorMessage="0" allowBlank="1" errorTitle="Invalid" error="Pick Yes / No / N/A." type="list">
      <formula1>"Yes,No,N/A"</formula1>
    </dataValidation>
    <dataValidation sqref="Q4:Q29" showDropDown="0" showInputMessage="0" showErrorMessage="0" allowBlank="1" errorTitle="Invalid" error="Pick Yes /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
  <sheetViews>
    <sheetView showGridLines="0" workbookViewId="0">
      <pane ySplit="3" topLeftCell="A4" activePane="bottomLeft" state="frozen"/>
      <selection pane="bottomLeft" activeCell="A1" sqref="A1"/>
    </sheetView>
  </sheetViews>
  <sheetFormatPr baseColWidth="8" defaultRowHeight="15"/>
  <cols>
    <col width="55" customWidth="1" min="1" max="1"/>
    <col width="12" customWidth="1" min="2" max="2"/>
    <col width="14" customWidth="1" min="3" max="3"/>
  </cols>
  <sheetData>
    <row r="1" ht="28" customHeight="1">
      <c r="A1" s="1" t="inlineStr">
        <is>
          <t>Compliance Summary (auto roll-up)</t>
        </is>
      </c>
    </row>
    <row r="2">
      <c r="A2" s="5" t="inlineStr">
        <is>
          <t>Reads from Sub/Vendor COI Log via COUNTIF / COUNTIFS - do not edit this tab directly. Risk Level cell turns red if Count &gt; 0.</t>
        </is>
      </c>
    </row>
    <row r="3" ht="32" customHeight="1">
      <c r="A3" s="6" t="inlineStr">
        <is>
          <t>Compliance Metric</t>
        </is>
      </c>
      <c r="B3" s="6" t="inlineStr">
        <is>
          <t>Count</t>
        </is>
      </c>
      <c r="C3" s="6" t="inlineStr">
        <is>
          <t>Risk Level</t>
        </is>
      </c>
    </row>
    <row r="4" ht="28" customHeight="1">
      <c r="A4" s="17" t="inlineStr">
        <is>
          <t>Total Subs/Vendors with COI on file (rows logged)</t>
        </is>
      </c>
      <c r="B4" s="18">
        <f>COUNTA('Sub-Vendor COI Log'!$A$4:$A$29)</f>
        <v/>
      </c>
      <c r="C4" s="19" t="inlineStr">
        <is>
          <t>—</t>
        </is>
      </c>
    </row>
    <row r="5" ht="28" customHeight="1">
      <c r="A5" s="17" t="inlineStr">
        <is>
          <t>Total EXPIRED</t>
        </is>
      </c>
      <c r="B5" s="18">
        <f>COUNTIF('Sub-Vendor COI Log'!$N$4:$N$29,"EXPIRED")</f>
        <v/>
      </c>
      <c r="C5" s="19">
        <f>IF(B5&gt;0,"RISK","OK")</f>
        <v/>
      </c>
    </row>
    <row r="6" ht="28" customHeight="1">
      <c r="A6" s="17" t="inlineStr">
        <is>
          <t>Total Expiring within 30 days (Expiring Soon)</t>
        </is>
      </c>
      <c r="B6" s="18">
        <f>COUNTIF('Sub-Vendor COI Log'!$N$4:$N$29,"Expiring Soon")</f>
        <v/>
      </c>
      <c r="C6" s="19">
        <f>IF(B6&gt;0,"RISK","OK")</f>
        <v/>
      </c>
    </row>
    <row r="7" ht="28" customHeight="1">
      <c r="A7" s="17" t="inlineStr">
        <is>
          <t>Total missing Additional Insured (Add'l Insured = No)</t>
        </is>
      </c>
      <c r="B7" s="18">
        <f>COUNTIF('Sub-Vendor COI Log'!$O$4:$O$29,"No")</f>
        <v/>
      </c>
      <c r="C7" s="19">
        <f>IF(B7&gt;0,"RISK","OK")</f>
        <v/>
      </c>
    </row>
    <row r="8" ht="28" customHeight="1">
      <c r="A8" s="17" t="inlineStr">
        <is>
          <t>Total missing Waiver of Subrogation (Waiver = No)</t>
        </is>
      </c>
      <c r="B8" s="18">
        <f>COUNTIF('Sub-Vendor COI Log'!$P$4:$P$29,"No")</f>
        <v/>
      </c>
      <c r="C8" s="19">
        <f>IF(B8&gt;0,"RISK","OK")</f>
        <v/>
      </c>
    </row>
    <row r="9" ht="28" customHeight="1">
      <c r="A9" s="17" t="inlineStr">
        <is>
          <t>Rows not classified as GL coverage</t>
        </is>
      </c>
      <c r="B9" s="18">
        <f>COUNTIFS('Sub-Vendor COI Log'!$A$4:$A$29,"&lt;&gt;",'Sub-Vendor COI Log'!$H$4:$H$29,"&lt;&gt;GL")</f>
        <v/>
      </c>
      <c r="C9" s="19" t="inlineStr">
        <is>
          <t>—</t>
        </is>
      </c>
    </row>
    <row r="10" ht="28" customHeight="1">
      <c r="A10" s="17" t="inlineStr">
        <is>
          <t>Rows not classified as WC coverage</t>
        </is>
      </c>
      <c r="B10" s="18">
        <f>COUNTIFS('Sub-Vendor COI Log'!$A$4:$A$29,"&lt;&gt;",'Sub-Vendor COI Log'!$H$4:$H$29,"&lt;&gt;WC")</f>
        <v/>
      </c>
      <c r="C10" s="19" t="inlineStr">
        <is>
          <t>—</t>
        </is>
      </c>
    </row>
  </sheetData>
  <mergeCells count="2">
    <mergeCell ref="A1:C1"/>
    <mergeCell ref="A2:C2"/>
  </mergeCells>
  <conditionalFormatting sqref="C5">
    <cfRule type="expression" priority="1" dxfId="4" stopIfTrue="0">
      <formula>$B$5&gt;0</formula>
    </cfRule>
    <cfRule type="expression" priority="2" dxfId="1" stopIfTrue="0">
      <formula>$B$5=0</formula>
    </cfRule>
  </conditionalFormatting>
  <conditionalFormatting sqref="C6">
    <cfRule type="expression" priority="3" dxfId="4" stopIfTrue="0">
      <formula>$B$6&gt;0</formula>
    </cfRule>
    <cfRule type="expression" priority="4" dxfId="1" stopIfTrue="0">
      <formula>$B$6=0</formula>
    </cfRule>
  </conditionalFormatting>
  <conditionalFormatting sqref="C7">
    <cfRule type="expression" priority="5" dxfId="4" stopIfTrue="0">
      <formula>$B$7&gt;0</formula>
    </cfRule>
    <cfRule type="expression" priority="6" dxfId="1" stopIfTrue="0">
      <formula>$B$7=0</formula>
    </cfRule>
  </conditionalFormatting>
  <conditionalFormatting sqref="C8">
    <cfRule type="expression" priority="7" dxfId="4" stopIfTrue="0">
      <formula>$B$8&gt;0</formula>
    </cfRule>
    <cfRule type="expression" priority="8" dxfId="1" stopIfTrue="0">
      <formula>$B$8=0</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8"/>
  <sheetViews>
    <sheetView showGridLines="0" workbookViewId="0">
      <selection activeCell="A1" sqref="A1"/>
    </sheetView>
  </sheetViews>
  <sheetFormatPr baseColWidth="8" defaultRowHeight="15"/>
  <cols>
    <col width="30" customWidth="1" min="1" max="1"/>
    <col width="14" customWidth="1" min="2" max="2"/>
    <col width="14" customWidth="1" min="3" max="3"/>
    <col width="18" customWidth="1" min="4" max="4"/>
    <col width="18" customWidth="1" min="5" max="5"/>
    <col width="14" customWidth="1" min="6" max="6"/>
  </cols>
  <sheetData>
    <row r="1" ht="32" customHeight="1">
      <c r="A1" s="1" t="inlineStr">
        <is>
          <t>COI Compliance Dashboard</t>
        </is>
      </c>
    </row>
    <row r="2">
      <c r="A2" s="5" t="inlineStr">
        <is>
          <t>Auto-calculated from Sub/Vendor COI Log. Update that tab - this one stays in sync. Red = active risk, deal with it this week.</t>
        </is>
      </c>
    </row>
    <row r="4" ht="26" customHeight="1">
      <c r="A4" s="20" t="inlineStr">
        <is>
          <t>COI Compliance Score</t>
        </is>
      </c>
    </row>
    <row r="5" ht="32" customHeight="1">
      <c r="A5" s="21" t="inlineStr">
        <is>
          <t>COI Compliance Score (% Current + Renew Soon)</t>
        </is>
      </c>
      <c r="B5" s="22" t="n"/>
      <c r="C5" s="23" t="n"/>
      <c r="D5" s="24">
        <f>IFERROR((COUNTIF('Sub-Vendor COI Log'!$N$4:$N$29,"Current")+COUNTIF('Sub-Vendor COI Log'!$N$4:$N$29,"Renew Soon"))/(COUNTIF('Sub-Vendor COI Log'!$N$4:$N$29,"Current")+COUNTIF('Sub-Vendor COI Log'!$N$4:$N$29,"Renew Soon")+COUNTIF('Sub-Vendor COI Log'!$N$4:$N$29,"Expiring Soon")+COUNTIF('Sub-Vendor COI Log'!$N$4:$N$29,"EXPIRED")),0)</f>
        <v/>
      </c>
      <c r="E5" s="22" t="n"/>
      <c r="F5" s="23" t="n"/>
    </row>
    <row r="7" ht="26" customHeight="1">
      <c r="A7" s="20" t="inlineStr">
        <is>
          <t>Risk Exposure</t>
        </is>
      </c>
    </row>
    <row r="8" ht="28" customHeight="1">
      <c r="A8" s="21" t="inlineStr">
        <is>
          <t>EXPIRED count</t>
        </is>
      </c>
      <c r="B8" s="22" t="n"/>
      <c r="C8" s="23" t="n"/>
      <c r="D8" s="25">
        <f>COUNTIF('Sub-Vendor COI Log'!$N$4:$N$29,"EXPIRED")</f>
        <v/>
      </c>
      <c r="E8" s="22" t="n"/>
      <c r="F8" s="23" t="n"/>
    </row>
    <row r="9" ht="28" customHeight="1">
      <c r="A9" s="21" t="inlineStr">
        <is>
          <t>Expiring Soon count (&lt;30 days)</t>
        </is>
      </c>
      <c r="B9" s="22" t="n"/>
      <c r="C9" s="23" t="n"/>
      <c r="D9" s="25">
        <f>COUNTIF('Sub-Vendor COI Log'!$N$4:$N$29,"Expiring Soon")</f>
        <v/>
      </c>
      <c r="E9" s="22" t="n"/>
      <c r="F9" s="23" t="n"/>
    </row>
    <row r="10" ht="28" customHeight="1">
      <c r="A10" s="21" t="inlineStr">
        <is>
          <t>Missing Additional Insured count</t>
        </is>
      </c>
      <c r="B10" s="22" t="n"/>
      <c r="C10" s="23" t="n"/>
      <c r="D10" s="25">
        <f>COUNTIF('Sub-Vendor COI Log'!$O$4:$O$29,"No")</f>
        <v/>
      </c>
      <c r="E10" s="22" t="n"/>
      <c r="F10" s="23" t="n"/>
    </row>
    <row r="11" ht="28" customHeight="1">
      <c r="A11" s="21" t="inlineStr">
        <is>
          <t>Missing Waiver of Subrogation count</t>
        </is>
      </c>
      <c r="B11" s="22" t="n"/>
      <c r="C11" s="23" t="n"/>
      <c r="D11" s="25">
        <f>COUNTIF('Sub-Vendor COI Log'!$P$4:$P$29,"No")</f>
        <v/>
      </c>
      <c r="E11" s="22" t="n"/>
      <c r="F11" s="23" t="n"/>
    </row>
    <row r="13" ht="26" customHeight="1">
      <c r="A13" s="20" t="inlineStr">
        <is>
          <t>Top 5 Expiring Soonest</t>
        </is>
      </c>
    </row>
    <row r="14" ht="32" customHeight="1">
      <c r="A14" s="6" t="inlineStr">
        <is>
          <t>Rank</t>
        </is>
      </c>
      <c r="B14" s="6" t="inlineStr">
        <is>
          <t>Subcontractor / Vendor</t>
        </is>
      </c>
      <c r="C14" s="6" t="inlineStr">
        <is>
          <t>Coverage</t>
        </is>
      </c>
      <c r="D14" s="6" t="inlineStr">
        <is>
          <t>Expiration Date</t>
        </is>
      </c>
      <c r="E14" s="6" t="inlineStr">
        <is>
          <t>Days to Expiry</t>
        </is>
      </c>
      <c r="F14" s="6" t="inlineStr">
        <is>
          <t>Status</t>
        </is>
      </c>
    </row>
    <row r="15" ht="24" customHeight="1">
      <c r="A15" s="19" t="n">
        <v>1</v>
      </c>
      <c r="B15" s="26">
        <f>IFERROR(INDEX('Sub-Vendor COI Log'!$A$4:$A$29,MATCH(SMALL('Sub-Vendor COI Log'!$M$4:$M$29,1),'Sub-Vendor COI Log'!$M$4:$M$29,0)),"")</f>
        <v/>
      </c>
      <c r="C15" s="26">
        <f>IFERROR(INDEX('Sub-Vendor COI Log'!$H$4:$H$29,MATCH(SMALL('Sub-Vendor COI Log'!$M$4:$M$29,1),'Sub-Vendor COI Log'!$M$4:$M$29,0)),"")</f>
        <v/>
      </c>
      <c r="D15" s="27">
        <f>IFERROR(INDEX('Sub-Vendor COI Log'!$L$4:$L$29,MATCH(SMALL('Sub-Vendor COI Log'!$M$4:$M$29,1),'Sub-Vendor COI Log'!$M$4:$M$29,0)),"")</f>
        <v/>
      </c>
      <c r="E15" s="28">
        <f>IFERROR(SMALL('Sub-Vendor COI Log'!$M$4:$M$29,1),"")</f>
        <v/>
      </c>
      <c r="F15" s="26">
        <f>IFERROR(INDEX('Sub-Vendor COI Log'!$N$4:$N$29,MATCH(SMALL('Sub-Vendor COI Log'!$M$4:$M$29,1),'Sub-Vendor COI Log'!$M$4:$M$29,0)),"")</f>
        <v/>
      </c>
    </row>
    <row r="16" ht="24" customHeight="1">
      <c r="A16" s="19" t="n">
        <v>2</v>
      </c>
      <c r="B16" s="26">
        <f>IFERROR(INDEX('Sub-Vendor COI Log'!$A$4:$A$29,MATCH(SMALL('Sub-Vendor COI Log'!$M$4:$M$29,2),'Sub-Vendor COI Log'!$M$4:$M$29,0)),"")</f>
        <v/>
      </c>
      <c r="C16" s="26">
        <f>IFERROR(INDEX('Sub-Vendor COI Log'!$H$4:$H$29,MATCH(SMALL('Sub-Vendor COI Log'!$M$4:$M$29,2),'Sub-Vendor COI Log'!$M$4:$M$29,0)),"")</f>
        <v/>
      </c>
      <c r="D16" s="27">
        <f>IFERROR(INDEX('Sub-Vendor COI Log'!$L$4:$L$29,MATCH(SMALL('Sub-Vendor COI Log'!$M$4:$M$29,2),'Sub-Vendor COI Log'!$M$4:$M$29,0)),"")</f>
        <v/>
      </c>
      <c r="E16" s="28">
        <f>IFERROR(SMALL('Sub-Vendor COI Log'!$M$4:$M$29,2),"")</f>
        <v/>
      </c>
      <c r="F16" s="26">
        <f>IFERROR(INDEX('Sub-Vendor COI Log'!$N$4:$N$29,MATCH(SMALL('Sub-Vendor COI Log'!$M$4:$M$29,2),'Sub-Vendor COI Log'!$M$4:$M$29,0)),"")</f>
        <v/>
      </c>
    </row>
    <row r="17" ht="24" customHeight="1">
      <c r="A17" s="19" t="n">
        <v>3</v>
      </c>
      <c r="B17" s="26">
        <f>IFERROR(INDEX('Sub-Vendor COI Log'!$A$4:$A$29,MATCH(SMALL('Sub-Vendor COI Log'!$M$4:$M$29,3),'Sub-Vendor COI Log'!$M$4:$M$29,0)),"")</f>
        <v/>
      </c>
      <c r="C17" s="26">
        <f>IFERROR(INDEX('Sub-Vendor COI Log'!$H$4:$H$29,MATCH(SMALL('Sub-Vendor COI Log'!$M$4:$M$29,3),'Sub-Vendor COI Log'!$M$4:$M$29,0)),"")</f>
        <v/>
      </c>
      <c r="D17" s="27">
        <f>IFERROR(INDEX('Sub-Vendor COI Log'!$L$4:$L$29,MATCH(SMALL('Sub-Vendor COI Log'!$M$4:$M$29,3),'Sub-Vendor COI Log'!$M$4:$M$29,0)),"")</f>
        <v/>
      </c>
      <c r="E17" s="28">
        <f>IFERROR(SMALL('Sub-Vendor COI Log'!$M$4:$M$29,3),"")</f>
        <v/>
      </c>
      <c r="F17" s="26">
        <f>IFERROR(INDEX('Sub-Vendor COI Log'!$N$4:$N$29,MATCH(SMALL('Sub-Vendor COI Log'!$M$4:$M$29,3),'Sub-Vendor COI Log'!$M$4:$M$29,0)),"")</f>
        <v/>
      </c>
    </row>
    <row r="18" ht="24" customHeight="1">
      <c r="A18" s="19" t="n">
        <v>4</v>
      </c>
      <c r="B18" s="26">
        <f>IFERROR(INDEX('Sub-Vendor COI Log'!$A$4:$A$29,MATCH(SMALL('Sub-Vendor COI Log'!$M$4:$M$29,4),'Sub-Vendor COI Log'!$M$4:$M$29,0)),"")</f>
        <v/>
      </c>
      <c r="C18" s="26">
        <f>IFERROR(INDEX('Sub-Vendor COI Log'!$H$4:$H$29,MATCH(SMALL('Sub-Vendor COI Log'!$M$4:$M$29,4),'Sub-Vendor COI Log'!$M$4:$M$29,0)),"")</f>
        <v/>
      </c>
      <c r="D18" s="27">
        <f>IFERROR(INDEX('Sub-Vendor COI Log'!$L$4:$L$29,MATCH(SMALL('Sub-Vendor COI Log'!$M$4:$M$29,4),'Sub-Vendor COI Log'!$M$4:$M$29,0)),"")</f>
        <v/>
      </c>
      <c r="E18" s="28">
        <f>IFERROR(SMALL('Sub-Vendor COI Log'!$M$4:$M$29,4),"")</f>
        <v/>
      </c>
      <c r="F18" s="26">
        <f>IFERROR(INDEX('Sub-Vendor COI Log'!$N$4:$N$29,MATCH(SMALL('Sub-Vendor COI Log'!$M$4:$M$29,4),'Sub-Vendor COI Log'!$M$4:$M$29,0)),"")</f>
        <v/>
      </c>
    </row>
    <row r="19" ht="24" customHeight="1">
      <c r="A19" s="19" t="n">
        <v>5</v>
      </c>
      <c r="B19" s="26">
        <f>IFERROR(INDEX('Sub-Vendor COI Log'!$A$4:$A$29,MATCH(SMALL('Sub-Vendor COI Log'!$M$4:$M$29,5),'Sub-Vendor COI Log'!$M$4:$M$29,0)),"")</f>
        <v/>
      </c>
      <c r="C19" s="26">
        <f>IFERROR(INDEX('Sub-Vendor COI Log'!$H$4:$H$29,MATCH(SMALL('Sub-Vendor COI Log'!$M$4:$M$29,5),'Sub-Vendor COI Log'!$M$4:$M$29,0)),"")</f>
        <v/>
      </c>
      <c r="D19" s="27">
        <f>IFERROR(INDEX('Sub-Vendor COI Log'!$L$4:$L$29,MATCH(SMALL('Sub-Vendor COI Log'!$M$4:$M$29,5),'Sub-Vendor COI Log'!$M$4:$M$29,0)),"")</f>
        <v/>
      </c>
      <c r="E19" s="28">
        <f>IFERROR(SMALL('Sub-Vendor COI Log'!$M$4:$M$29,5),"")</f>
        <v/>
      </c>
      <c r="F19" s="26">
        <f>IFERROR(INDEX('Sub-Vendor COI Log'!$N$4:$N$29,MATCH(SMALL('Sub-Vendor COI Log'!$M$4:$M$29,5),'Sub-Vendor COI Log'!$M$4:$M$29,0)),"")</f>
        <v/>
      </c>
    </row>
    <row r="21" ht="26" customHeight="1">
      <c r="A21" s="20" t="inlineStr">
        <is>
          <t>Counts by Coverage Type</t>
        </is>
      </c>
    </row>
    <row r="22" ht="32" customHeight="1">
      <c r="A22" s="6" t="inlineStr">
        <is>
          <t>Coverage Type</t>
        </is>
      </c>
      <c r="B22" s="6" t="inlineStr">
        <is>
          <t>Count</t>
        </is>
      </c>
      <c r="C22" s="6" t="inlineStr">
        <is>
          <t>Current</t>
        </is>
      </c>
      <c r="D22" s="6" t="inlineStr">
        <is>
          <t>Expiring Soon</t>
        </is>
      </c>
      <c r="E22" s="6" t="inlineStr">
        <is>
          <t>EXPIRED</t>
        </is>
      </c>
      <c r="F22" s="29" t="inlineStr"/>
    </row>
    <row r="23" ht="22" customHeight="1">
      <c r="A23" s="21" t="inlineStr">
        <is>
          <t>GL</t>
        </is>
      </c>
      <c r="B23" s="18">
        <f>COUNTIF('Sub-Vendor COI Log'!$H$4:$H$29,"GL")</f>
        <v/>
      </c>
      <c r="C23" s="30">
        <f>COUNTIFS('Sub-Vendor COI Log'!$H$4:$H$29,"GL",'Sub-Vendor COI Log'!$N$4:$N$29,"Current")</f>
        <v/>
      </c>
      <c r="D23" s="30">
        <f>COUNTIFS('Sub-Vendor COI Log'!$H$4:$H$29,"GL",'Sub-Vendor COI Log'!$N$4:$N$29,"Expiring Soon")</f>
        <v/>
      </c>
      <c r="E23" s="30">
        <f>COUNTIFS('Sub-Vendor COI Log'!$H$4:$H$29,"GL",'Sub-Vendor COI Log'!$N$4:$N$29,"EXPIRED")</f>
        <v/>
      </c>
      <c r="F23" s="9" t="inlineStr"/>
    </row>
    <row r="24" ht="22" customHeight="1">
      <c r="A24" s="21" t="inlineStr">
        <is>
          <t>WC</t>
        </is>
      </c>
      <c r="B24" s="18">
        <f>COUNTIF('Sub-Vendor COI Log'!$H$4:$H$29,"WC")</f>
        <v/>
      </c>
      <c r="C24" s="30">
        <f>COUNTIFS('Sub-Vendor COI Log'!$H$4:$H$29,"WC",'Sub-Vendor COI Log'!$N$4:$N$29,"Current")</f>
        <v/>
      </c>
      <c r="D24" s="30">
        <f>COUNTIFS('Sub-Vendor COI Log'!$H$4:$H$29,"WC",'Sub-Vendor COI Log'!$N$4:$N$29,"Expiring Soon")</f>
        <v/>
      </c>
      <c r="E24" s="30">
        <f>COUNTIFS('Sub-Vendor COI Log'!$H$4:$H$29,"WC",'Sub-Vendor COI Log'!$N$4:$N$29,"EXPIRED")</f>
        <v/>
      </c>
      <c r="F24" s="9" t="inlineStr"/>
    </row>
    <row r="25" ht="22" customHeight="1">
      <c r="A25" s="21" t="inlineStr">
        <is>
          <t>Auto</t>
        </is>
      </c>
      <c r="B25" s="18">
        <f>COUNTIF('Sub-Vendor COI Log'!$H$4:$H$29,"Auto")</f>
        <v/>
      </c>
      <c r="C25" s="30">
        <f>COUNTIFS('Sub-Vendor COI Log'!$H$4:$H$29,"Auto",'Sub-Vendor COI Log'!$N$4:$N$29,"Current")</f>
        <v/>
      </c>
      <c r="D25" s="30">
        <f>COUNTIFS('Sub-Vendor COI Log'!$H$4:$H$29,"Auto",'Sub-Vendor COI Log'!$N$4:$N$29,"Expiring Soon")</f>
        <v/>
      </c>
      <c r="E25" s="30">
        <f>COUNTIFS('Sub-Vendor COI Log'!$H$4:$H$29,"Auto",'Sub-Vendor COI Log'!$N$4:$N$29,"EXPIRED")</f>
        <v/>
      </c>
      <c r="F25" s="9" t="inlineStr"/>
    </row>
    <row r="26" ht="22" customHeight="1">
      <c r="A26" s="21" t="inlineStr">
        <is>
          <t>Excess/Umbrella</t>
        </is>
      </c>
      <c r="B26" s="18">
        <f>COUNTIF('Sub-Vendor COI Log'!$H$4:$H$29,"Excess/Umbrella")</f>
        <v/>
      </c>
      <c r="C26" s="30">
        <f>COUNTIFS('Sub-Vendor COI Log'!$H$4:$H$29,"Excess/Umbrella",'Sub-Vendor COI Log'!$N$4:$N$29,"Current")</f>
        <v/>
      </c>
      <c r="D26" s="30">
        <f>COUNTIFS('Sub-Vendor COI Log'!$H$4:$H$29,"Excess/Umbrella",'Sub-Vendor COI Log'!$N$4:$N$29,"Expiring Soon")</f>
        <v/>
      </c>
      <c r="E26" s="30">
        <f>COUNTIFS('Sub-Vendor COI Log'!$H$4:$H$29,"Excess/Umbrella",'Sub-Vendor COI Log'!$N$4:$N$29,"EXPIRED")</f>
        <v/>
      </c>
      <c r="F26" s="9" t="inlineStr"/>
    </row>
    <row r="27" ht="22" customHeight="1">
      <c r="A27" s="21" t="inlineStr">
        <is>
          <t>Builder's Risk</t>
        </is>
      </c>
      <c r="B27" s="18">
        <f>COUNTIF('Sub-Vendor COI Log'!$H$4:$H$29,"Builder's Risk")</f>
        <v/>
      </c>
      <c r="C27" s="30">
        <f>COUNTIFS('Sub-Vendor COI Log'!$H$4:$H$29,"Builder's Risk",'Sub-Vendor COI Log'!$N$4:$N$29,"Current")</f>
        <v/>
      </c>
      <c r="D27" s="30">
        <f>COUNTIFS('Sub-Vendor COI Log'!$H$4:$H$29,"Builder's Risk",'Sub-Vendor COI Log'!$N$4:$N$29,"Expiring Soon")</f>
        <v/>
      </c>
      <c r="E27" s="30">
        <f>COUNTIFS('Sub-Vendor COI Log'!$H$4:$H$29,"Builder's Risk",'Sub-Vendor COI Log'!$N$4:$N$29,"EXPIRED")</f>
        <v/>
      </c>
      <c r="F27" s="9" t="inlineStr"/>
    </row>
    <row r="28" ht="22" customHeight="1">
      <c r="A28" s="21" t="inlineStr">
        <is>
          <t>Pollution</t>
        </is>
      </c>
      <c r="B28" s="18">
        <f>COUNTIF('Sub-Vendor COI Log'!$H$4:$H$29,"Pollution")</f>
        <v/>
      </c>
      <c r="C28" s="30">
        <f>COUNTIFS('Sub-Vendor COI Log'!$H$4:$H$29,"Pollution",'Sub-Vendor COI Log'!$N$4:$N$29,"Current")</f>
        <v/>
      </c>
      <c r="D28" s="30">
        <f>COUNTIFS('Sub-Vendor COI Log'!$H$4:$H$29,"Pollution",'Sub-Vendor COI Log'!$N$4:$N$29,"Expiring Soon")</f>
        <v/>
      </c>
      <c r="E28" s="30">
        <f>COUNTIFS('Sub-Vendor COI Log'!$H$4:$H$29,"Pollution",'Sub-Vendor COI Log'!$N$4:$N$29,"EXPIRED")</f>
        <v/>
      </c>
      <c r="F28" s="9" t="inlineStr"/>
    </row>
  </sheetData>
  <mergeCells count="16">
    <mergeCell ref="A10:C10"/>
    <mergeCell ref="A2:F2"/>
    <mergeCell ref="D11:F11"/>
    <mergeCell ref="A11:C11"/>
    <mergeCell ref="D5:F5"/>
    <mergeCell ref="A5:C5"/>
    <mergeCell ref="A13:F13"/>
    <mergeCell ref="A1:F1"/>
    <mergeCell ref="A8:C8"/>
    <mergeCell ref="A9:C9"/>
    <mergeCell ref="D9:F9"/>
    <mergeCell ref="A4:F4"/>
    <mergeCell ref="D8:F8"/>
    <mergeCell ref="A21:F21"/>
    <mergeCell ref="A7:F7"/>
    <mergeCell ref="D10:F10"/>
  </mergeCells>
  <conditionalFormatting sqref="D5">
    <cfRule type="cellIs" priority="1" operator="greaterThanOrEqual" dxfId="5" stopIfTrue="1">
      <formula>0.9</formula>
    </cfRule>
    <cfRule type="cellIs" priority="2" operator="greaterThanOrEqual" dxfId="6" stopIfTrue="1">
      <formula>0.7</formula>
    </cfRule>
    <cfRule type="cellIs" priority="3" operator="lessThan" dxfId="7" stopIfTrue="0">
      <formula>0.7</formula>
    </cfRule>
  </conditionalFormatting>
  <conditionalFormatting sqref="D8">
    <cfRule type="cellIs" priority="4" operator="greaterThan" dxfId="7" stopIfTrue="1">
      <formula>0</formula>
    </cfRule>
    <cfRule type="cellIs" priority="5" operator="equal" dxfId="5" stopIfTrue="0">
      <formula>0</formula>
    </cfRule>
  </conditionalFormatting>
  <conditionalFormatting sqref="D9">
    <cfRule type="cellIs" priority="6" operator="greaterThan" dxfId="7" stopIfTrue="1">
      <formula>0</formula>
    </cfRule>
    <cfRule type="cellIs" priority="7" operator="equal" dxfId="5" stopIfTrue="0">
      <formula>0</formula>
    </cfRule>
  </conditionalFormatting>
  <conditionalFormatting sqref="D10">
    <cfRule type="cellIs" priority="8" operator="greaterThan" dxfId="7" stopIfTrue="1">
      <formula>0</formula>
    </cfRule>
    <cfRule type="cellIs" priority="9" operator="equal" dxfId="5" stopIfTrue="0">
      <formula>0</formula>
    </cfRule>
  </conditionalFormatting>
  <conditionalFormatting sqref="D11">
    <cfRule type="cellIs" priority="10" operator="greaterThan" dxfId="7" stopIfTrue="1">
      <formula>0</formula>
    </cfRule>
    <cfRule type="cellIs" priority="11" operator="equal" dxfId="5" stopIfTrue="0">
      <formula>0</formula>
    </cfRule>
  </conditionalFormatting>
  <conditionalFormatting sqref="E15">
    <cfRule type="expression" priority="12" dxfId="0" stopIfTrue="0">
      <formula>AND(ISNUMBER($E15),$E15&lt;30)</formula>
    </cfRule>
  </conditionalFormatting>
  <conditionalFormatting sqref="F15">
    <cfRule type="expression" priority="13" dxfId="0" stopIfTrue="0">
      <formula>$F15="EXPIRED"</formula>
    </cfRule>
    <cfRule type="expression" priority="14" dxfId="3" stopIfTrue="0">
      <formula>$F15="Expiring Soon"</formula>
    </cfRule>
    <cfRule type="expression" priority="15" dxfId="2" stopIfTrue="0">
      <formula>$F15="Renew Soon"</formula>
    </cfRule>
    <cfRule type="expression" priority="16" dxfId="1" stopIfTrue="0">
      <formula>$F15="Current"</formula>
    </cfRule>
  </conditionalFormatting>
  <conditionalFormatting sqref="E16">
    <cfRule type="expression" priority="17" dxfId="0" stopIfTrue="0">
      <formula>AND(ISNUMBER($E16),$E16&lt;30)</formula>
    </cfRule>
  </conditionalFormatting>
  <conditionalFormatting sqref="F16">
    <cfRule type="expression" priority="18" dxfId="0" stopIfTrue="0">
      <formula>$F16="EXPIRED"</formula>
    </cfRule>
    <cfRule type="expression" priority="19" dxfId="3" stopIfTrue="0">
      <formula>$F16="Expiring Soon"</formula>
    </cfRule>
    <cfRule type="expression" priority="20" dxfId="2" stopIfTrue="0">
      <formula>$F16="Renew Soon"</formula>
    </cfRule>
    <cfRule type="expression" priority="21" dxfId="1" stopIfTrue="0">
      <formula>$F16="Current"</formula>
    </cfRule>
  </conditionalFormatting>
  <conditionalFormatting sqref="E17">
    <cfRule type="expression" priority="22" dxfId="0" stopIfTrue="0">
      <formula>AND(ISNUMBER($E17),$E17&lt;30)</formula>
    </cfRule>
  </conditionalFormatting>
  <conditionalFormatting sqref="F17">
    <cfRule type="expression" priority="23" dxfId="0" stopIfTrue="0">
      <formula>$F17="EXPIRED"</formula>
    </cfRule>
    <cfRule type="expression" priority="24" dxfId="3" stopIfTrue="0">
      <formula>$F17="Expiring Soon"</formula>
    </cfRule>
    <cfRule type="expression" priority="25" dxfId="2" stopIfTrue="0">
      <formula>$F17="Renew Soon"</formula>
    </cfRule>
    <cfRule type="expression" priority="26" dxfId="1" stopIfTrue="0">
      <formula>$F17="Current"</formula>
    </cfRule>
  </conditionalFormatting>
  <conditionalFormatting sqref="E18">
    <cfRule type="expression" priority="27" dxfId="0" stopIfTrue="0">
      <formula>AND(ISNUMBER($E18),$E18&lt;30)</formula>
    </cfRule>
  </conditionalFormatting>
  <conditionalFormatting sqref="F18">
    <cfRule type="expression" priority="28" dxfId="0" stopIfTrue="0">
      <formula>$F18="EXPIRED"</formula>
    </cfRule>
    <cfRule type="expression" priority="29" dxfId="3" stopIfTrue="0">
      <formula>$F18="Expiring Soon"</formula>
    </cfRule>
    <cfRule type="expression" priority="30" dxfId="2" stopIfTrue="0">
      <formula>$F18="Renew Soon"</formula>
    </cfRule>
    <cfRule type="expression" priority="31" dxfId="1" stopIfTrue="0">
      <formula>$F18="Current"</formula>
    </cfRule>
  </conditionalFormatting>
  <conditionalFormatting sqref="E19">
    <cfRule type="expression" priority="32" dxfId="0" stopIfTrue="0">
      <formula>AND(ISNUMBER($E19),$E19&lt;30)</formula>
    </cfRule>
  </conditionalFormatting>
  <conditionalFormatting sqref="F19">
    <cfRule type="expression" priority="33" dxfId="0" stopIfTrue="0">
      <formula>$F19="EXPIRED"</formula>
    </cfRule>
    <cfRule type="expression" priority="34" dxfId="3" stopIfTrue="0">
      <formula>$F19="Expiring Soon"</formula>
    </cfRule>
    <cfRule type="expression" priority="35" dxfId="2" stopIfTrue="0">
      <formula>$F19="Renew Soon"</formula>
    </cfRule>
    <cfRule type="expression" priority="36" dxfId="1" stopIfTrue="0">
      <formula>$F19="Current"</formula>
    </cfRule>
  </conditionalFormatting>
  <conditionalFormatting sqref="E23">
    <cfRule type="expression" priority="37" dxfId="0" stopIfTrue="0">
      <formula>$E23&gt;0</formula>
    </cfRule>
  </conditionalFormatting>
  <conditionalFormatting sqref="D23">
    <cfRule type="expression" priority="38" dxfId="3" stopIfTrue="0">
      <formula>$D23&gt;0</formula>
    </cfRule>
  </conditionalFormatting>
  <conditionalFormatting sqref="E24">
    <cfRule type="expression" priority="39" dxfId="0" stopIfTrue="0">
      <formula>$E24&gt;0</formula>
    </cfRule>
  </conditionalFormatting>
  <conditionalFormatting sqref="D24">
    <cfRule type="expression" priority="40" dxfId="3" stopIfTrue="0">
      <formula>$D24&gt;0</formula>
    </cfRule>
  </conditionalFormatting>
  <conditionalFormatting sqref="E25">
    <cfRule type="expression" priority="41" dxfId="0" stopIfTrue="0">
      <formula>$E25&gt;0</formula>
    </cfRule>
  </conditionalFormatting>
  <conditionalFormatting sqref="D25">
    <cfRule type="expression" priority="42" dxfId="3" stopIfTrue="0">
      <formula>$D25&gt;0</formula>
    </cfRule>
  </conditionalFormatting>
  <conditionalFormatting sqref="E26">
    <cfRule type="expression" priority="43" dxfId="0" stopIfTrue="0">
      <formula>$E26&gt;0</formula>
    </cfRule>
  </conditionalFormatting>
  <conditionalFormatting sqref="D26">
    <cfRule type="expression" priority="44" dxfId="3" stopIfTrue="0">
      <formula>$D26&gt;0</formula>
    </cfRule>
  </conditionalFormatting>
  <conditionalFormatting sqref="E27">
    <cfRule type="expression" priority="45" dxfId="0" stopIfTrue="0">
      <formula>$E27&gt;0</formula>
    </cfRule>
  </conditionalFormatting>
  <conditionalFormatting sqref="D27">
    <cfRule type="expression" priority="46" dxfId="3" stopIfTrue="0">
      <formula>$D27&gt;0</formula>
    </cfRule>
  </conditionalFormatting>
  <conditionalFormatting sqref="E28">
    <cfRule type="expression" priority="47" dxfId="0" stopIfTrue="0">
      <formula>$E28&gt;0</formula>
    </cfRule>
  </conditionalFormatting>
  <conditionalFormatting sqref="D28">
    <cfRule type="expression" priority="48" dxfId="3" stopIfTrue="0">
      <formula>$D28&gt;0</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8"/>
  <sheetViews>
    <sheetView showGridLines="0" workbookViewId="0">
      <selection activeCell="A1" sqref="A1"/>
    </sheetView>
  </sheetViews>
  <sheetFormatPr baseColWidth="8" defaultRowHeight="15"/>
  <cols>
    <col width="14" customWidth="1" min="1" max="1"/>
    <col width="60" customWidth="1" min="2" max="2"/>
  </cols>
  <sheetData>
    <row r="1" ht="28" customHeight="1">
      <c r="A1" s="1" t="inlineStr">
        <is>
          <t>CSI MasterFormat Division Reference</t>
        </is>
      </c>
    </row>
    <row r="2">
      <c r="A2" s="5" t="inlineStr">
        <is>
          <t>Pulled from the same canonical list as ContrPro Job Costing. Do not edit.</t>
        </is>
      </c>
    </row>
    <row r="3" ht="32" customHeight="1">
      <c r="A3" s="6" t="inlineStr">
        <is>
          <t>CSI Division</t>
        </is>
      </c>
      <c r="B3" s="6" t="inlineStr">
        <is>
          <t>Division Name</t>
        </is>
      </c>
    </row>
    <row r="4">
      <c r="A4" s="31" t="inlineStr">
        <is>
          <t>01</t>
        </is>
      </c>
      <c r="B4" s="32" t="inlineStr">
        <is>
          <t>General Requirements</t>
        </is>
      </c>
    </row>
    <row r="5">
      <c r="A5" s="31" t="inlineStr">
        <is>
          <t>02</t>
        </is>
      </c>
      <c r="B5" s="32" t="inlineStr">
        <is>
          <t>Existing Conditions</t>
        </is>
      </c>
    </row>
    <row r="6">
      <c r="A6" s="31" t="inlineStr">
        <is>
          <t>03</t>
        </is>
      </c>
      <c r="B6" s="32" t="inlineStr">
        <is>
          <t>Concrete</t>
        </is>
      </c>
    </row>
    <row r="7">
      <c r="A7" s="31" t="inlineStr">
        <is>
          <t>04</t>
        </is>
      </c>
      <c r="B7" s="32" t="inlineStr">
        <is>
          <t>Masonry</t>
        </is>
      </c>
    </row>
    <row r="8">
      <c r="A8" s="31" t="inlineStr">
        <is>
          <t>05</t>
        </is>
      </c>
      <c r="B8" s="32" t="inlineStr">
        <is>
          <t>Metals</t>
        </is>
      </c>
    </row>
    <row r="9">
      <c r="A9" s="31" t="inlineStr">
        <is>
          <t>06</t>
        </is>
      </c>
      <c r="B9" s="32" t="inlineStr">
        <is>
          <t>Wood, Plastics, and Composites</t>
        </is>
      </c>
    </row>
    <row r="10">
      <c r="A10" s="31" t="inlineStr">
        <is>
          <t>07</t>
        </is>
      </c>
      <c r="B10" s="32" t="inlineStr">
        <is>
          <t>Thermal and Moisture Protection</t>
        </is>
      </c>
    </row>
    <row r="11">
      <c r="A11" s="31" t="inlineStr">
        <is>
          <t>08</t>
        </is>
      </c>
      <c r="B11" s="32" t="inlineStr">
        <is>
          <t>Openings</t>
        </is>
      </c>
    </row>
    <row r="12">
      <c r="A12" s="31" t="inlineStr">
        <is>
          <t>09</t>
        </is>
      </c>
      <c r="B12" s="32" t="inlineStr">
        <is>
          <t>Finishes</t>
        </is>
      </c>
    </row>
    <row r="13">
      <c r="A13" s="31" t="inlineStr">
        <is>
          <t>10</t>
        </is>
      </c>
      <c r="B13" s="32" t="inlineStr">
        <is>
          <t>Specialties</t>
        </is>
      </c>
    </row>
    <row r="14">
      <c r="A14" s="31" t="inlineStr">
        <is>
          <t>11</t>
        </is>
      </c>
      <c r="B14" s="32" t="inlineStr">
        <is>
          <t>Equipment</t>
        </is>
      </c>
    </row>
    <row r="15">
      <c r="A15" s="31" t="inlineStr">
        <is>
          <t>12</t>
        </is>
      </c>
      <c r="B15" s="32" t="inlineStr">
        <is>
          <t>Furnishings</t>
        </is>
      </c>
    </row>
    <row r="16">
      <c r="A16" s="31" t="inlineStr">
        <is>
          <t>13</t>
        </is>
      </c>
      <c r="B16" s="32" t="inlineStr">
        <is>
          <t>Special Construction</t>
        </is>
      </c>
    </row>
    <row r="17">
      <c r="A17" s="31" t="inlineStr">
        <is>
          <t>14</t>
        </is>
      </c>
      <c r="B17" s="32" t="inlineStr">
        <is>
          <t>Conveying Equipment</t>
        </is>
      </c>
    </row>
    <row r="18">
      <c r="A18" s="31" t="inlineStr">
        <is>
          <t>21</t>
        </is>
      </c>
      <c r="B18" s="32" t="inlineStr">
        <is>
          <t>Fire Suppression</t>
        </is>
      </c>
    </row>
    <row r="19">
      <c r="A19" s="31" t="inlineStr">
        <is>
          <t>22</t>
        </is>
      </c>
      <c r="B19" s="32" t="inlineStr">
        <is>
          <t>Plumbing</t>
        </is>
      </c>
    </row>
    <row r="20">
      <c r="A20" s="31" t="inlineStr">
        <is>
          <t>23</t>
        </is>
      </c>
      <c r="B20" s="32" t="inlineStr">
        <is>
          <t>HVAC</t>
        </is>
      </c>
    </row>
    <row r="21">
      <c r="A21" s="31" t="inlineStr">
        <is>
          <t>25</t>
        </is>
      </c>
      <c r="B21" s="32" t="inlineStr">
        <is>
          <t>Integrated Automation</t>
        </is>
      </c>
    </row>
    <row r="22">
      <c r="A22" s="31" t="inlineStr">
        <is>
          <t>26</t>
        </is>
      </c>
      <c r="B22" s="32" t="inlineStr">
        <is>
          <t>Electrical</t>
        </is>
      </c>
    </row>
    <row r="23">
      <c r="A23" s="31" t="inlineStr">
        <is>
          <t>27</t>
        </is>
      </c>
      <c r="B23" s="32" t="inlineStr">
        <is>
          <t>Communications</t>
        </is>
      </c>
    </row>
    <row r="24">
      <c r="A24" s="31" t="inlineStr">
        <is>
          <t>28</t>
        </is>
      </c>
      <c r="B24" s="32" t="inlineStr">
        <is>
          <t>Electronic Safety and Security</t>
        </is>
      </c>
    </row>
    <row r="25">
      <c r="A25" s="31" t="inlineStr">
        <is>
          <t>31</t>
        </is>
      </c>
      <c r="B25" s="32" t="inlineStr">
        <is>
          <t>Earthwork</t>
        </is>
      </c>
    </row>
    <row r="26">
      <c r="A26" s="31" t="inlineStr">
        <is>
          <t>32</t>
        </is>
      </c>
      <c r="B26" s="32" t="inlineStr">
        <is>
          <t>Exterior Improvements</t>
        </is>
      </c>
    </row>
    <row r="27">
      <c r="A27" s="31" t="inlineStr">
        <is>
          <t>33</t>
        </is>
      </c>
      <c r="B27" s="32" t="inlineStr">
        <is>
          <t>Utilities</t>
        </is>
      </c>
    </row>
    <row r="28">
      <c r="A28" s="31" t="inlineStr">
        <is>
          <t>34</t>
        </is>
      </c>
      <c r="B28" s="32" t="inlineStr">
        <is>
          <t>Transportation</t>
        </is>
      </c>
    </row>
    <row r="29">
      <c r="A29" s="31" t="inlineStr">
        <is>
          <t>35</t>
        </is>
      </c>
      <c r="B29" s="32" t="inlineStr">
        <is>
          <t>Waterway and Marine Construction</t>
        </is>
      </c>
    </row>
    <row r="30">
      <c r="A30" s="31" t="inlineStr">
        <is>
          <t>40</t>
        </is>
      </c>
      <c r="B30" s="32" t="inlineStr">
        <is>
          <t>Process Interconnections</t>
        </is>
      </c>
    </row>
    <row r="31">
      <c r="A31" s="31" t="inlineStr">
        <is>
          <t>41</t>
        </is>
      </c>
      <c r="B31" s="32" t="inlineStr">
        <is>
          <t>Material Processing and Handling Equipment</t>
        </is>
      </c>
    </row>
    <row r="32">
      <c r="A32" s="31" t="inlineStr">
        <is>
          <t>42</t>
        </is>
      </c>
      <c r="B32" s="32" t="inlineStr">
        <is>
          <t>Process Heating, Cooling, and Drying Equipment</t>
        </is>
      </c>
    </row>
    <row r="33">
      <c r="A33" s="31" t="inlineStr">
        <is>
          <t>43</t>
        </is>
      </c>
      <c r="B33" s="32" t="inlineStr">
        <is>
          <t>Process Gas and Liquid Handling, Purification, and Storage Equipment</t>
        </is>
      </c>
    </row>
    <row r="34">
      <c r="A34" s="31" t="inlineStr">
        <is>
          <t>44</t>
        </is>
      </c>
      <c r="B34" s="32" t="inlineStr">
        <is>
          <t>Pollution and Waste Control Equipment</t>
        </is>
      </c>
    </row>
    <row r="35">
      <c r="A35" s="31" t="inlineStr">
        <is>
          <t>45</t>
        </is>
      </c>
      <c r="B35" s="32" t="inlineStr">
        <is>
          <t>Industry-Specific Manufacturing Equipment</t>
        </is>
      </c>
    </row>
    <row r="36">
      <c r="A36" s="31" t="inlineStr">
        <is>
          <t>46</t>
        </is>
      </c>
      <c r="B36" s="32" t="inlineStr">
        <is>
          <t>Water and Wastewater Equipment</t>
        </is>
      </c>
    </row>
    <row r="37">
      <c r="A37" s="31" t="inlineStr">
        <is>
          <t>48</t>
        </is>
      </c>
      <c r="B37" s="32" t="inlineStr">
        <is>
          <t>Electrical Power Generation</t>
        </is>
      </c>
    </row>
    <row r="38">
      <c r="A38" s="31" t="inlineStr">
        <is>
          <t>49</t>
        </is>
      </c>
      <c r="B38" s="32" t="inlineStr">
        <is>
          <t>Reserved</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2026-05-14T10:19:46Z</dcterms:created>
  <dcterms:modified xmlns:dcterms="http://purl.org/dc/terms/" xmlns:xsi="http://www.w3.org/2001/XMLSchema-instance" xsi:type="dcterms:W3CDTF">2026-05-14T10:19:46Z</dcterms:modified>
</cp:coreProperties>
</file>