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Instructions" sheetId="1" state="visible" r:id="rId1"/>
    <sheet xmlns:r="http://schemas.openxmlformats.org/officeDocument/2006/relationships" name="Company Info" sheetId="2" state="visible" r:id="rId2"/>
    <sheet xmlns:r="http://schemas.openxmlformats.org/officeDocument/2006/relationships" name="Vendor Invoice Log" sheetId="3" state="visible" r:id="rId3"/>
    <sheet xmlns:r="http://schemas.openxmlformats.org/officeDocument/2006/relationships" name="Aging Summary by Type" sheetId="4" state="visible" r:id="rId4"/>
    <sheet xmlns:r="http://schemas.openxmlformats.org/officeDocument/2006/relationships" name="Dashboard" sheetId="5" state="visible" r:id="rId5"/>
    <sheet xmlns:r="http://schemas.openxmlformats.org/officeDocument/2006/relationships" name="CSI Reference" sheetId="6" state="hidden" r:id="rId6"/>
  </sheets>
  <definedNames>
    <definedName name="CSI_Divisions">'CSI Reference'!$A$4:$A$38</definedName>
    <definedName name="CSI_Table">'CSI Reference'!$A$4:$B$38</definedName>
  </definedNames>
  <calcPr calcId="124519" fullCalcOnLoad="1"/>
</workbook>
</file>

<file path=xl/styles.xml><?xml version="1.0" encoding="utf-8"?>
<styleSheet xmlns="http://schemas.openxmlformats.org/spreadsheetml/2006/main">
  <numFmts count="3">
    <numFmt numFmtId="164" formatCode="yyyy-mm-dd"/>
    <numFmt numFmtId="165" formatCode="_($* #,##0.00_);_($* (#,##0.00);_($* &quot;-&quot;??_);_(@_)"/>
    <numFmt numFmtId="166" formatCode="0.0%"/>
  </numFmts>
  <fonts count="18">
    <font>
      <name val="Calibri"/>
      <family val="2"/>
      <color theme="1"/>
      <sz val="11"/>
      <scheme val="minor"/>
    </font>
    <font>
      <name val="Calibri"/>
      <b val="1"/>
      <color rgb="001E3A5F"/>
      <sz val="22"/>
    </font>
    <font>
      <name val="Calibri"/>
      <i val="1"/>
      <color rgb="00808080"/>
      <sz val="11"/>
    </font>
    <font>
      <name val="Calibri"/>
      <b val="1"/>
      <color rgb="001E3A5F"/>
      <sz val="12"/>
    </font>
    <font>
      <name val="Calibri"/>
      <sz val="11"/>
    </font>
    <font>
      <name val="Calibri"/>
      <i val="1"/>
      <color rgb="00808080"/>
      <sz val="10"/>
    </font>
    <font>
      <name val="Calibri"/>
      <b val="1"/>
      <color rgb="00FFFFFF"/>
      <sz val="11"/>
    </font>
    <font>
      <name val="Calibri"/>
      <b val="1"/>
      <sz val="11"/>
    </font>
    <font>
      <name val="Calibri"/>
      <b val="1"/>
      <color rgb="00006100"/>
      <sz val="11"/>
    </font>
    <font>
      <name val="Calibri"/>
      <b val="1"/>
      <color rgb="009C5700"/>
      <sz val="11"/>
    </font>
    <font>
      <name val="Calibri"/>
      <b val="1"/>
      <color rgb="008A4B00"/>
      <sz val="11"/>
    </font>
    <font>
      <name val="Calibri"/>
      <b val="1"/>
      <color rgb="009C0006"/>
      <sz val="11"/>
    </font>
    <font>
      <name val="Calibri"/>
      <b val="1"/>
      <color rgb="00FFFFFF"/>
      <sz val="14"/>
    </font>
    <font>
      <name val="Calibri"/>
      <b val="1"/>
      <color rgb="001E3A5F"/>
      <sz val="18"/>
    </font>
    <font>
      <name val="Calibri"/>
      <b val="1"/>
      <color rgb="00006100"/>
      <sz val="12"/>
    </font>
    <font>
      <name val="Calibri"/>
      <b val="1"/>
      <color rgb="009C5700"/>
      <sz val="12"/>
    </font>
    <font>
      <name val="Calibri"/>
      <b val="1"/>
      <color rgb="008A4B00"/>
      <sz val="12"/>
    </font>
    <font>
      <name val="Calibri"/>
      <b val="1"/>
      <color rgb="009C0006"/>
      <sz val="12"/>
    </font>
  </fonts>
  <fills count="8">
    <fill>
      <patternFill/>
    </fill>
    <fill>
      <patternFill patternType="gray125"/>
    </fill>
    <fill>
      <patternFill patternType="solid">
        <fgColor rgb="00D6E0EC"/>
      </patternFill>
    </fill>
    <fill>
      <patternFill patternType="solid">
        <fgColor rgb="001E3A5F"/>
      </patternFill>
    </fill>
    <fill>
      <patternFill patternType="solid">
        <fgColor rgb="00C6EFCE"/>
      </patternFill>
    </fill>
    <fill>
      <patternFill patternType="solid">
        <fgColor rgb="00FFEB9C"/>
      </patternFill>
    </fill>
    <fill>
      <patternFill patternType="solid">
        <fgColor rgb="00FFD8A8"/>
      </patternFill>
    </fill>
    <fill>
      <patternFill patternType="solid">
        <fgColor rgb="00FFC7CE"/>
      </patternFill>
    </fill>
  </fills>
  <borders count="6">
    <border>
      <left/>
      <right/>
      <top/>
      <bottom/>
      <diagonal/>
    </border>
    <border>
      <left style="thin">
        <color rgb="00B0B7BF"/>
      </left>
      <right style="thin">
        <color rgb="00B0B7BF"/>
      </right>
      <top style="thin">
        <color rgb="00B0B7BF"/>
      </top>
      <bottom style="thin">
        <color rgb="00B0B7BF"/>
      </bottom>
    </border>
    <border>
      <left/>
      <right/>
      <top style="thin">
        <color rgb="00B0B7BF"/>
      </top>
      <bottom/>
      <diagonal/>
    </border>
    <border>
      <left/>
      <right style="thin">
        <color rgb="00B0B7BF"/>
      </right>
      <top style="thin">
        <color rgb="00B0B7BF"/>
      </top>
      <bottom/>
      <diagonal/>
    </border>
    <border>
      <left/>
      <right/>
      <top style="thin">
        <color rgb="00B0B7BF"/>
      </top>
      <bottom style="thin">
        <color rgb="00B0B7BF"/>
      </bottom>
      <diagonal/>
    </border>
    <border>
      <left/>
      <right style="thin">
        <color rgb="00B0B7BF"/>
      </right>
      <top style="thin">
        <color rgb="00B0B7BF"/>
      </top>
      <bottom style="thin">
        <color rgb="00B0B7BF"/>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indent="1"/>
    </xf>
    <xf numFmtId="0" fontId="4" fillId="0" borderId="0" applyAlignment="1" pivotButton="0" quotePrefix="0" xfId="0">
      <alignment vertical="top" wrapText="1"/>
    </xf>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wrapText="1"/>
    </xf>
    <xf numFmtId="0" fontId="0" fillId="0" borderId="1" pivotButton="0" quotePrefix="0" xfId="0"/>
    <xf numFmtId="49" fontId="0" fillId="0" borderId="1" applyAlignment="1" pivotButton="0" quotePrefix="0" xfId="0">
      <alignment vertical="center"/>
    </xf>
    <xf numFmtId="164"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vertical="center"/>
    </xf>
    <xf numFmtId="165" fontId="0" fillId="0" borderId="1" applyAlignment="1" pivotButton="0" quotePrefix="0" xfId="0">
      <alignment vertical="center"/>
    </xf>
    <xf numFmtId="1" fontId="0" fillId="0" borderId="1" applyAlignment="1" pivotButton="0" quotePrefix="0" xfId="0">
      <alignment vertical="center"/>
    </xf>
    <xf numFmtId="0" fontId="7" fillId="2" borderId="1" applyAlignment="1" pivotButton="0" quotePrefix="0" xfId="0">
      <alignment horizontal="right"/>
    </xf>
    <xf numFmtId="165" fontId="7" fillId="2" borderId="1" pivotButton="0" quotePrefix="0" xfId="0"/>
    <xf numFmtId="0" fontId="8" fillId="4" borderId="1" applyAlignment="1" pivotButton="0" quotePrefix="0" xfId="0">
      <alignment vertical="center" indent="1"/>
    </xf>
    <xf numFmtId="1" fontId="0" fillId="0" borderId="1" pivotButton="0" quotePrefix="0" xfId="0"/>
    <xf numFmtId="165" fontId="0" fillId="0" borderId="1" pivotButton="0" quotePrefix="0" xfId="0"/>
    <xf numFmtId="0" fontId="9" fillId="5" borderId="1" applyAlignment="1" pivotButton="0" quotePrefix="0" xfId="0">
      <alignment vertical="center" indent="1"/>
    </xf>
    <xf numFmtId="0" fontId="10" fillId="6" borderId="1" applyAlignment="1" pivotButton="0" quotePrefix="0" xfId="0">
      <alignment vertical="center" indent="1"/>
    </xf>
    <xf numFmtId="0" fontId="11" fillId="7" borderId="1" applyAlignment="1" pivotButton="0" quotePrefix="0" xfId="0">
      <alignment vertical="center" indent="1"/>
    </xf>
    <xf numFmtId="0" fontId="7" fillId="2" borderId="1" applyAlignment="1" pivotButton="0" quotePrefix="0" xfId="0">
      <alignment vertical="center" indent="1"/>
    </xf>
    <xf numFmtId="1" fontId="7" fillId="2" borderId="1" pivotButton="0" quotePrefix="0" xfId="0"/>
    <xf numFmtId="0" fontId="12" fillId="3" borderId="0" applyAlignment="1" pivotButton="0" quotePrefix="0" xfId="0">
      <alignment vertical="center" indent="1"/>
    </xf>
    <xf numFmtId="0" fontId="0" fillId="0" borderId="4" pivotButton="0" quotePrefix="0" xfId="0"/>
    <xf numFmtId="0" fontId="0" fillId="0" borderId="5" pivotButton="0" quotePrefix="0" xfId="0"/>
    <xf numFmtId="165" fontId="13" fillId="0" borderId="1" applyAlignment="1" pivotButton="0" quotePrefix="0" xfId="0">
      <alignment horizontal="right" vertical="center" indent="1"/>
    </xf>
    <xf numFmtId="1" fontId="13" fillId="0" borderId="1" applyAlignment="1" pivotButton="0" quotePrefix="0" xfId="0">
      <alignment horizontal="right" vertical="center" indent="1"/>
    </xf>
    <xf numFmtId="0" fontId="14" fillId="4" borderId="1" applyAlignment="1" pivotButton="0" quotePrefix="0" xfId="0">
      <alignment vertical="center" indent="1"/>
    </xf>
    <xf numFmtId="1" fontId="7" fillId="0" borderId="1" applyAlignment="1" pivotButton="0" quotePrefix="0" xfId="0">
      <alignment horizontal="center" vertical="center"/>
    </xf>
    <xf numFmtId="165" fontId="7" fillId="0" borderId="1" applyAlignment="1" pivotButton="0" quotePrefix="0" xfId="0">
      <alignment horizontal="right" vertical="center" indent="1"/>
    </xf>
    <xf numFmtId="166" fontId="7" fillId="0" borderId="1" applyAlignment="1" pivotButton="0" quotePrefix="0" xfId="0">
      <alignment horizontal="right" vertical="center" indent="1"/>
    </xf>
    <xf numFmtId="0" fontId="15" fillId="5" borderId="1" applyAlignment="1" pivotButton="0" quotePrefix="0" xfId="0">
      <alignment vertical="center" indent="1"/>
    </xf>
    <xf numFmtId="0" fontId="16" fillId="6" borderId="1" applyAlignment="1" pivotButton="0" quotePrefix="0" xfId="0">
      <alignment vertical="center" indent="1"/>
    </xf>
    <xf numFmtId="0" fontId="17" fillId="7" borderId="1" applyAlignment="1" pivotButton="0" quotePrefix="0" xfId="0">
      <alignment vertical="center" indent="1"/>
    </xf>
    <xf numFmtId="1" fontId="7" fillId="2" borderId="1" applyAlignment="1" pivotButton="0" quotePrefix="0" xfId="0">
      <alignment horizontal="center" vertical="center"/>
    </xf>
    <xf numFmtId="165" fontId="7" fillId="2" borderId="1" applyAlignment="1" pivotButton="0" quotePrefix="0" xfId="0">
      <alignment horizontal="right" vertical="center" indent="1"/>
    </xf>
    <xf numFmtId="166" fontId="7" fillId="2" borderId="1" applyAlignment="1" pivotButton="0" quotePrefix="0" xfId="0">
      <alignment horizontal="right" vertical="center" indent="1"/>
    </xf>
    <xf numFmtId="49" fontId="4" fillId="0" borderId="1" pivotButton="0" quotePrefix="0" xfId="0"/>
    <xf numFmtId="0" fontId="4" fillId="0" borderId="1" pivotButton="0" quotePrefix="0" xfId="0"/>
  </cellXfs>
  <cellStyles count="1">
    <cellStyle name="Normal" xfId="0" builtinId="0" hidden="0"/>
  </cellStyles>
  <dxfs count="7">
    <dxf>
      <font>
        <b val="1"/>
        <color rgb="00006100"/>
      </font>
      <fill>
        <patternFill patternType="solid">
          <fgColor rgb="00C6EFCE"/>
        </patternFill>
      </fill>
    </dxf>
    <dxf>
      <font>
        <b val="1"/>
        <color rgb="009C5700"/>
      </font>
      <fill>
        <patternFill patternType="solid">
          <fgColor rgb="00FFEB9C"/>
        </patternFill>
      </fill>
    </dxf>
    <dxf>
      <font>
        <b val="1"/>
        <color rgb="008A4B00"/>
      </font>
      <fill>
        <patternFill patternType="solid">
          <fgColor rgb="00FFD8A8"/>
        </patternFill>
      </fill>
    </dxf>
    <dxf>
      <font>
        <b val="1"/>
        <color rgb="009C0006"/>
      </font>
      <fill>
        <patternFill patternType="solid">
          <fgColor rgb="00FFC7CE"/>
        </patternFill>
      </fill>
    </dxf>
    <dxf>
      <font>
        <b val="1"/>
        <color rgb="009C5700"/>
        <sz val="18"/>
      </font>
      <fill>
        <patternFill patternType="solid">
          <fgColor rgb="00FFEB9C"/>
        </patternFill>
      </fill>
    </dxf>
    <dxf>
      <font>
        <b val="1"/>
        <color rgb="00006100"/>
        <sz val="18"/>
      </font>
      <fill>
        <patternFill patternType="solid">
          <fgColor rgb="00C6EFCE"/>
        </patternFill>
      </fill>
    </dxf>
    <dxf>
      <font>
        <b val="1"/>
        <color rgb="009C0006"/>
        <sz val="18"/>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69"/>
  <sheetViews>
    <sheetView showGridLines="0" workbookViewId="0">
      <selection activeCell="A1" sqref="A1"/>
    </sheetView>
  </sheetViews>
  <sheetFormatPr baseColWidth="8" defaultRowHeight="15"/>
  <cols>
    <col width="4" customWidth="1" min="1" max="1"/>
    <col width="110" customWidth="1" min="2" max="2"/>
  </cols>
  <sheetData>
    <row r="2" ht="32" customHeight="1">
      <c r="B2" s="1" t="inlineStr">
        <is>
          <t>ContrPro - Accounts Payable (AP) Tracker</t>
        </is>
      </c>
    </row>
    <row r="3">
      <c r="B3" s="2" t="inlineStr">
        <is>
          <t>Mirror image of the AR Tracker - what YOU owe vendors, subs, and suppliers. Cash flow and lien-waiver discipline live here.</t>
        </is>
      </c>
    </row>
    <row r="5" ht="22" customHeight="1">
      <c r="B5" s="3" t="inlineStr">
        <is>
          <t>What this workbook is</t>
        </is>
      </c>
    </row>
    <row r="6" ht="48" customHeight="1">
      <c r="B6" s="4" t="inlineStr">
        <is>
          <t>Five visible tabs plus a hidden CSI Reference. Company Info anchors your entity, Vendor Invoice Log is the main worksheet, Aging Summary buckets exposure by vendor type, and Dashboard surfaces the two metrics that wreck contractors: Subs Paid Without Lien Waiver and Subs On Site With Expired COIs.</t>
        </is>
      </c>
    </row>
    <row r="7" ht="32" customHeight="1">
      <c r="B7" s="4" t="inlineStr">
        <is>
          <t>Every bill you receive goes in the Vendor Invoice Log. The aging math is automatic - you fill in dates and amounts, the workbook tells you what's due this week, what's late, and which payments carry risk.</t>
        </is>
      </c>
    </row>
    <row r="9" ht="22" customHeight="1">
      <c r="B9" s="3" t="inlineStr">
        <is>
          <t>Vendor vs sub vs material supplier - tag every row</t>
        </is>
      </c>
    </row>
    <row r="10" ht="32" customHeight="1">
      <c r="B10" s="4" t="inlineStr">
        <is>
          <t>Subcontractor - performs labor on site. Owes you a lien waiver before AND after payment. Must carry current COI naming you as additional insured. Highest risk per dollar - mechanic's-lien exposure.</t>
        </is>
      </c>
    </row>
    <row r="11" ht="32" customHeight="1">
      <c r="B11" s="4" t="inlineStr">
        <is>
          <t>Material Supplier - delivers materials, no on-site labor. May still have lien rights (depends on state). Joint check agreements common when supplier sells through your sub.</t>
        </is>
      </c>
    </row>
    <row r="12" ht="32" customHeight="1">
      <c r="B12" s="4" t="inlineStr">
        <is>
          <t>Equipment Rental - cranes, lifts, generators. Time-and-materials billing. Watch for damage waivers and fuel/run-time true-ups.</t>
        </is>
      </c>
    </row>
    <row r="13" ht="18" customHeight="1">
      <c r="B13" s="4" t="inlineStr">
        <is>
          <t>Service - utilities, dumpsters, sanitation, professional services (engineer, surveyor, attorney).</t>
        </is>
      </c>
    </row>
    <row r="14" ht="18" customHeight="1">
      <c r="B14" s="4" t="inlineStr">
        <is>
          <t>Other - catch-all. Use sparingly; re-tag when you can.</t>
        </is>
      </c>
    </row>
    <row r="16" ht="22" customHeight="1">
      <c r="B16" s="3" t="inlineStr">
        <is>
          <t>Lien waiver workflow - DO NOT pay without one</t>
        </is>
      </c>
    </row>
    <row r="17" ht="32" customHeight="1">
      <c r="B17" s="4" t="inlineStr">
        <is>
          <t>Conditional waiver - get from sub BEFORE you cut the check. Says 'lien rights waived CONDITIONAL on receipt of payment.' Protects you the moment the funds clear. Required at every progress payment.</t>
        </is>
      </c>
    </row>
    <row r="18" ht="32" customHeight="1">
      <c r="B18" s="4" t="inlineStr">
        <is>
          <t>Unconditional Partial - get AFTER the check clears, for the amount actually paid. Says 'lien rights waived up to $X paid through date Y.' Required to close out each pay cycle.</t>
        </is>
      </c>
    </row>
    <row r="19" ht="32" customHeight="1">
      <c r="B19" s="4" t="inlineStr">
        <is>
          <t>Unconditional Final - get on the FINAL payment after the check clears. Says 'all lien rights waived, paid in full.' Required to close the job.</t>
        </is>
      </c>
    </row>
    <row r="20" ht="32" customHeight="1">
      <c r="B20" s="4" t="inlineStr">
        <is>
          <t>If the Status is Paid and Lien Waiver Received is None - that row turns red. Track it down NOW. Every day you let it sit, the sub has a longer window to lien your project.</t>
        </is>
      </c>
    </row>
    <row r="22" ht="22" customHeight="1">
      <c r="B22" s="3" t="inlineStr">
        <is>
          <t>Trust fund implications - this is statutory law in some states</t>
        </is>
      </c>
    </row>
    <row r="23" ht="48" customHeight="1">
      <c r="B23" s="4" t="inlineStr">
        <is>
          <t>Texas Construction Trust Fund Act (Tex. Prop. Code Ch. 162): money you receive from an owner is held in TRUST for downstream subs and suppliers. Spending it on overhead before paying subs is a felony in Texas. Pay your subs from project money first - period.</t>
        </is>
      </c>
    </row>
    <row r="24" ht="32" customHeight="1">
      <c r="B24" s="4" t="inlineStr">
        <is>
          <t>New York Lien Law Article 3-A: similar statutory trust. Funds received are trust funds; diversion is larceny. Personal liability for officers/managers who divert.</t>
        </is>
      </c>
    </row>
    <row r="25" ht="48" customHeight="1">
      <c r="B25" s="4" t="inlineStr">
        <is>
          <t>Maryland, Michigan, Minnesota, New Jersey, Washington, Wisconsin, Illinois (residential): comparable trust fund or prompt-payment statutes. Confirm your state with counsel before assuming you're free to commingle project receipts with operating cash.</t>
        </is>
      </c>
    </row>
    <row r="26" ht="48" customHeight="1">
      <c r="B26" s="4" t="inlineStr">
        <is>
          <t>The Total Retainage Held figure on the Dashboard is the dollar amount you have BACK-pocketed from subs. In trust-fund states, that money may be statutorily owed - get the lien waiver, release on the contract milestone, do not sit on it past the agreed release date.</t>
        </is>
      </c>
    </row>
    <row r="28" ht="22" customHeight="1">
      <c r="B28" s="3" t="inlineStr">
        <is>
          <t>COI (Certificate of Insurance) discipline</t>
        </is>
      </c>
    </row>
    <row r="29" ht="32" customHeight="1">
      <c r="B29" s="4" t="inlineStr">
        <is>
          <t>Every sub on site MUST have current general liability + workers comp coverage naming you as additional insured. Expired = stop work, no exceptions.</t>
        </is>
      </c>
    </row>
    <row r="30" ht="32" customHeight="1">
      <c r="B30" s="4" t="inlineStr">
        <is>
          <t>COI Current column: Yes / No / Expired / N/A. If Expired or No appears on a sub with an open balance, that row turns red and the Dashboard increments the COI risk counter.</t>
        </is>
      </c>
    </row>
    <row r="31" ht="32" customHeight="1">
      <c r="B31" s="4" t="inlineStr">
        <is>
          <t>Material suppliers and most services are N/A. Equipment rentals usually require a different certificate type (rental liability). Use your judgment - the dropdown is a tool, not a doctrine.</t>
        </is>
      </c>
    </row>
    <row r="33" ht="22" customHeight="1">
      <c r="B33" s="3" t="inlineStr">
        <is>
          <t>Aging buckets and prompt-payment statutes</t>
        </is>
      </c>
    </row>
    <row r="34" ht="18" customHeight="1">
      <c r="B34" s="4" t="inlineStr">
        <is>
          <t>Current   - not yet past due. Pay on the negotiated terms.</t>
        </is>
      </c>
    </row>
    <row r="35" ht="32" customHeight="1">
      <c r="B35" s="4" t="inlineStr">
        <is>
          <t>1-30      - 1 to 30 days past due. Sub will start calling. Most states' prompt-payment statutes trigger interest in this window (commonly 1-2% per month).</t>
        </is>
      </c>
    </row>
    <row r="36" ht="18" customHeight="1">
      <c r="B36" s="4" t="inlineStr">
        <is>
          <t>31-60     - 31 to 60 days. Sub may stop work. State licensing boards take complaints seriously.</t>
        </is>
      </c>
    </row>
    <row r="37" ht="32" customHeight="1">
      <c r="B37" s="4" t="inlineStr">
        <is>
          <t>61-90     - 61 to 90 days. Most state prompt-pay statutes have ALREADY granted statutory interest. Sub may file a stop-work notice or mechanic's lien.</t>
        </is>
      </c>
    </row>
    <row r="38" ht="18" customHeight="1">
      <c r="B38" s="4" t="inlineStr">
        <is>
          <t>91-120    - 91 to 120 days. Lien is likely. Bond claim if you bonded the job.</t>
        </is>
      </c>
    </row>
    <row r="39" ht="18" customHeight="1">
      <c r="B39" s="4" t="inlineStr">
        <is>
          <t>120+      - over 120 days. Litigation or bond claim is probably already in motion.</t>
        </is>
      </c>
    </row>
    <row r="40" ht="32" customHeight="1">
      <c r="B40" s="4" t="inlineStr">
        <is>
          <t>Note: many states' prompt-payment statutes require GC to pay subs within 7-30 days of receiving owner payment for that sub's work. Falling outside that window can void contract defenses.</t>
        </is>
      </c>
    </row>
    <row r="42" ht="22" customHeight="1">
      <c r="B42" s="3" t="inlineStr">
        <is>
          <t>Color coding cheat sheet</t>
        </is>
      </c>
    </row>
    <row r="43" ht="18" customHeight="1">
      <c r="B43" s="4" t="inlineStr">
        <is>
          <t>Aging Bucket: green = Current/Paid, yellow = 1-30/31-60, orange = 61-90, red = 91-120/120+.</t>
        </is>
      </c>
    </row>
    <row r="44" ht="18" customHeight="1">
      <c r="B44" s="4" t="inlineStr">
        <is>
          <t>Lien Waiver: RED if Status is Paid and Waiver is None - you paid a sub without protection.</t>
        </is>
      </c>
    </row>
    <row r="45" ht="18" customHeight="1">
      <c r="B45" s="4" t="inlineStr">
        <is>
          <t>COI Current: RED if No or Expired - sub is on site without coverage.</t>
        </is>
      </c>
    </row>
    <row r="46" ht="18" customHeight="1">
      <c r="B46" s="4" t="inlineStr">
        <is>
          <t>Status: green = Paid, yellow = Received/Approved for Payment, red = On Hold/Disputed.</t>
        </is>
      </c>
    </row>
    <row r="48" ht="22" customHeight="1">
      <c r="B48" s="3" t="inlineStr">
        <is>
          <t>Tab-by-tab quick start</t>
        </is>
      </c>
    </row>
    <row r="49" ht="18" customHeight="1">
      <c r="B49" s="4" t="inlineStr">
        <is>
          <t>1. Company Info - your entity name, EIN, primary state, and any AP-specific notes.</t>
        </is>
      </c>
    </row>
    <row r="50" ht="48" customHeight="1">
      <c r="B50" s="4" t="inlineStr">
        <is>
          <t>2. Vendor Invoice Log - one row per bill. Pick Vendor Type and CSI Division from dropdowns. Fill in Amount, Retainage Withheld, Date Due, Date Paid, Amount Paid. Outstanding, Aging, and Days Outstanding all calculate. Set Lien Waiver and COI status honestly - the risk panel depends on it.</t>
        </is>
      </c>
    </row>
    <row r="51" ht="18" customHeight="1">
      <c r="B51" s="4" t="inlineStr">
        <is>
          <t>3. Aging Summary by Vendor Type - DO NOT edit. Cross-tabs aging x vendor type.</t>
        </is>
      </c>
    </row>
    <row r="52" ht="32" customHeight="1">
      <c r="B52" s="4" t="inlineStr">
        <is>
          <t>4. Dashboard - DO NOT edit. Top of stack: outstanding AP, retainage held from subs, subs with bad COIs, subs paid without waivers, DPO, aging panel.</t>
        </is>
      </c>
    </row>
    <row r="54" ht="22" customHeight="1">
      <c r="B54" s="3" t="inlineStr">
        <is>
          <t>Weekly cadence</t>
        </is>
      </c>
    </row>
    <row r="55" ht="32" customHeight="1">
      <c r="B55" s="4" t="inlineStr">
        <is>
          <t>Monday morning: open Dashboard. Anything red gets handled before lunch. COI-expired subs - call them off site until they email a current cert.</t>
        </is>
      </c>
    </row>
    <row r="56" ht="32" customHeight="1">
      <c r="B56" s="4" t="inlineStr">
        <is>
          <t>Wednesday: pay run. Cut checks ONLY against rows with a current conditional waiver on file. If you have to pay without one, document why in Notes and chase the unconditional inside 5 business days.</t>
        </is>
      </c>
    </row>
    <row r="57" ht="18" customHeight="1">
      <c r="B57" s="4" t="inlineStr">
        <is>
          <t>Friday afternoon: log every bill received and payment made this week. Reconcile against the bank.</t>
        </is>
      </c>
    </row>
    <row r="58" ht="32" customHeight="1">
      <c r="B58" s="4" t="inlineStr">
        <is>
          <t>End of month: tie Total Outstanding AP to your accounting system. They must match. Reconcile retainage held to your sub contracts.</t>
        </is>
      </c>
    </row>
    <row r="60" ht="22" customHeight="1">
      <c r="B60" s="3" t="inlineStr">
        <is>
          <t>Tabs in this workbook</t>
        </is>
      </c>
    </row>
    <row r="61" ht="18" customHeight="1">
      <c r="B61" s="4" t="inlineStr">
        <is>
          <t>Instructions             -  this tab</t>
        </is>
      </c>
    </row>
    <row r="62" ht="18" customHeight="1">
      <c r="B62" s="4" t="inlineStr">
        <is>
          <t>Company Info             -  your entity anchor</t>
        </is>
      </c>
    </row>
    <row r="63" ht="18" customHeight="1">
      <c r="B63" s="4" t="inlineStr">
        <is>
          <t>Vendor Invoice Log       -  CSI-coded bill line items, the main worksheet</t>
        </is>
      </c>
    </row>
    <row r="64" ht="18" customHeight="1">
      <c r="B64" s="4" t="inlineStr">
        <is>
          <t>Aging Summary by Type    -  aging x vendor type cross-tab</t>
        </is>
      </c>
    </row>
    <row r="65" ht="18" customHeight="1">
      <c r="B65" s="4" t="inlineStr">
        <is>
          <t>Dashboard                -  AP headline, risk flags, DPO, aging panel</t>
        </is>
      </c>
    </row>
    <row r="66" ht="18" customHeight="1">
      <c r="B66" s="4" t="inlineStr">
        <is>
          <t>CSI Reference            -  canonical division list (hidden - do not edit)</t>
        </is>
      </c>
    </row>
    <row r="69">
      <c r="B69" s="5" t="inlineStr">
        <is>
          <t>ContrPro - built for builders. Questions: support@contrpro.com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6" customWidth="1" min="3" max="3"/>
    <col width="70" customWidth="1" min="4" max="4"/>
  </cols>
  <sheetData>
    <row r="1" ht="30" customHeight="1">
      <c r="A1" s="1" t="inlineStr">
        <is>
          <t>Company Information</t>
        </is>
      </c>
    </row>
    <row r="3" ht="32" customHeight="1">
      <c r="A3" s="6" t="inlineStr">
        <is>
          <t>Company Name</t>
        </is>
      </c>
      <c r="B3" s="6" t="inlineStr">
        <is>
          <t>EIN</t>
        </is>
      </c>
      <c r="C3" s="6" t="inlineStr">
        <is>
          <t>Primary State</t>
        </is>
      </c>
      <c r="D3" s="6" t="inlineStr">
        <is>
          <t>Notes</t>
        </is>
      </c>
    </row>
    <row r="4">
      <c r="A4" s="7" t="inlineStr">
        <is>
          <t>EXAMPLE - Acme Construction LLC</t>
        </is>
      </c>
      <c r="B4" s="7" t="inlineStr">
        <is>
          <t>12-3456789</t>
        </is>
      </c>
      <c r="C4" s="7" t="inlineStr">
        <is>
          <t>TX</t>
        </is>
      </c>
      <c r="D4" s="7" t="inlineStr">
        <is>
          <t>Texas Construction Trust Fund Act applies - pay subs from project receipts first.</t>
        </is>
      </c>
    </row>
    <row r="5" ht="22" customHeight="1">
      <c r="A5" s="8" t="n"/>
      <c r="B5" s="8" t="n"/>
      <c r="C5" s="8" t="n"/>
      <c r="D5" s="8" t="n"/>
    </row>
    <row r="6" ht="22" customHeight="1">
      <c r="A6" s="8" t="n"/>
      <c r="B6" s="8" t="n"/>
      <c r="C6" s="8" t="n"/>
      <c r="D6" s="8" t="n"/>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24" customWidth="1" min="3" max="3"/>
    <col width="14" customWidth="1" min="4" max="4"/>
    <col width="11" customWidth="1" min="5" max="5"/>
    <col width="12" customWidth="1" min="6" max="6"/>
    <col width="24" customWidth="1" min="7" max="7"/>
    <col width="22" customWidth="1" min="8" max="8"/>
    <col width="36" customWidth="1" min="9" max="9"/>
    <col width="14" customWidth="1" min="10" max="10"/>
    <col width="14" customWidth="1" min="11" max="11"/>
    <col width="14" customWidth="1" min="12" max="12"/>
    <col width="12" customWidth="1" min="13" max="13"/>
    <col width="12" customWidth="1" min="14" max="14"/>
    <col width="14" customWidth="1" min="15" max="15"/>
    <col width="14" customWidth="1" min="16" max="16"/>
    <col width="11" customWidth="1" min="17" max="17"/>
    <col width="12" customWidth="1" min="18" max="18"/>
    <col width="18" customWidth="1" min="19" max="19"/>
    <col width="11" customWidth="1" min="20" max="20"/>
    <col width="18" customWidth="1" min="21" max="21"/>
    <col width="36" customWidth="1" min="22" max="22"/>
  </cols>
  <sheetData>
    <row r="1" ht="28" customHeight="1">
      <c r="A1" s="1" t="inlineStr">
        <is>
          <t>Vendor Invoice Log (CSI MasterFormat)</t>
        </is>
      </c>
    </row>
    <row r="3" ht="32" customHeight="1">
      <c r="A3" s="6" t="inlineStr">
        <is>
          <t>Invoice / Bill Number</t>
        </is>
      </c>
      <c r="B3" s="6" t="inlineStr">
        <is>
          <t>Date Received</t>
        </is>
      </c>
      <c r="C3" s="6" t="inlineStr">
        <is>
          <t>Vendor / Supplier / Sub</t>
        </is>
      </c>
      <c r="D3" s="6" t="inlineStr">
        <is>
          <t>Vendor Type</t>
        </is>
      </c>
      <c r="E3" s="6" t="inlineStr">
        <is>
          <t>CSI Division</t>
        </is>
      </c>
      <c r="F3" s="6" t="inlineStr">
        <is>
          <t>CSI Code</t>
        </is>
      </c>
      <c r="G3" s="6" t="inlineStr">
        <is>
          <t>Division Name</t>
        </is>
      </c>
      <c r="H3" s="6" t="inlineStr">
        <is>
          <t>Project / Job</t>
        </is>
      </c>
      <c r="I3" s="6" t="inlineStr">
        <is>
          <t>Description</t>
        </is>
      </c>
      <c r="J3" s="6" t="inlineStr">
        <is>
          <t>Amount</t>
        </is>
      </c>
      <c r="K3" s="6" t="inlineStr">
        <is>
          <t>Retainage Withheld</t>
        </is>
      </c>
      <c r="L3" s="6" t="inlineStr">
        <is>
          <t>Net Payable</t>
        </is>
      </c>
      <c r="M3" s="6" t="inlineStr">
        <is>
          <t>Date Due</t>
        </is>
      </c>
      <c r="N3" s="6" t="inlineStr">
        <is>
          <t>Date Paid</t>
        </is>
      </c>
      <c r="O3" s="6" t="inlineStr">
        <is>
          <t>Amount Paid</t>
        </is>
      </c>
      <c r="P3" s="6" t="inlineStr">
        <is>
          <t>Outstanding</t>
        </is>
      </c>
      <c r="Q3" s="6" t="inlineStr">
        <is>
          <t>Days Outstanding</t>
        </is>
      </c>
      <c r="R3" s="6" t="inlineStr">
        <is>
          <t>Aging Bucket</t>
        </is>
      </c>
      <c r="S3" s="6" t="inlineStr">
        <is>
          <t>Lien Waiver Received?</t>
        </is>
      </c>
      <c r="T3" s="6" t="inlineStr">
        <is>
          <t>COI Current?</t>
        </is>
      </c>
      <c r="U3" s="6" t="inlineStr">
        <is>
          <t>Status</t>
        </is>
      </c>
      <c r="V3" s="6" t="inlineStr">
        <is>
          <t>Notes</t>
        </is>
      </c>
    </row>
    <row r="4" ht="36" customHeight="1">
      <c r="A4" s="9" t="inlineStr">
        <is>
          <t>B-2001</t>
        </is>
      </c>
      <c r="B4" s="10" t="inlineStr">
        <is>
          <t>2026-03-15</t>
        </is>
      </c>
      <c r="C4" s="11" t="inlineStr">
        <is>
          <t>Pacific Steel Erectors</t>
        </is>
      </c>
      <c r="D4" s="12" t="inlineStr">
        <is>
          <t>Subcontractor</t>
        </is>
      </c>
      <c r="E4" s="9" t="inlineStr">
        <is>
          <t>05</t>
        </is>
      </c>
      <c r="F4" s="9" t="inlineStr">
        <is>
          <t>05 12 00</t>
        </is>
      </c>
      <c r="G4" s="11">
        <f>IFERROR(VLOOKUP(E4,CSI_Table,2,FALSE),"")</f>
        <v/>
      </c>
      <c r="H4" s="11" t="inlineStr">
        <is>
          <t>Riverside Office Bldg</t>
        </is>
      </c>
      <c r="I4" s="11" t="inlineStr">
        <is>
          <t>Pay App #2 - Structural steel erection, Level 1-2.</t>
        </is>
      </c>
      <c r="J4" s="13" t="n">
        <v>58400</v>
      </c>
      <c r="K4" s="13" t="n">
        <v>2920</v>
      </c>
      <c r="L4" s="13">
        <f>IFERROR(J4,0)-IFERROR(K4,0)</f>
        <v/>
      </c>
      <c r="M4" s="10" t="inlineStr">
        <is>
          <t>2026-04-14</t>
        </is>
      </c>
      <c r="N4" s="10" t="inlineStr">
        <is>
          <t>2026-04-12</t>
        </is>
      </c>
      <c r="O4" s="13" t="n">
        <v>55480</v>
      </c>
      <c r="P4" s="13">
        <f>IFERROR(L4,0)-IFERROR(O4,0)</f>
        <v/>
      </c>
      <c r="Q4" s="14">
        <f>IF(OR(M4="",IFERROR(P4,0)&lt;=0),"",MAX(0,TODAY()-M4))</f>
        <v/>
      </c>
      <c r="R4" s="12">
        <f>IF(AND(N4&lt;&gt;"",IFERROR(O4,0)&gt;=IFERROR(L4,0),IFERROR(L4,0)&gt;0),"Paid",IF(M4="","",IF(TODAY()-M4&lt;=0,"Current",IF(TODAY()-M4&lt;=30,"1-30",IF(TODAY()-M4&lt;=60,"31-60",IF(TODAY()-M4&lt;=90,"61-90",IF(TODAY()-M4&lt;=120,"91-120","120+")))))))</f>
        <v/>
      </c>
      <c r="S4" s="12" t="inlineStr">
        <is>
          <t>Unconditional Partial</t>
        </is>
      </c>
      <c r="T4" s="12" t="inlineStr">
        <is>
          <t>Yes</t>
        </is>
      </c>
      <c r="U4" s="12" t="inlineStr">
        <is>
          <t>Paid</t>
        </is>
      </c>
      <c r="V4" s="11" t="inlineStr">
        <is>
          <t>Paid via ACH. Conditional issued with invoice, unconditional received after funds cleared. COI on file thru 2026-09-30.</t>
        </is>
      </c>
    </row>
    <row r="5" ht="36" customHeight="1">
      <c r="A5" s="9" t="inlineStr">
        <is>
          <t>B-2002</t>
        </is>
      </c>
      <c r="B5" s="10" t="inlineStr">
        <is>
          <t>2026-04-30</t>
        </is>
      </c>
      <c r="C5" s="11" t="inlineStr">
        <is>
          <t>Apex Plumbing &amp; Mechanical</t>
        </is>
      </c>
      <c r="D5" s="12" t="inlineStr">
        <is>
          <t>Subcontractor</t>
        </is>
      </c>
      <c r="E5" s="9" t="inlineStr">
        <is>
          <t>22</t>
        </is>
      </c>
      <c r="F5" s="9" t="inlineStr">
        <is>
          <t>22 10 00</t>
        </is>
      </c>
      <c r="G5" s="11">
        <f>IFERROR(VLOOKUP(E5,CSI_Table,2,FALSE),"")</f>
        <v/>
      </c>
      <c r="H5" s="11" t="inlineStr">
        <is>
          <t>Riverside Office Bldg</t>
        </is>
      </c>
      <c r="I5" s="11" t="inlineStr">
        <is>
          <t>Pay App #3 - Plumbing rough-in, Level 2.</t>
        </is>
      </c>
      <c r="J5" s="13" t="n">
        <v>34200</v>
      </c>
      <c r="K5" s="13" t="n">
        <v>1710</v>
      </c>
      <c r="L5" s="13">
        <f>IFERROR(J5,0)-IFERROR(K5,0)</f>
        <v/>
      </c>
      <c r="M5" s="10" t="inlineStr">
        <is>
          <t>2026-05-30</t>
        </is>
      </c>
      <c r="N5" s="10" t="n"/>
      <c r="O5" s="13" t="n">
        <v>0</v>
      </c>
      <c r="P5" s="13">
        <f>IFERROR(L5,0)-IFERROR(O5,0)</f>
        <v/>
      </c>
      <c r="Q5" s="14">
        <f>IF(OR(M5="",IFERROR(P5,0)&lt;=0),"",MAX(0,TODAY()-M5))</f>
        <v/>
      </c>
      <c r="R5" s="12">
        <f>IF(AND(N5&lt;&gt;"",IFERROR(O5,0)&gt;=IFERROR(L5,0),IFERROR(L5,0)&gt;0),"Paid",IF(M5="","",IF(TODAY()-M5&lt;=0,"Current",IF(TODAY()-M5&lt;=30,"1-30",IF(TODAY()-M5&lt;=60,"31-60",IF(TODAY()-M5&lt;=90,"61-90",IF(TODAY()-M5&lt;=120,"91-120","120+")))))))</f>
        <v/>
      </c>
      <c r="S5" s="12" t="inlineStr">
        <is>
          <t>Conditional</t>
        </is>
      </c>
      <c r="T5" s="12" t="inlineStr">
        <is>
          <t>Yes</t>
        </is>
      </c>
      <c r="U5" s="12" t="inlineStr">
        <is>
          <t>Approved for Payment</t>
        </is>
      </c>
      <c r="V5" s="11" t="inlineStr">
        <is>
          <t>Pay app reviewed and approved. Conditional waiver on file. Releasing check this week on receipt of unconditional partial.</t>
        </is>
      </c>
    </row>
    <row r="6" ht="36" customHeight="1">
      <c r="A6" s="9" t="inlineStr">
        <is>
          <t>B-2003</t>
        </is>
      </c>
      <c r="B6" s="10" t="inlineStr">
        <is>
          <t>2026-03-02</t>
        </is>
      </c>
      <c r="C6" s="11" t="inlineStr">
        <is>
          <t>Heartland Lumber Supply</t>
        </is>
      </c>
      <c r="D6" s="12" t="inlineStr">
        <is>
          <t>Material Supplier</t>
        </is>
      </c>
      <c r="E6" s="9" t="inlineStr">
        <is>
          <t>06</t>
        </is>
      </c>
      <c r="F6" s="9" t="inlineStr">
        <is>
          <t>06 10 00</t>
        </is>
      </c>
      <c r="G6" s="11">
        <f>IFERROR(VLOOKUP(E6,CSI_Table,2,FALSE),"")</f>
        <v/>
      </c>
      <c r="H6" s="11" t="inlineStr">
        <is>
          <t>Riverside Office Bldg</t>
        </is>
      </c>
      <c r="I6" s="11" t="inlineStr">
        <is>
          <t>Framing lumber package - Level 2 partitions.</t>
        </is>
      </c>
      <c r="J6" s="13" t="n">
        <v>11850</v>
      </c>
      <c r="K6" s="13" t="n">
        <v>0</v>
      </c>
      <c r="L6" s="13">
        <f>IFERROR(J6,0)-IFERROR(K6,0)</f>
        <v/>
      </c>
      <c r="M6" s="10" t="inlineStr">
        <is>
          <t>2026-04-01</t>
        </is>
      </c>
      <c r="N6" s="10" t="n"/>
      <c r="O6" s="13" t="n">
        <v>0</v>
      </c>
      <c r="P6" s="13">
        <f>IFERROR(L6,0)-IFERROR(O6,0)</f>
        <v/>
      </c>
      <c r="Q6" s="14">
        <f>IF(OR(M6="",IFERROR(P6,0)&lt;=0),"",MAX(0,TODAY()-M6))</f>
        <v/>
      </c>
      <c r="R6" s="12">
        <f>IF(AND(N6&lt;&gt;"",IFERROR(O6,0)&gt;=IFERROR(L6,0),IFERROR(L6,0)&gt;0),"Paid",IF(M6="","",IF(TODAY()-M6&lt;=0,"Current",IF(TODAY()-M6&lt;=30,"1-30",IF(TODAY()-M6&lt;=60,"31-60",IF(TODAY()-M6&lt;=90,"61-90",IF(TODAY()-M6&lt;=120,"91-120","120+")))))))</f>
        <v/>
      </c>
      <c r="S6" s="12" t="inlineStr">
        <is>
          <t>N/A</t>
        </is>
      </c>
      <c r="T6" s="12" t="inlineStr">
        <is>
          <t>N/A</t>
        </is>
      </c>
      <c r="U6" s="12" t="inlineStr">
        <is>
          <t>Received</t>
        </is>
      </c>
      <c r="V6" s="11" t="inlineStr">
        <is>
          <t>Material supplier - no retainage, no COI required (off-site delivery). Disputing 12 sticks short on tally. Hold check pending credit memo.</t>
        </is>
      </c>
    </row>
    <row r="7" ht="36" customHeight="1">
      <c r="A7" s="9" t="inlineStr">
        <is>
          <t>B-2004</t>
        </is>
      </c>
      <c r="B7" s="10" t="inlineStr">
        <is>
          <t>2026-02-12</t>
        </is>
      </c>
      <c r="C7" s="11" t="inlineStr">
        <is>
          <t>Bayside Electric LLC</t>
        </is>
      </c>
      <c r="D7" s="12" t="inlineStr">
        <is>
          <t>Subcontractor</t>
        </is>
      </c>
      <c r="E7" s="9" t="inlineStr">
        <is>
          <t>26</t>
        </is>
      </c>
      <c r="F7" s="9" t="inlineStr">
        <is>
          <t>26 50 00</t>
        </is>
      </c>
      <c r="G7" s="11">
        <f>IFERROR(VLOOKUP(E7,CSI_Table,2,FALSE),"")</f>
        <v/>
      </c>
      <c r="H7" s="11" t="inlineStr">
        <is>
          <t>Pinnacle Tower Renovation</t>
        </is>
      </c>
      <c r="I7" s="11" t="inlineStr">
        <is>
          <t>Pay App #1 - Lighting rough-in &amp; fixture install Level 3.</t>
        </is>
      </c>
      <c r="J7" s="13" t="n">
        <v>22600</v>
      </c>
      <c r="K7" s="13" t="n">
        <v>1130</v>
      </c>
      <c r="L7" s="13">
        <f>IFERROR(J7,0)-IFERROR(K7,0)</f>
        <v/>
      </c>
      <c r="M7" s="10" t="inlineStr">
        <is>
          <t>2026-03-14</t>
        </is>
      </c>
      <c r="N7" s="10" t="n"/>
      <c r="O7" s="13" t="n">
        <v>10000</v>
      </c>
      <c r="P7" s="13">
        <f>IFERROR(L7,0)-IFERROR(O7,0)</f>
        <v/>
      </c>
      <c r="Q7" s="14">
        <f>IF(OR(M7="",IFERROR(P7,0)&lt;=0),"",MAX(0,TODAY()-M7))</f>
        <v/>
      </c>
      <c r="R7" s="12">
        <f>IF(AND(N7&lt;&gt;"",IFERROR(O7,0)&gt;=IFERROR(L7,0),IFERROR(L7,0)&gt;0),"Paid",IF(M7="","",IF(TODAY()-M7&lt;=0,"Current",IF(TODAY()-M7&lt;=30,"1-30",IF(TODAY()-M7&lt;=60,"31-60",IF(TODAY()-M7&lt;=90,"61-90",IF(TODAY()-M7&lt;=120,"91-120","120+")))))))</f>
        <v/>
      </c>
      <c r="S7" s="12" t="inlineStr">
        <is>
          <t>Conditional</t>
        </is>
      </c>
      <c r="T7" s="12" t="inlineStr">
        <is>
          <t>Expired</t>
        </is>
      </c>
      <c r="U7" s="12" t="inlineStr">
        <is>
          <t>On Hold</t>
        </is>
      </c>
      <c r="V7" s="11" t="inlineStr">
        <is>
          <t>RISK: Sub COI expired 2026-04-30. Required new cert before next payment. Partial payment was released before expiry. Follow-up sent 2026-05-05; no response. Stop further on-site work.</t>
        </is>
      </c>
    </row>
    <row r="8" ht="36" customHeight="1">
      <c r="A8" s="9" t="inlineStr">
        <is>
          <t>B-2005</t>
        </is>
      </c>
      <c r="B8" s="10" t="inlineStr">
        <is>
          <t>2026-01-22</t>
        </is>
      </c>
      <c r="C8" s="11" t="inlineStr">
        <is>
          <t>Granite Concrete Cutters</t>
        </is>
      </c>
      <c r="D8" s="12" t="inlineStr">
        <is>
          <t>Subcontractor</t>
        </is>
      </c>
      <c r="E8" s="9" t="inlineStr">
        <is>
          <t>03</t>
        </is>
      </c>
      <c r="F8" s="9" t="inlineStr">
        <is>
          <t>03 30 00</t>
        </is>
      </c>
      <c r="G8" s="11">
        <f>IFERROR(VLOOKUP(E8,CSI_Table,2,FALSE),"")</f>
        <v/>
      </c>
      <c r="H8" s="11" t="inlineStr">
        <is>
          <t>Pinnacle Tower Renovation</t>
        </is>
      </c>
      <c r="I8" s="11" t="inlineStr">
        <is>
          <t>Saw-cut &amp; remove existing SOG for new MEP chase.</t>
        </is>
      </c>
      <c r="J8" s="13" t="n">
        <v>8650</v>
      </c>
      <c r="K8" s="13" t="n">
        <v>0</v>
      </c>
      <c r="L8" s="13">
        <f>IFERROR(J8,0)-IFERROR(K8,0)</f>
        <v/>
      </c>
      <c r="M8" s="10" t="inlineStr">
        <is>
          <t>2026-02-21</t>
        </is>
      </c>
      <c r="N8" s="10" t="inlineStr">
        <is>
          <t>2026-02-19</t>
        </is>
      </c>
      <c r="O8" s="13" t="n">
        <v>8650</v>
      </c>
      <c r="P8" s="13">
        <f>IFERROR(L8,0)-IFERROR(O8,0)</f>
        <v/>
      </c>
      <c r="Q8" s="14">
        <f>IF(OR(M8="",IFERROR(P8,0)&lt;=0),"",MAX(0,TODAY()-M8))</f>
        <v/>
      </c>
      <c r="R8" s="12">
        <f>IF(AND(N8&lt;&gt;"",IFERROR(O8,0)&gt;=IFERROR(L8,0),IFERROR(L8,0)&gt;0),"Paid",IF(M8="","",IF(TODAY()-M8&lt;=0,"Current",IF(TODAY()-M8&lt;=30,"1-30",IF(TODAY()-M8&lt;=60,"31-60",IF(TODAY()-M8&lt;=90,"61-90",IF(TODAY()-M8&lt;=120,"91-120","120+")))))))</f>
        <v/>
      </c>
      <c r="S8" s="12" t="inlineStr">
        <is>
          <t>None</t>
        </is>
      </c>
      <c r="T8" s="12" t="inlineStr">
        <is>
          <t>Yes</t>
        </is>
      </c>
      <c r="U8" s="12" t="inlineStr">
        <is>
          <t>Paid</t>
        </is>
      </c>
      <c r="V8" s="11" t="inlineStr">
        <is>
          <t>RISK: Paid in full without any lien waiver received. Followed up twice for unconditional final - radio silence. Lien exposure window still open per state statute. Escalate to attorney if not resolved by 5/20.</t>
        </is>
      </c>
    </row>
    <row r="9" ht="36" customHeight="1">
      <c r="A9" s="9" t="n"/>
      <c r="B9" s="10" t="n"/>
      <c r="C9" s="11" t="n"/>
      <c r="D9" s="12" t="n"/>
      <c r="E9" s="9" t="n"/>
      <c r="F9" s="9" t="n"/>
      <c r="G9" s="11">
        <f>IFERROR(VLOOKUP(E9,CSI_Table,2,FALSE),"")</f>
        <v/>
      </c>
      <c r="H9" s="11" t="n"/>
      <c r="I9" s="11" t="n"/>
      <c r="J9" s="13" t="n"/>
      <c r="K9" s="13" t="n"/>
      <c r="L9" s="13">
        <f>IFERROR(J9,0)-IFERROR(K9,0)</f>
        <v/>
      </c>
      <c r="M9" s="10" t="n"/>
      <c r="N9" s="10" t="n"/>
      <c r="O9" s="13" t="n"/>
      <c r="P9" s="13">
        <f>IFERROR(L9,0)-IFERROR(O9,0)</f>
        <v/>
      </c>
      <c r="Q9" s="14">
        <f>IF(OR(M9="",IFERROR(P9,0)&lt;=0),"",MAX(0,TODAY()-M9))</f>
        <v/>
      </c>
      <c r="R9" s="12">
        <f>IF(AND(N9&lt;&gt;"",IFERROR(O9,0)&gt;=IFERROR(L9,0),IFERROR(L9,0)&gt;0),"Paid",IF(M9="","",IF(TODAY()-M9&lt;=0,"Current",IF(TODAY()-M9&lt;=30,"1-30",IF(TODAY()-M9&lt;=60,"31-60",IF(TODAY()-M9&lt;=90,"61-90",IF(TODAY()-M9&lt;=120,"91-120","120+")))))))</f>
        <v/>
      </c>
      <c r="S9" s="12" t="n"/>
      <c r="T9" s="12" t="n"/>
      <c r="U9" s="12" t="n"/>
      <c r="V9" s="11" t="n"/>
    </row>
    <row r="10" ht="36" customHeight="1">
      <c r="A10" s="9" t="n"/>
      <c r="B10" s="10" t="n"/>
      <c r="C10" s="11" t="n"/>
      <c r="D10" s="12" t="n"/>
      <c r="E10" s="9" t="n"/>
      <c r="F10" s="9" t="n"/>
      <c r="G10" s="11">
        <f>IFERROR(VLOOKUP(E10,CSI_Table,2,FALSE),"")</f>
        <v/>
      </c>
      <c r="H10" s="11" t="n"/>
      <c r="I10" s="11" t="n"/>
      <c r="J10" s="13" t="n"/>
      <c r="K10" s="13" t="n"/>
      <c r="L10" s="13">
        <f>IFERROR(J10,0)-IFERROR(K10,0)</f>
        <v/>
      </c>
      <c r="M10" s="10" t="n"/>
      <c r="N10" s="10" t="n"/>
      <c r="O10" s="13" t="n"/>
      <c r="P10" s="13">
        <f>IFERROR(L10,0)-IFERROR(O10,0)</f>
        <v/>
      </c>
      <c r="Q10" s="14">
        <f>IF(OR(M10="",IFERROR(P10,0)&lt;=0),"",MAX(0,TODAY()-M10))</f>
        <v/>
      </c>
      <c r="R10" s="12">
        <f>IF(AND(N10&lt;&gt;"",IFERROR(O10,0)&gt;=IFERROR(L10,0),IFERROR(L10,0)&gt;0),"Paid",IF(M10="","",IF(TODAY()-M10&lt;=0,"Current",IF(TODAY()-M10&lt;=30,"1-30",IF(TODAY()-M10&lt;=60,"31-60",IF(TODAY()-M10&lt;=90,"61-90",IF(TODAY()-M10&lt;=120,"91-120","120+")))))))</f>
        <v/>
      </c>
      <c r="S10" s="12" t="n"/>
      <c r="T10" s="12" t="n"/>
      <c r="U10" s="12" t="n"/>
      <c r="V10" s="11" t="n"/>
    </row>
    <row r="11" ht="36" customHeight="1">
      <c r="A11" s="9" t="n"/>
      <c r="B11" s="10" t="n"/>
      <c r="C11" s="11" t="n"/>
      <c r="D11" s="12" t="n"/>
      <c r="E11" s="9" t="n"/>
      <c r="F11" s="9" t="n"/>
      <c r="G11" s="11">
        <f>IFERROR(VLOOKUP(E11,CSI_Table,2,FALSE),"")</f>
        <v/>
      </c>
      <c r="H11" s="11" t="n"/>
      <c r="I11" s="11" t="n"/>
      <c r="J11" s="13" t="n"/>
      <c r="K11" s="13" t="n"/>
      <c r="L11" s="13">
        <f>IFERROR(J11,0)-IFERROR(K11,0)</f>
        <v/>
      </c>
      <c r="M11" s="10" t="n"/>
      <c r="N11" s="10" t="n"/>
      <c r="O11" s="13" t="n"/>
      <c r="P11" s="13">
        <f>IFERROR(L11,0)-IFERROR(O11,0)</f>
        <v/>
      </c>
      <c r="Q11" s="14">
        <f>IF(OR(M11="",IFERROR(P11,0)&lt;=0),"",MAX(0,TODAY()-M11))</f>
        <v/>
      </c>
      <c r="R11" s="12">
        <f>IF(AND(N11&lt;&gt;"",IFERROR(O11,0)&gt;=IFERROR(L11,0),IFERROR(L11,0)&gt;0),"Paid",IF(M11="","",IF(TODAY()-M11&lt;=0,"Current",IF(TODAY()-M11&lt;=30,"1-30",IF(TODAY()-M11&lt;=60,"31-60",IF(TODAY()-M11&lt;=90,"61-90",IF(TODAY()-M11&lt;=120,"91-120","120+")))))))</f>
        <v/>
      </c>
      <c r="S11" s="12" t="n"/>
      <c r="T11" s="12" t="n"/>
      <c r="U11" s="12" t="n"/>
      <c r="V11" s="11" t="n"/>
    </row>
    <row r="12" ht="36" customHeight="1">
      <c r="A12" s="9" t="n"/>
      <c r="B12" s="10" t="n"/>
      <c r="C12" s="11" t="n"/>
      <c r="D12" s="12" t="n"/>
      <c r="E12" s="9" t="n"/>
      <c r="F12" s="9" t="n"/>
      <c r="G12" s="11">
        <f>IFERROR(VLOOKUP(E12,CSI_Table,2,FALSE),"")</f>
        <v/>
      </c>
      <c r="H12" s="11" t="n"/>
      <c r="I12" s="11" t="n"/>
      <c r="J12" s="13" t="n"/>
      <c r="K12" s="13" t="n"/>
      <c r="L12" s="13">
        <f>IFERROR(J12,0)-IFERROR(K12,0)</f>
        <v/>
      </c>
      <c r="M12" s="10" t="n"/>
      <c r="N12" s="10" t="n"/>
      <c r="O12" s="13" t="n"/>
      <c r="P12" s="13">
        <f>IFERROR(L12,0)-IFERROR(O12,0)</f>
        <v/>
      </c>
      <c r="Q12" s="14">
        <f>IF(OR(M12="",IFERROR(P12,0)&lt;=0),"",MAX(0,TODAY()-M12))</f>
        <v/>
      </c>
      <c r="R12" s="12">
        <f>IF(AND(N12&lt;&gt;"",IFERROR(O12,0)&gt;=IFERROR(L12,0),IFERROR(L12,0)&gt;0),"Paid",IF(M12="","",IF(TODAY()-M12&lt;=0,"Current",IF(TODAY()-M12&lt;=30,"1-30",IF(TODAY()-M12&lt;=60,"31-60",IF(TODAY()-M12&lt;=90,"61-90",IF(TODAY()-M12&lt;=120,"91-120","120+")))))))</f>
        <v/>
      </c>
      <c r="S12" s="12" t="n"/>
      <c r="T12" s="12" t="n"/>
      <c r="U12" s="12" t="n"/>
      <c r="V12" s="11" t="n"/>
    </row>
    <row r="13" ht="36" customHeight="1">
      <c r="A13" s="9" t="n"/>
      <c r="B13" s="10" t="n"/>
      <c r="C13" s="11" t="n"/>
      <c r="D13" s="12" t="n"/>
      <c r="E13" s="9" t="n"/>
      <c r="F13" s="9" t="n"/>
      <c r="G13" s="11">
        <f>IFERROR(VLOOKUP(E13,CSI_Table,2,FALSE),"")</f>
        <v/>
      </c>
      <c r="H13" s="11" t="n"/>
      <c r="I13" s="11" t="n"/>
      <c r="J13" s="13" t="n"/>
      <c r="K13" s="13" t="n"/>
      <c r="L13" s="13">
        <f>IFERROR(J13,0)-IFERROR(K13,0)</f>
        <v/>
      </c>
      <c r="M13" s="10" t="n"/>
      <c r="N13" s="10" t="n"/>
      <c r="O13" s="13" t="n"/>
      <c r="P13" s="13">
        <f>IFERROR(L13,0)-IFERROR(O13,0)</f>
        <v/>
      </c>
      <c r="Q13" s="14">
        <f>IF(OR(M13="",IFERROR(P13,0)&lt;=0),"",MAX(0,TODAY()-M13))</f>
        <v/>
      </c>
      <c r="R13" s="12">
        <f>IF(AND(N13&lt;&gt;"",IFERROR(O13,0)&gt;=IFERROR(L13,0),IFERROR(L13,0)&gt;0),"Paid",IF(M13="","",IF(TODAY()-M13&lt;=0,"Current",IF(TODAY()-M13&lt;=30,"1-30",IF(TODAY()-M13&lt;=60,"31-60",IF(TODAY()-M13&lt;=90,"61-90",IF(TODAY()-M13&lt;=120,"91-120","120+")))))))</f>
        <v/>
      </c>
      <c r="S13" s="12" t="n"/>
      <c r="T13" s="12" t="n"/>
      <c r="U13" s="12" t="n"/>
      <c r="V13" s="11" t="n"/>
    </row>
    <row r="14" ht="36" customHeight="1">
      <c r="A14" s="9" t="n"/>
      <c r="B14" s="10" t="n"/>
      <c r="C14" s="11" t="n"/>
      <c r="D14" s="12" t="n"/>
      <c r="E14" s="9" t="n"/>
      <c r="F14" s="9" t="n"/>
      <c r="G14" s="11">
        <f>IFERROR(VLOOKUP(E14,CSI_Table,2,FALSE),"")</f>
        <v/>
      </c>
      <c r="H14" s="11" t="n"/>
      <c r="I14" s="11" t="n"/>
      <c r="J14" s="13" t="n"/>
      <c r="K14" s="13" t="n"/>
      <c r="L14" s="13">
        <f>IFERROR(J14,0)-IFERROR(K14,0)</f>
        <v/>
      </c>
      <c r="M14" s="10" t="n"/>
      <c r="N14" s="10" t="n"/>
      <c r="O14" s="13" t="n"/>
      <c r="P14" s="13">
        <f>IFERROR(L14,0)-IFERROR(O14,0)</f>
        <v/>
      </c>
      <c r="Q14" s="14">
        <f>IF(OR(M14="",IFERROR(P14,0)&lt;=0),"",MAX(0,TODAY()-M14))</f>
        <v/>
      </c>
      <c r="R14" s="12">
        <f>IF(AND(N14&lt;&gt;"",IFERROR(O14,0)&gt;=IFERROR(L14,0),IFERROR(L14,0)&gt;0),"Paid",IF(M14="","",IF(TODAY()-M14&lt;=0,"Current",IF(TODAY()-M14&lt;=30,"1-30",IF(TODAY()-M14&lt;=60,"31-60",IF(TODAY()-M14&lt;=90,"61-90",IF(TODAY()-M14&lt;=120,"91-120","120+")))))))</f>
        <v/>
      </c>
      <c r="S14" s="12" t="n"/>
      <c r="T14" s="12" t="n"/>
      <c r="U14" s="12" t="n"/>
      <c r="V14" s="11" t="n"/>
    </row>
    <row r="15" ht="36" customHeight="1">
      <c r="A15" s="9" t="n"/>
      <c r="B15" s="10" t="n"/>
      <c r="C15" s="11" t="n"/>
      <c r="D15" s="12" t="n"/>
      <c r="E15" s="9" t="n"/>
      <c r="F15" s="9" t="n"/>
      <c r="G15" s="11">
        <f>IFERROR(VLOOKUP(E15,CSI_Table,2,FALSE),"")</f>
        <v/>
      </c>
      <c r="H15" s="11" t="n"/>
      <c r="I15" s="11" t="n"/>
      <c r="J15" s="13" t="n"/>
      <c r="K15" s="13" t="n"/>
      <c r="L15" s="13">
        <f>IFERROR(J15,0)-IFERROR(K15,0)</f>
        <v/>
      </c>
      <c r="M15" s="10" t="n"/>
      <c r="N15" s="10" t="n"/>
      <c r="O15" s="13" t="n"/>
      <c r="P15" s="13">
        <f>IFERROR(L15,0)-IFERROR(O15,0)</f>
        <v/>
      </c>
      <c r="Q15" s="14">
        <f>IF(OR(M15="",IFERROR(P15,0)&lt;=0),"",MAX(0,TODAY()-M15))</f>
        <v/>
      </c>
      <c r="R15" s="12">
        <f>IF(AND(N15&lt;&gt;"",IFERROR(O15,0)&gt;=IFERROR(L15,0),IFERROR(L15,0)&gt;0),"Paid",IF(M15="","",IF(TODAY()-M15&lt;=0,"Current",IF(TODAY()-M15&lt;=30,"1-30",IF(TODAY()-M15&lt;=60,"31-60",IF(TODAY()-M15&lt;=90,"61-90",IF(TODAY()-M15&lt;=120,"91-120","120+")))))))</f>
        <v/>
      </c>
      <c r="S15" s="12" t="n"/>
      <c r="T15" s="12" t="n"/>
      <c r="U15" s="12" t="n"/>
      <c r="V15" s="11" t="n"/>
    </row>
    <row r="16" ht="36" customHeight="1">
      <c r="A16" s="9" t="n"/>
      <c r="B16" s="10" t="n"/>
      <c r="C16" s="11" t="n"/>
      <c r="D16" s="12" t="n"/>
      <c r="E16" s="9" t="n"/>
      <c r="F16" s="9" t="n"/>
      <c r="G16" s="11">
        <f>IFERROR(VLOOKUP(E16,CSI_Table,2,FALSE),"")</f>
        <v/>
      </c>
      <c r="H16" s="11" t="n"/>
      <c r="I16" s="11" t="n"/>
      <c r="J16" s="13" t="n"/>
      <c r="K16" s="13" t="n"/>
      <c r="L16" s="13">
        <f>IFERROR(J16,0)-IFERROR(K16,0)</f>
        <v/>
      </c>
      <c r="M16" s="10" t="n"/>
      <c r="N16" s="10" t="n"/>
      <c r="O16" s="13" t="n"/>
      <c r="P16" s="13">
        <f>IFERROR(L16,0)-IFERROR(O16,0)</f>
        <v/>
      </c>
      <c r="Q16" s="14">
        <f>IF(OR(M16="",IFERROR(P16,0)&lt;=0),"",MAX(0,TODAY()-M16))</f>
        <v/>
      </c>
      <c r="R16" s="12">
        <f>IF(AND(N16&lt;&gt;"",IFERROR(O16,0)&gt;=IFERROR(L16,0),IFERROR(L16,0)&gt;0),"Paid",IF(M16="","",IF(TODAY()-M16&lt;=0,"Current",IF(TODAY()-M16&lt;=30,"1-30",IF(TODAY()-M16&lt;=60,"31-60",IF(TODAY()-M16&lt;=90,"61-90",IF(TODAY()-M16&lt;=120,"91-120","120+")))))))</f>
        <v/>
      </c>
      <c r="S16" s="12" t="n"/>
      <c r="T16" s="12" t="n"/>
      <c r="U16" s="12" t="n"/>
      <c r="V16" s="11" t="n"/>
    </row>
    <row r="17" ht="36" customHeight="1">
      <c r="A17" s="9" t="n"/>
      <c r="B17" s="10" t="n"/>
      <c r="C17" s="11" t="n"/>
      <c r="D17" s="12" t="n"/>
      <c r="E17" s="9" t="n"/>
      <c r="F17" s="9" t="n"/>
      <c r="G17" s="11">
        <f>IFERROR(VLOOKUP(E17,CSI_Table,2,FALSE),"")</f>
        <v/>
      </c>
      <c r="H17" s="11" t="n"/>
      <c r="I17" s="11" t="n"/>
      <c r="J17" s="13" t="n"/>
      <c r="K17" s="13" t="n"/>
      <c r="L17" s="13">
        <f>IFERROR(J17,0)-IFERROR(K17,0)</f>
        <v/>
      </c>
      <c r="M17" s="10" t="n"/>
      <c r="N17" s="10" t="n"/>
      <c r="O17" s="13" t="n"/>
      <c r="P17" s="13">
        <f>IFERROR(L17,0)-IFERROR(O17,0)</f>
        <v/>
      </c>
      <c r="Q17" s="14">
        <f>IF(OR(M17="",IFERROR(P17,0)&lt;=0),"",MAX(0,TODAY()-M17))</f>
        <v/>
      </c>
      <c r="R17" s="12">
        <f>IF(AND(N17&lt;&gt;"",IFERROR(O17,0)&gt;=IFERROR(L17,0),IFERROR(L17,0)&gt;0),"Paid",IF(M17="","",IF(TODAY()-M17&lt;=0,"Current",IF(TODAY()-M17&lt;=30,"1-30",IF(TODAY()-M17&lt;=60,"31-60",IF(TODAY()-M17&lt;=90,"61-90",IF(TODAY()-M17&lt;=120,"91-120","120+")))))))</f>
        <v/>
      </c>
      <c r="S17" s="12" t="n"/>
      <c r="T17" s="12" t="n"/>
      <c r="U17" s="12" t="n"/>
      <c r="V17" s="11" t="n"/>
    </row>
    <row r="18" ht="36" customHeight="1">
      <c r="A18" s="9" t="n"/>
      <c r="B18" s="10" t="n"/>
      <c r="C18" s="11" t="n"/>
      <c r="D18" s="12" t="n"/>
      <c r="E18" s="9" t="n"/>
      <c r="F18" s="9" t="n"/>
      <c r="G18" s="11">
        <f>IFERROR(VLOOKUP(E18,CSI_Table,2,FALSE),"")</f>
        <v/>
      </c>
      <c r="H18" s="11" t="n"/>
      <c r="I18" s="11" t="n"/>
      <c r="J18" s="13" t="n"/>
      <c r="K18" s="13" t="n"/>
      <c r="L18" s="13">
        <f>IFERROR(J18,0)-IFERROR(K18,0)</f>
        <v/>
      </c>
      <c r="M18" s="10" t="n"/>
      <c r="N18" s="10" t="n"/>
      <c r="O18" s="13" t="n"/>
      <c r="P18" s="13">
        <f>IFERROR(L18,0)-IFERROR(O18,0)</f>
        <v/>
      </c>
      <c r="Q18" s="14">
        <f>IF(OR(M18="",IFERROR(P18,0)&lt;=0),"",MAX(0,TODAY()-M18))</f>
        <v/>
      </c>
      <c r="R18" s="12">
        <f>IF(AND(N18&lt;&gt;"",IFERROR(O18,0)&gt;=IFERROR(L18,0),IFERROR(L18,0)&gt;0),"Paid",IF(M18="","",IF(TODAY()-M18&lt;=0,"Current",IF(TODAY()-M18&lt;=30,"1-30",IF(TODAY()-M18&lt;=60,"31-60",IF(TODAY()-M18&lt;=90,"61-90",IF(TODAY()-M18&lt;=120,"91-120","120+")))))))</f>
        <v/>
      </c>
      <c r="S18" s="12" t="n"/>
      <c r="T18" s="12" t="n"/>
      <c r="U18" s="12" t="n"/>
      <c r="V18" s="11" t="n"/>
    </row>
    <row r="19" ht="36" customHeight="1">
      <c r="A19" s="9" t="n"/>
      <c r="B19" s="10" t="n"/>
      <c r="C19" s="11" t="n"/>
      <c r="D19" s="12" t="n"/>
      <c r="E19" s="9" t="n"/>
      <c r="F19" s="9" t="n"/>
      <c r="G19" s="11">
        <f>IFERROR(VLOOKUP(E19,CSI_Table,2,FALSE),"")</f>
        <v/>
      </c>
      <c r="H19" s="11" t="n"/>
      <c r="I19" s="11" t="n"/>
      <c r="J19" s="13" t="n"/>
      <c r="K19" s="13" t="n"/>
      <c r="L19" s="13">
        <f>IFERROR(J19,0)-IFERROR(K19,0)</f>
        <v/>
      </c>
      <c r="M19" s="10" t="n"/>
      <c r="N19" s="10" t="n"/>
      <c r="O19" s="13" t="n"/>
      <c r="P19" s="13">
        <f>IFERROR(L19,0)-IFERROR(O19,0)</f>
        <v/>
      </c>
      <c r="Q19" s="14">
        <f>IF(OR(M19="",IFERROR(P19,0)&lt;=0),"",MAX(0,TODAY()-M19))</f>
        <v/>
      </c>
      <c r="R19" s="12">
        <f>IF(AND(N19&lt;&gt;"",IFERROR(O19,0)&gt;=IFERROR(L19,0),IFERROR(L19,0)&gt;0),"Paid",IF(M19="","",IF(TODAY()-M19&lt;=0,"Current",IF(TODAY()-M19&lt;=30,"1-30",IF(TODAY()-M19&lt;=60,"31-60",IF(TODAY()-M19&lt;=90,"61-90",IF(TODAY()-M19&lt;=120,"91-120","120+")))))))</f>
        <v/>
      </c>
      <c r="S19" s="12" t="n"/>
      <c r="T19" s="12" t="n"/>
      <c r="U19" s="12" t="n"/>
      <c r="V19" s="11" t="n"/>
    </row>
    <row r="20" ht="36" customHeight="1">
      <c r="A20" s="9" t="n"/>
      <c r="B20" s="10" t="n"/>
      <c r="C20" s="11" t="n"/>
      <c r="D20" s="12" t="n"/>
      <c r="E20" s="9" t="n"/>
      <c r="F20" s="9" t="n"/>
      <c r="G20" s="11">
        <f>IFERROR(VLOOKUP(E20,CSI_Table,2,FALSE),"")</f>
        <v/>
      </c>
      <c r="H20" s="11" t="n"/>
      <c r="I20" s="11" t="n"/>
      <c r="J20" s="13" t="n"/>
      <c r="K20" s="13" t="n"/>
      <c r="L20" s="13">
        <f>IFERROR(J20,0)-IFERROR(K20,0)</f>
        <v/>
      </c>
      <c r="M20" s="10" t="n"/>
      <c r="N20" s="10" t="n"/>
      <c r="O20" s="13" t="n"/>
      <c r="P20" s="13">
        <f>IFERROR(L20,0)-IFERROR(O20,0)</f>
        <v/>
      </c>
      <c r="Q20" s="14">
        <f>IF(OR(M20="",IFERROR(P20,0)&lt;=0),"",MAX(0,TODAY()-M20))</f>
        <v/>
      </c>
      <c r="R20" s="12">
        <f>IF(AND(N20&lt;&gt;"",IFERROR(O20,0)&gt;=IFERROR(L20,0),IFERROR(L20,0)&gt;0),"Paid",IF(M20="","",IF(TODAY()-M20&lt;=0,"Current",IF(TODAY()-M20&lt;=30,"1-30",IF(TODAY()-M20&lt;=60,"31-60",IF(TODAY()-M20&lt;=90,"61-90",IF(TODAY()-M20&lt;=120,"91-120","120+")))))))</f>
        <v/>
      </c>
      <c r="S20" s="12" t="n"/>
      <c r="T20" s="12" t="n"/>
      <c r="U20" s="12" t="n"/>
      <c r="V20" s="11" t="n"/>
    </row>
    <row r="21" ht="36" customHeight="1">
      <c r="A21" s="9" t="n"/>
      <c r="B21" s="10" t="n"/>
      <c r="C21" s="11" t="n"/>
      <c r="D21" s="12" t="n"/>
      <c r="E21" s="9" t="n"/>
      <c r="F21" s="9" t="n"/>
      <c r="G21" s="11">
        <f>IFERROR(VLOOKUP(E21,CSI_Table,2,FALSE),"")</f>
        <v/>
      </c>
      <c r="H21" s="11" t="n"/>
      <c r="I21" s="11" t="n"/>
      <c r="J21" s="13" t="n"/>
      <c r="K21" s="13" t="n"/>
      <c r="L21" s="13">
        <f>IFERROR(J21,0)-IFERROR(K21,0)</f>
        <v/>
      </c>
      <c r="M21" s="10" t="n"/>
      <c r="N21" s="10" t="n"/>
      <c r="O21" s="13" t="n"/>
      <c r="P21" s="13">
        <f>IFERROR(L21,0)-IFERROR(O21,0)</f>
        <v/>
      </c>
      <c r="Q21" s="14">
        <f>IF(OR(M21="",IFERROR(P21,0)&lt;=0),"",MAX(0,TODAY()-M21))</f>
        <v/>
      </c>
      <c r="R21" s="12">
        <f>IF(AND(N21&lt;&gt;"",IFERROR(O21,0)&gt;=IFERROR(L21,0),IFERROR(L21,0)&gt;0),"Paid",IF(M21="","",IF(TODAY()-M21&lt;=0,"Current",IF(TODAY()-M21&lt;=30,"1-30",IF(TODAY()-M21&lt;=60,"31-60",IF(TODAY()-M21&lt;=90,"61-90",IF(TODAY()-M21&lt;=120,"91-120","120+")))))))</f>
        <v/>
      </c>
      <c r="S21" s="12" t="n"/>
      <c r="T21" s="12" t="n"/>
      <c r="U21" s="12" t="n"/>
      <c r="V21" s="11" t="n"/>
    </row>
    <row r="22" ht="36" customHeight="1">
      <c r="A22" s="9" t="n"/>
      <c r="B22" s="10" t="n"/>
      <c r="C22" s="11" t="n"/>
      <c r="D22" s="12" t="n"/>
      <c r="E22" s="9" t="n"/>
      <c r="F22" s="9" t="n"/>
      <c r="G22" s="11">
        <f>IFERROR(VLOOKUP(E22,CSI_Table,2,FALSE),"")</f>
        <v/>
      </c>
      <c r="H22" s="11" t="n"/>
      <c r="I22" s="11" t="n"/>
      <c r="J22" s="13" t="n"/>
      <c r="K22" s="13" t="n"/>
      <c r="L22" s="13">
        <f>IFERROR(J22,0)-IFERROR(K22,0)</f>
        <v/>
      </c>
      <c r="M22" s="10" t="n"/>
      <c r="N22" s="10" t="n"/>
      <c r="O22" s="13" t="n"/>
      <c r="P22" s="13">
        <f>IFERROR(L22,0)-IFERROR(O22,0)</f>
        <v/>
      </c>
      <c r="Q22" s="14">
        <f>IF(OR(M22="",IFERROR(P22,0)&lt;=0),"",MAX(0,TODAY()-M22))</f>
        <v/>
      </c>
      <c r="R22" s="12">
        <f>IF(AND(N22&lt;&gt;"",IFERROR(O22,0)&gt;=IFERROR(L22,0),IFERROR(L22,0)&gt;0),"Paid",IF(M22="","",IF(TODAY()-M22&lt;=0,"Current",IF(TODAY()-M22&lt;=30,"1-30",IF(TODAY()-M22&lt;=60,"31-60",IF(TODAY()-M22&lt;=90,"61-90",IF(TODAY()-M22&lt;=120,"91-120","120+")))))))</f>
        <v/>
      </c>
      <c r="S22" s="12" t="n"/>
      <c r="T22" s="12" t="n"/>
      <c r="U22" s="12" t="n"/>
      <c r="V22" s="11" t="n"/>
    </row>
    <row r="23" ht="36" customHeight="1">
      <c r="A23" s="9" t="n"/>
      <c r="B23" s="10" t="n"/>
      <c r="C23" s="11" t="n"/>
      <c r="D23" s="12" t="n"/>
      <c r="E23" s="9" t="n"/>
      <c r="F23" s="9" t="n"/>
      <c r="G23" s="11">
        <f>IFERROR(VLOOKUP(E23,CSI_Table,2,FALSE),"")</f>
        <v/>
      </c>
      <c r="H23" s="11" t="n"/>
      <c r="I23" s="11" t="n"/>
      <c r="J23" s="13" t="n"/>
      <c r="K23" s="13" t="n"/>
      <c r="L23" s="13">
        <f>IFERROR(J23,0)-IFERROR(K23,0)</f>
        <v/>
      </c>
      <c r="M23" s="10" t="n"/>
      <c r="N23" s="10" t="n"/>
      <c r="O23" s="13" t="n"/>
      <c r="P23" s="13">
        <f>IFERROR(L23,0)-IFERROR(O23,0)</f>
        <v/>
      </c>
      <c r="Q23" s="14">
        <f>IF(OR(M23="",IFERROR(P23,0)&lt;=0),"",MAX(0,TODAY()-M23))</f>
        <v/>
      </c>
      <c r="R23" s="12">
        <f>IF(AND(N23&lt;&gt;"",IFERROR(O23,0)&gt;=IFERROR(L23,0),IFERROR(L23,0)&gt;0),"Paid",IF(M23="","",IF(TODAY()-M23&lt;=0,"Current",IF(TODAY()-M23&lt;=30,"1-30",IF(TODAY()-M23&lt;=60,"31-60",IF(TODAY()-M23&lt;=90,"61-90",IF(TODAY()-M23&lt;=120,"91-120","120+")))))))</f>
        <v/>
      </c>
      <c r="S23" s="12" t="n"/>
      <c r="T23" s="12" t="n"/>
      <c r="U23" s="12" t="n"/>
      <c r="V23" s="11" t="n"/>
    </row>
    <row r="24" ht="36" customHeight="1">
      <c r="A24" s="9" t="n"/>
      <c r="B24" s="10" t="n"/>
      <c r="C24" s="11" t="n"/>
      <c r="D24" s="12" t="n"/>
      <c r="E24" s="9" t="n"/>
      <c r="F24" s="9" t="n"/>
      <c r="G24" s="11">
        <f>IFERROR(VLOOKUP(E24,CSI_Table,2,FALSE),"")</f>
        <v/>
      </c>
      <c r="H24" s="11" t="n"/>
      <c r="I24" s="11" t="n"/>
      <c r="J24" s="13" t="n"/>
      <c r="K24" s="13" t="n"/>
      <c r="L24" s="13">
        <f>IFERROR(J24,0)-IFERROR(K24,0)</f>
        <v/>
      </c>
      <c r="M24" s="10" t="n"/>
      <c r="N24" s="10" t="n"/>
      <c r="O24" s="13" t="n"/>
      <c r="P24" s="13">
        <f>IFERROR(L24,0)-IFERROR(O24,0)</f>
        <v/>
      </c>
      <c r="Q24" s="14">
        <f>IF(OR(M24="",IFERROR(P24,0)&lt;=0),"",MAX(0,TODAY()-M24))</f>
        <v/>
      </c>
      <c r="R24" s="12">
        <f>IF(AND(N24&lt;&gt;"",IFERROR(O24,0)&gt;=IFERROR(L24,0),IFERROR(L24,0)&gt;0),"Paid",IF(M24="","",IF(TODAY()-M24&lt;=0,"Current",IF(TODAY()-M24&lt;=30,"1-30",IF(TODAY()-M24&lt;=60,"31-60",IF(TODAY()-M24&lt;=90,"61-90",IF(TODAY()-M24&lt;=120,"91-120","120+")))))))</f>
        <v/>
      </c>
      <c r="S24" s="12" t="n"/>
      <c r="T24" s="12" t="n"/>
      <c r="U24" s="12" t="n"/>
      <c r="V24" s="11" t="n"/>
    </row>
    <row r="25" ht="36" customHeight="1">
      <c r="A25" s="9" t="n"/>
      <c r="B25" s="10" t="n"/>
      <c r="C25" s="11" t="n"/>
      <c r="D25" s="12" t="n"/>
      <c r="E25" s="9" t="n"/>
      <c r="F25" s="9" t="n"/>
      <c r="G25" s="11">
        <f>IFERROR(VLOOKUP(E25,CSI_Table,2,FALSE),"")</f>
        <v/>
      </c>
      <c r="H25" s="11" t="n"/>
      <c r="I25" s="11" t="n"/>
      <c r="J25" s="13" t="n"/>
      <c r="K25" s="13" t="n"/>
      <c r="L25" s="13">
        <f>IFERROR(J25,0)-IFERROR(K25,0)</f>
        <v/>
      </c>
      <c r="M25" s="10" t="n"/>
      <c r="N25" s="10" t="n"/>
      <c r="O25" s="13" t="n"/>
      <c r="P25" s="13">
        <f>IFERROR(L25,0)-IFERROR(O25,0)</f>
        <v/>
      </c>
      <c r="Q25" s="14">
        <f>IF(OR(M25="",IFERROR(P25,0)&lt;=0),"",MAX(0,TODAY()-M25))</f>
        <v/>
      </c>
      <c r="R25" s="12">
        <f>IF(AND(N25&lt;&gt;"",IFERROR(O25,0)&gt;=IFERROR(L25,0),IFERROR(L25,0)&gt;0),"Paid",IF(M25="","",IF(TODAY()-M25&lt;=0,"Current",IF(TODAY()-M25&lt;=30,"1-30",IF(TODAY()-M25&lt;=60,"31-60",IF(TODAY()-M25&lt;=90,"61-90",IF(TODAY()-M25&lt;=120,"91-120","120+")))))))</f>
        <v/>
      </c>
      <c r="S25" s="12" t="n"/>
      <c r="T25" s="12" t="n"/>
      <c r="U25" s="12" t="n"/>
      <c r="V25" s="11" t="n"/>
    </row>
    <row r="26" ht="36" customHeight="1">
      <c r="A26" s="9" t="n"/>
      <c r="B26" s="10" t="n"/>
      <c r="C26" s="11" t="n"/>
      <c r="D26" s="12" t="n"/>
      <c r="E26" s="9" t="n"/>
      <c r="F26" s="9" t="n"/>
      <c r="G26" s="11">
        <f>IFERROR(VLOOKUP(E26,CSI_Table,2,FALSE),"")</f>
        <v/>
      </c>
      <c r="H26" s="11" t="n"/>
      <c r="I26" s="11" t="n"/>
      <c r="J26" s="13" t="n"/>
      <c r="K26" s="13" t="n"/>
      <c r="L26" s="13">
        <f>IFERROR(J26,0)-IFERROR(K26,0)</f>
        <v/>
      </c>
      <c r="M26" s="10" t="n"/>
      <c r="N26" s="10" t="n"/>
      <c r="O26" s="13" t="n"/>
      <c r="P26" s="13">
        <f>IFERROR(L26,0)-IFERROR(O26,0)</f>
        <v/>
      </c>
      <c r="Q26" s="14">
        <f>IF(OR(M26="",IFERROR(P26,0)&lt;=0),"",MAX(0,TODAY()-M26))</f>
        <v/>
      </c>
      <c r="R26" s="12">
        <f>IF(AND(N26&lt;&gt;"",IFERROR(O26,0)&gt;=IFERROR(L26,0),IFERROR(L26,0)&gt;0),"Paid",IF(M26="","",IF(TODAY()-M26&lt;=0,"Current",IF(TODAY()-M26&lt;=30,"1-30",IF(TODAY()-M26&lt;=60,"31-60",IF(TODAY()-M26&lt;=90,"61-90",IF(TODAY()-M26&lt;=120,"91-120","120+")))))))</f>
        <v/>
      </c>
      <c r="S26" s="12" t="n"/>
      <c r="T26" s="12" t="n"/>
      <c r="U26" s="12" t="n"/>
      <c r="V26" s="11" t="n"/>
    </row>
    <row r="27" ht="36" customHeight="1">
      <c r="A27" s="9" t="n"/>
      <c r="B27" s="10" t="n"/>
      <c r="C27" s="11" t="n"/>
      <c r="D27" s="12" t="n"/>
      <c r="E27" s="9" t="n"/>
      <c r="F27" s="9" t="n"/>
      <c r="G27" s="11">
        <f>IFERROR(VLOOKUP(E27,CSI_Table,2,FALSE),"")</f>
        <v/>
      </c>
      <c r="H27" s="11" t="n"/>
      <c r="I27" s="11" t="n"/>
      <c r="J27" s="13" t="n"/>
      <c r="K27" s="13" t="n"/>
      <c r="L27" s="13">
        <f>IFERROR(J27,0)-IFERROR(K27,0)</f>
        <v/>
      </c>
      <c r="M27" s="10" t="n"/>
      <c r="N27" s="10" t="n"/>
      <c r="O27" s="13" t="n"/>
      <c r="P27" s="13">
        <f>IFERROR(L27,0)-IFERROR(O27,0)</f>
        <v/>
      </c>
      <c r="Q27" s="14">
        <f>IF(OR(M27="",IFERROR(P27,0)&lt;=0),"",MAX(0,TODAY()-M27))</f>
        <v/>
      </c>
      <c r="R27" s="12">
        <f>IF(AND(N27&lt;&gt;"",IFERROR(O27,0)&gt;=IFERROR(L27,0),IFERROR(L27,0)&gt;0),"Paid",IF(M27="","",IF(TODAY()-M27&lt;=0,"Current",IF(TODAY()-M27&lt;=30,"1-30",IF(TODAY()-M27&lt;=60,"31-60",IF(TODAY()-M27&lt;=90,"61-90",IF(TODAY()-M27&lt;=120,"91-120","120+")))))))</f>
        <v/>
      </c>
      <c r="S27" s="12" t="n"/>
      <c r="T27" s="12" t="n"/>
      <c r="U27" s="12" t="n"/>
      <c r="V27" s="11" t="n"/>
    </row>
    <row r="28" ht="36" customHeight="1">
      <c r="A28" s="9" t="n"/>
      <c r="B28" s="10" t="n"/>
      <c r="C28" s="11" t="n"/>
      <c r="D28" s="12" t="n"/>
      <c r="E28" s="9" t="n"/>
      <c r="F28" s="9" t="n"/>
      <c r="G28" s="11">
        <f>IFERROR(VLOOKUP(E28,CSI_Table,2,FALSE),"")</f>
        <v/>
      </c>
      <c r="H28" s="11" t="n"/>
      <c r="I28" s="11" t="n"/>
      <c r="J28" s="13" t="n"/>
      <c r="K28" s="13" t="n"/>
      <c r="L28" s="13">
        <f>IFERROR(J28,0)-IFERROR(K28,0)</f>
        <v/>
      </c>
      <c r="M28" s="10" t="n"/>
      <c r="N28" s="10" t="n"/>
      <c r="O28" s="13" t="n"/>
      <c r="P28" s="13">
        <f>IFERROR(L28,0)-IFERROR(O28,0)</f>
        <v/>
      </c>
      <c r="Q28" s="14">
        <f>IF(OR(M28="",IFERROR(P28,0)&lt;=0),"",MAX(0,TODAY()-M28))</f>
        <v/>
      </c>
      <c r="R28" s="12">
        <f>IF(AND(N28&lt;&gt;"",IFERROR(O28,0)&gt;=IFERROR(L28,0),IFERROR(L28,0)&gt;0),"Paid",IF(M28="","",IF(TODAY()-M28&lt;=0,"Current",IF(TODAY()-M28&lt;=30,"1-30",IF(TODAY()-M28&lt;=60,"31-60",IF(TODAY()-M28&lt;=90,"61-90",IF(TODAY()-M28&lt;=120,"91-120","120+")))))))</f>
        <v/>
      </c>
      <c r="S28" s="12" t="n"/>
      <c r="T28" s="12" t="n"/>
      <c r="U28" s="12" t="n"/>
      <c r="V28" s="11" t="n"/>
    </row>
    <row r="29" ht="36" customHeight="1">
      <c r="A29" s="9" t="n"/>
      <c r="B29" s="10" t="n"/>
      <c r="C29" s="11" t="n"/>
      <c r="D29" s="12" t="n"/>
      <c r="E29" s="9" t="n"/>
      <c r="F29" s="9" t="n"/>
      <c r="G29" s="11">
        <f>IFERROR(VLOOKUP(E29,CSI_Table,2,FALSE),"")</f>
        <v/>
      </c>
      <c r="H29" s="11" t="n"/>
      <c r="I29" s="11" t="n"/>
      <c r="J29" s="13" t="n"/>
      <c r="K29" s="13" t="n"/>
      <c r="L29" s="13">
        <f>IFERROR(J29,0)-IFERROR(K29,0)</f>
        <v/>
      </c>
      <c r="M29" s="10" t="n"/>
      <c r="N29" s="10" t="n"/>
      <c r="O29" s="13" t="n"/>
      <c r="P29" s="13">
        <f>IFERROR(L29,0)-IFERROR(O29,0)</f>
        <v/>
      </c>
      <c r="Q29" s="14">
        <f>IF(OR(M29="",IFERROR(P29,0)&lt;=0),"",MAX(0,TODAY()-M29))</f>
        <v/>
      </c>
      <c r="R29" s="12">
        <f>IF(AND(N29&lt;&gt;"",IFERROR(O29,0)&gt;=IFERROR(L29,0),IFERROR(L29,0)&gt;0),"Paid",IF(M29="","",IF(TODAY()-M29&lt;=0,"Current",IF(TODAY()-M29&lt;=30,"1-30",IF(TODAY()-M29&lt;=60,"31-60",IF(TODAY()-M29&lt;=90,"61-90",IF(TODAY()-M29&lt;=120,"91-120","120+")))))))</f>
        <v/>
      </c>
      <c r="S29" s="12" t="n"/>
      <c r="T29" s="12" t="n"/>
      <c r="U29" s="12" t="n"/>
      <c r="V29" s="11" t="n"/>
    </row>
    <row r="30" ht="36" customHeight="1">
      <c r="A30" s="9" t="n"/>
      <c r="B30" s="10" t="n"/>
      <c r="C30" s="11" t="n"/>
      <c r="D30" s="12" t="n"/>
      <c r="E30" s="9" t="n"/>
      <c r="F30" s="9" t="n"/>
      <c r="G30" s="11">
        <f>IFERROR(VLOOKUP(E30,CSI_Table,2,FALSE),"")</f>
        <v/>
      </c>
      <c r="H30" s="11" t="n"/>
      <c r="I30" s="11" t="n"/>
      <c r="J30" s="13" t="n"/>
      <c r="K30" s="13" t="n"/>
      <c r="L30" s="13">
        <f>IFERROR(J30,0)-IFERROR(K30,0)</f>
        <v/>
      </c>
      <c r="M30" s="10" t="n"/>
      <c r="N30" s="10" t="n"/>
      <c r="O30" s="13" t="n"/>
      <c r="P30" s="13">
        <f>IFERROR(L30,0)-IFERROR(O30,0)</f>
        <v/>
      </c>
      <c r="Q30" s="14">
        <f>IF(OR(M30="",IFERROR(P30,0)&lt;=0),"",MAX(0,TODAY()-M30))</f>
        <v/>
      </c>
      <c r="R30" s="12">
        <f>IF(AND(N30&lt;&gt;"",IFERROR(O30,0)&gt;=IFERROR(L30,0),IFERROR(L30,0)&gt;0),"Paid",IF(M30="","",IF(TODAY()-M30&lt;=0,"Current",IF(TODAY()-M30&lt;=30,"1-30",IF(TODAY()-M30&lt;=60,"31-60",IF(TODAY()-M30&lt;=90,"61-90",IF(TODAY()-M30&lt;=120,"91-120","120+")))))))</f>
        <v/>
      </c>
      <c r="S30" s="12" t="n"/>
      <c r="T30" s="12" t="n"/>
      <c r="U30" s="12" t="n"/>
      <c r="V30" s="11" t="n"/>
    </row>
    <row r="31" ht="36" customHeight="1">
      <c r="A31" s="9" t="n"/>
      <c r="B31" s="10" t="n"/>
      <c r="C31" s="11" t="n"/>
      <c r="D31" s="12" t="n"/>
      <c r="E31" s="9" t="n"/>
      <c r="F31" s="9" t="n"/>
      <c r="G31" s="11">
        <f>IFERROR(VLOOKUP(E31,CSI_Table,2,FALSE),"")</f>
        <v/>
      </c>
      <c r="H31" s="11" t="n"/>
      <c r="I31" s="11" t="n"/>
      <c r="J31" s="13" t="n"/>
      <c r="K31" s="13" t="n"/>
      <c r="L31" s="13">
        <f>IFERROR(J31,0)-IFERROR(K31,0)</f>
        <v/>
      </c>
      <c r="M31" s="10" t="n"/>
      <c r="N31" s="10" t="n"/>
      <c r="O31" s="13" t="n"/>
      <c r="P31" s="13">
        <f>IFERROR(L31,0)-IFERROR(O31,0)</f>
        <v/>
      </c>
      <c r="Q31" s="14">
        <f>IF(OR(M31="",IFERROR(P31,0)&lt;=0),"",MAX(0,TODAY()-M31))</f>
        <v/>
      </c>
      <c r="R31" s="12">
        <f>IF(AND(N31&lt;&gt;"",IFERROR(O31,0)&gt;=IFERROR(L31,0),IFERROR(L31,0)&gt;0),"Paid",IF(M31="","",IF(TODAY()-M31&lt;=0,"Current",IF(TODAY()-M31&lt;=30,"1-30",IF(TODAY()-M31&lt;=60,"31-60",IF(TODAY()-M31&lt;=90,"61-90",IF(TODAY()-M31&lt;=120,"91-120","120+")))))))</f>
        <v/>
      </c>
      <c r="S31" s="12" t="n"/>
      <c r="T31" s="12" t="n"/>
      <c r="U31" s="12" t="n"/>
      <c r="V31" s="11" t="n"/>
    </row>
    <row r="32" ht="36" customHeight="1">
      <c r="A32" s="9" t="n"/>
      <c r="B32" s="10" t="n"/>
      <c r="C32" s="11" t="n"/>
      <c r="D32" s="12" t="n"/>
      <c r="E32" s="9" t="n"/>
      <c r="F32" s="9" t="n"/>
      <c r="G32" s="11">
        <f>IFERROR(VLOOKUP(E32,CSI_Table,2,FALSE),"")</f>
        <v/>
      </c>
      <c r="H32" s="11" t="n"/>
      <c r="I32" s="11" t="n"/>
      <c r="J32" s="13" t="n"/>
      <c r="K32" s="13" t="n"/>
      <c r="L32" s="13">
        <f>IFERROR(J32,0)-IFERROR(K32,0)</f>
        <v/>
      </c>
      <c r="M32" s="10" t="n"/>
      <c r="N32" s="10" t="n"/>
      <c r="O32" s="13" t="n"/>
      <c r="P32" s="13">
        <f>IFERROR(L32,0)-IFERROR(O32,0)</f>
        <v/>
      </c>
      <c r="Q32" s="14">
        <f>IF(OR(M32="",IFERROR(P32,0)&lt;=0),"",MAX(0,TODAY()-M32))</f>
        <v/>
      </c>
      <c r="R32" s="12">
        <f>IF(AND(N32&lt;&gt;"",IFERROR(O32,0)&gt;=IFERROR(L32,0),IFERROR(L32,0)&gt;0),"Paid",IF(M32="","",IF(TODAY()-M32&lt;=0,"Current",IF(TODAY()-M32&lt;=30,"1-30",IF(TODAY()-M32&lt;=60,"31-60",IF(TODAY()-M32&lt;=90,"61-90",IF(TODAY()-M32&lt;=120,"91-120","120+")))))))</f>
        <v/>
      </c>
      <c r="S32" s="12" t="n"/>
      <c r="T32" s="12" t="n"/>
      <c r="U32" s="12" t="n"/>
      <c r="V32" s="11" t="n"/>
    </row>
    <row r="33" ht="36" customHeight="1">
      <c r="A33" s="9" t="n"/>
      <c r="B33" s="10" t="n"/>
      <c r="C33" s="11" t="n"/>
      <c r="D33" s="12" t="n"/>
      <c r="E33" s="9" t="n"/>
      <c r="F33" s="9" t="n"/>
      <c r="G33" s="11">
        <f>IFERROR(VLOOKUP(E33,CSI_Table,2,FALSE),"")</f>
        <v/>
      </c>
      <c r="H33" s="11" t="n"/>
      <c r="I33" s="11" t="n"/>
      <c r="J33" s="13" t="n"/>
      <c r="K33" s="13" t="n"/>
      <c r="L33" s="13">
        <f>IFERROR(J33,0)-IFERROR(K33,0)</f>
        <v/>
      </c>
      <c r="M33" s="10" t="n"/>
      <c r="N33" s="10" t="n"/>
      <c r="O33" s="13" t="n"/>
      <c r="P33" s="13">
        <f>IFERROR(L33,0)-IFERROR(O33,0)</f>
        <v/>
      </c>
      <c r="Q33" s="14">
        <f>IF(OR(M33="",IFERROR(P33,0)&lt;=0),"",MAX(0,TODAY()-M33))</f>
        <v/>
      </c>
      <c r="R33" s="12">
        <f>IF(AND(N33&lt;&gt;"",IFERROR(O33,0)&gt;=IFERROR(L33,0),IFERROR(L33,0)&gt;0),"Paid",IF(M33="","",IF(TODAY()-M33&lt;=0,"Current",IF(TODAY()-M33&lt;=30,"1-30",IF(TODAY()-M33&lt;=60,"31-60",IF(TODAY()-M33&lt;=90,"61-90",IF(TODAY()-M33&lt;=120,"91-120","120+")))))))</f>
        <v/>
      </c>
      <c r="S33" s="12" t="n"/>
      <c r="T33" s="12" t="n"/>
      <c r="U33" s="12" t="n"/>
      <c r="V33" s="11" t="n"/>
    </row>
    <row r="35">
      <c r="I35" s="15" t="inlineStr">
        <is>
          <t>TOTALS</t>
        </is>
      </c>
      <c r="J35" s="16">
        <f>SUM(J4:J33)</f>
        <v/>
      </c>
      <c r="K35" s="16">
        <f>SUM(K4:K33)</f>
        <v/>
      </c>
      <c r="L35" s="16">
        <f>SUM(L4:L33)</f>
        <v/>
      </c>
      <c r="O35" s="16">
        <f>SUM(O4:O33)</f>
        <v/>
      </c>
      <c r="P35" s="16">
        <f>SUM(P4:P33)</f>
        <v/>
      </c>
    </row>
  </sheetData>
  <mergeCells count="1">
    <mergeCell ref="A1:V1"/>
  </mergeCells>
  <conditionalFormatting sqref="R4:R33">
    <cfRule type="expression" priority="1" dxfId="0" stopIfTrue="0">
      <formula>OR($R4="Current",$R4="Paid")</formula>
    </cfRule>
    <cfRule type="expression" priority="2" dxfId="1" stopIfTrue="0">
      <formula>OR($R4="1-30",$R4="31-60")</formula>
    </cfRule>
    <cfRule type="expression" priority="3" dxfId="2" stopIfTrue="0">
      <formula>$R4="61-90"</formula>
    </cfRule>
    <cfRule type="expression" priority="4" dxfId="3" stopIfTrue="0">
      <formula>OR($R4="91-120",$R4="120+")</formula>
    </cfRule>
  </conditionalFormatting>
  <conditionalFormatting sqref="S4:S33">
    <cfRule type="expression" priority="5" dxfId="3" stopIfTrue="1">
      <formula>AND($U4="Paid",$S4="None")</formula>
    </cfRule>
    <cfRule type="expression" priority="6" dxfId="0" stopIfTrue="0">
      <formula>OR($S4="Unconditional Partial",$S4="Unconditional Final")</formula>
    </cfRule>
    <cfRule type="expression" priority="7" dxfId="1" stopIfTrue="0">
      <formula>$S4="Conditional"</formula>
    </cfRule>
  </conditionalFormatting>
  <conditionalFormatting sqref="T4:T33">
    <cfRule type="expression" priority="8" dxfId="3" stopIfTrue="1">
      <formula>OR($T4="No",$T4="Expired")</formula>
    </cfRule>
    <cfRule type="expression" priority="9" dxfId="0" stopIfTrue="0">
      <formula>$T4="Yes"</formula>
    </cfRule>
  </conditionalFormatting>
  <conditionalFormatting sqref="U4:U33">
    <cfRule type="expression" priority="10" dxfId="0" stopIfTrue="0">
      <formula>$U4="Paid"</formula>
    </cfRule>
    <cfRule type="expression" priority="11" dxfId="1" stopIfTrue="0">
      <formula>OR($U4="Received",$U4="Approved for Payment")</formula>
    </cfRule>
    <cfRule type="expression" priority="12" dxfId="3" stopIfTrue="0">
      <formula>OR($U4="On Hold",$U4="Disputed")</formula>
    </cfRule>
  </conditionalFormatting>
  <dataValidations count="5">
    <dataValidation sqref="D4:D33" showDropDown="0" showInputMessage="0" showErrorMessage="0" allowBlank="1" errorTitle="Invalid vendor type" error="Pick a vendor type from the dropdown." type="list">
      <formula1>"Subcontractor,Material Supplier,Equipment Rental,Service,Other"</formula1>
    </dataValidation>
    <dataValidation sqref="E4:E33" showDropDown="0" showInputMessage="0" showErrorMessage="0" allowBlank="1" errorTitle="Invalid CSI Division" error="Pick a CSI Division from the dropdown." type="list">
      <formula1>=CSI_Divisions</formula1>
    </dataValidation>
    <dataValidation sqref="S4:S33" showDropDown="0" showInputMessage="0" showErrorMessage="0" allowBlank="1" errorTitle="Invalid lien waiver" error="Pick a waiver state from the dropdown." type="list">
      <formula1>"None,Conditional,Unconditional Partial,Unconditional Final,N/A"</formula1>
    </dataValidation>
    <dataValidation sqref="T4:T33" showDropDown="0" showInputMessage="0" showErrorMessage="0" allowBlank="1" errorTitle="Invalid COI state" error="Pick a COI state from the dropdown." type="list">
      <formula1>"Yes,No,Expired,N/A"</formula1>
    </dataValidation>
    <dataValidation sqref="U4:U33" showDropDown="0" showInputMessage="0" showErrorMessage="0" allowBlank="1" errorTitle="Invalid status" error="Pick a status from the dropdown." type="list">
      <formula1>"Received,Approved for Payment,Paid,On Hold,Disputed"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18" customWidth="1" min="3" max="3"/>
    <col width="16" customWidth="1" min="4" max="4"/>
    <col width="18" customWidth="1" min="5" max="5"/>
    <col width="16" customWidth="1" min="6" max="6"/>
    <col width="18" customWidth="1" min="7" max="7"/>
  </cols>
  <sheetData>
    <row r="1" ht="28" customHeight="1">
      <c r="A1" s="1" t="inlineStr">
        <is>
          <t>AP Aging Summary by Vendor Type</t>
        </is>
      </c>
    </row>
    <row r="2">
      <c r="A2" s="5" t="inlineStr">
        <is>
          <t>Reads from Vendor Invoice Log via COUNTIFS / SUMIFS - do not edit. Cross-tabs aging bucket by vendor type. Material Supplier + Equipment Rental + Service + Other are rolled into the 'Other' columns.</t>
        </is>
      </c>
    </row>
    <row r="3" ht="24" customHeight="1">
      <c r="A3" s="6" t="inlineStr">
        <is>
          <t>Aging Bucket</t>
        </is>
      </c>
      <c r="B3" s="6" t="inlineStr">
        <is>
          <t>Subcontractor Count</t>
        </is>
      </c>
      <c r="C3" s="6" t="inlineStr">
        <is>
          <t>Sub $</t>
        </is>
      </c>
      <c r="D3" s="6" t="inlineStr">
        <is>
          <t>Supplier Count</t>
        </is>
      </c>
      <c r="E3" s="6" t="inlineStr">
        <is>
          <t>Supplier $</t>
        </is>
      </c>
      <c r="F3" s="6" t="inlineStr">
        <is>
          <t>Other Count</t>
        </is>
      </c>
      <c r="G3" s="6" t="inlineStr">
        <is>
          <t>Other $</t>
        </is>
      </c>
    </row>
    <row r="4" ht="24" customHeight="1">
      <c r="A4" s="17" t="inlineStr">
        <is>
          <t>Current</t>
        </is>
      </c>
      <c r="B4" s="18">
        <f>COUNTIFS('Vendor Invoice Log'!$R$4:$R$33,A4,'Vendor Invoice Log'!$D$4:$D$33,"Subcontractor")</f>
        <v/>
      </c>
      <c r="C4" s="19">
        <f>SUMIFS('Vendor Invoice Log'!$P$4:$P$33,'Vendor Invoice Log'!$R$4:$R$33,A4,'Vendor Invoice Log'!$D$4:$D$33,"Subcontractor")</f>
        <v/>
      </c>
      <c r="D4" s="18">
        <f>COUNTIFS('Vendor Invoice Log'!$R$4:$R$33,A4,'Vendor Invoice Log'!$D$4:$D$33,"Material Supplier")</f>
        <v/>
      </c>
      <c r="E4" s="19">
        <f>SUMIFS('Vendor Invoice Log'!$P$4:$P$33,'Vendor Invoice Log'!$R$4:$R$33,A4,'Vendor Invoice Log'!$D$4:$D$33,"Material Supplier")</f>
        <v/>
      </c>
      <c r="F4" s="18">
        <f>COUNTIF('Vendor Invoice Log'!$R$4:$R$33,A4)-COUNTIFS('Vendor Invoice Log'!$R$4:$R$33,A4,'Vendor Invoice Log'!$D$4:$D$33,"Subcontractor")-COUNTIFS('Vendor Invoice Log'!$R$4:$R$33,A4,'Vendor Invoice Log'!$D$4:$D$33,"Material Supplier")</f>
        <v/>
      </c>
      <c r="G4" s="19">
        <f>SUMIFS('Vendor Invoice Log'!$P$4:$P$33,'Vendor Invoice Log'!$R$4:$R$33,A4)-SUMIFS('Vendor Invoice Log'!$P$4:$P$33,'Vendor Invoice Log'!$R$4:$R$33,A4,'Vendor Invoice Log'!$D$4:$D$33,"Subcontractor")-SUMIFS('Vendor Invoice Log'!$P$4:$P$33,'Vendor Invoice Log'!$R$4:$R$33,A4,'Vendor Invoice Log'!$D$4:$D$33,"Material Supplier")</f>
        <v/>
      </c>
    </row>
    <row r="5" ht="24" customHeight="1">
      <c r="A5" s="20" t="inlineStr">
        <is>
          <t>1-30</t>
        </is>
      </c>
      <c r="B5" s="18">
        <f>COUNTIFS('Vendor Invoice Log'!$R$4:$R$33,A5,'Vendor Invoice Log'!$D$4:$D$33,"Subcontractor")</f>
        <v/>
      </c>
      <c r="C5" s="19">
        <f>SUMIFS('Vendor Invoice Log'!$P$4:$P$33,'Vendor Invoice Log'!$R$4:$R$33,A5,'Vendor Invoice Log'!$D$4:$D$33,"Subcontractor")</f>
        <v/>
      </c>
      <c r="D5" s="18">
        <f>COUNTIFS('Vendor Invoice Log'!$R$4:$R$33,A5,'Vendor Invoice Log'!$D$4:$D$33,"Material Supplier")</f>
        <v/>
      </c>
      <c r="E5" s="19">
        <f>SUMIFS('Vendor Invoice Log'!$P$4:$P$33,'Vendor Invoice Log'!$R$4:$R$33,A5,'Vendor Invoice Log'!$D$4:$D$33,"Material Supplier")</f>
        <v/>
      </c>
      <c r="F5" s="18">
        <f>COUNTIF('Vendor Invoice Log'!$R$4:$R$33,A5)-COUNTIFS('Vendor Invoice Log'!$R$4:$R$33,A5,'Vendor Invoice Log'!$D$4:$D$33,"Subcontractor")-COUNTIFS('Vendor Invoice Log'!$R$4:$R$33,A5,'Vendor Invoice Log'!$D$4:$D$33,"Material Supplier")</f>
        <v/>
      </c>
      <c r="G5" s="19">
        <f>SUMIFS('Vendor Invoice Log'!$P$4:$P$33,'Vendor Invoice Log'!$R$4:$R$33,A5)-SUMIFS('Vendor Invoice Log'!$P$4:$P$33,'Vendor Invoice Log'!$R$4:$R$33,A5,'Vendor Invoice Log'!$D$4:$D$33,"Subcontractor")-SUMIFS('Vendor Invoice Log'!$P$4:$P$33,'Vendor Invoice Log'!$R$4:$R$33,A5,'Vendor Invoice Log'!$D$4:$D$33,"Material Supplier")</f>
        <v/>
      </c>
    </row>
    <row r="6" ht="24" customHeight="1">
      <c r="A6" s="20" t="inlineStr">
        <is>
          <t>31-60</t>
        </is>
      </c>
      <c r="B6" s="18">
        <f>COUNTIFS('Vendor Invoice Log'!$R$4:$R$33,A6,'Vendor Invoice Log'!$D$4:$D$33,"Subcontractor")</f>
        <v/>
      </c>
      <c r="C6" s="19">
        <f>SUMIFS('Vendor Invoice Log'!$P$4:$P$33,'Vendor Invoice Log'!$R$4:$R$33,A6,'Vendor Invoice Log'!$D$4:$D$33,"Subcontractor")</f>
        <v/>
      </c>
      <c r="D6" s="18">
        <f>COUNTIFS('Vendor Invoice Log'!$R$4:$R$33,A6,'Vendor Invoice Log'!$D$4:$D$33,"Material Supplier")</f>
        <v/>
      </c>
      <c r="E6" s="19">
        <f>SUMIFS('Vendor Invoice Log'!$P$4:$P$33,'Vendor Invoice Log'!$R$4:$R$33,A6,'Vendor Invoice Log'!$D$4:$D$33,"Material Supplier")</f>
        <v/>
      </c>
      <c r="F6" s="18">
        <f>COUNTIF('Vendor Invoice Log'!$R$4:$R$33,A6)-COUNTIFS('Vendor Invoice Log'!$R$4:$R$33,A6,'Vendor Invoice Log'!$D$4:$D$33,"Subcontractor")-COUNTIFS('Vendor Invoice Log'!$R$4:$R$33,A6,'Vendor Invoice Log'!$D$4:$D$33,"Material Supplier")</f>
        <v/>
      </c>
      <c r="G6" s="19">
        <f>SUMIFS('Vendor Invoice Log'!$P$4:$P$33,'Vendor Invoice Log'!$R$4:$R$33,A6)-SUMIFS('Vendor Invoice Log'!$P$4:$P$33,'Vendor Invoice Log'!$R$4:$R$33,A6,'Vendor Invoice Log'!$D$4:$D$33,"Subcontractor")-SUMIFS('Vendor Invoice Log'!$P$4:$P$33,'Vendor Invoice Log'!$R$4:$R$33,A6,'Vendor Invoice Log'!$D$4:$D$33,"Material Supplier")</f>
        <v/>
      </c>
    </row>
    <row r="7" ht="24" customHeight="1">
      <c r="A7" s="21" t="inlineStr">
        <is>
          <t>61-90</t>
        </is>
      </c>
      <c r="B7" s="18">
        <f>COUNTIFS('Vendor Invoice Log'!$R$4:$R$33,A7,'Vendor Invoice Log'!$D$4:$D$33,"Subcontractor")</f>
        <v/>
      </c>
      <c r="C7" s="19">
        <f>SUMIFS('Vendor Invoice Log'!$P$4:$P$33,'Vendor Invoice Log'!$R$4:$R$33,A7,'Vendor Invoice Log'!$D$4:$D$33,"Subcontractor")</f>
        <v/>
      </c>
      <c r="D7" s="18">
        <f>COUNTIFS('Vendor Invoice Log'!$R$4:$R$33,A7,'Vendor Invoice Log'!$D$4:$D$33,"Material Supplier")</f>
        <v/>
      </c>
      <c r="E7" s="19">
        <f>SUMIFS('Vendor Invoice Log'!$P$4:$P$33,'Vendor Invoice Log'!$R$4:$R$33,A7,'Vendor Invoice Log'!$D$4:$D$33,"Material Supplier")</f>
        <v/>
      </c>
      <c r="F7" s="18">
        <f>COUNTIF('Vendor Invoice Log'!$R$4:$R$33,A7)-COUNTIFS('Vendor Invoice Log'!$R$4:$R$33,A7,'Vendor Invoice Log'!$D$4:$D$33,"Subcontractor")-COUNTIFS('Vendor Invoice Log'!$R$4:$R$33,A7,'Vendor Invoice Log'!$D$4:$D$33,"Material Supplier")</f>
        <v/>
      </c>
      <c r="G7" s="19">
        <f>SUMIFS('Vendor Invoice Log'!$P$4:$P$33,'Vendor Invoice Log'!$R$4:$R$33,A7)-SUMIFS('Vendor Invoice Log'!$P$4:$P$33,'Vendor Invoice Log'!$R$4:$R$33,A7,'Vendor Invoice Log'!$D$4:$D$33,"Subcontractor")-SUMIFS('Vendor Invoice Log'!$P$4:$P$33,'Vendor Invoice Log'!$R$4:$R$33,A7,'Vendor Invoice Log'!$D$4:$D$33,"Material Supplier")</f>
        <v/>
      </c>
    </row>
    <row r="8" ht="24" customHeight="1">
      <c r="A8" s="22" t="inlineStr">
        <is>
          <t>91-120</t>
        </is>
      </c>
      <c r="B8" s="18">
        <f>COUNTIFS('Vendor Invoice Log'!$R$4:$R$33,A8,'Vendor Invoice Log'!$D$4:$D$33,"Subcontractor")</f>
        <v/>
      </c>
      <c r="C8" s="19">
        <f>SUMIFS('Vendor Invoice Log'!$P$4:$P$33,'Vendor Invoice Log'!$R$4:$R$33,A8,'Vendor Invoice Log'!$D$4:$D$33,"Subcontractor")</f>
        <v/>
      </c>
      <c r="D8" s="18">
        <f>COUNTIFS('Vendor Invoice Log'!$R$4:$R$33,A8,'Vendor Invoice Log'!$D$4:$D$33,"Material Supplier")</f>
        <v/>
      </c>
      <c r="E8" s="19">
        <f>SUMIFS('Vendor Invoice Log'!$P$4:$P$33,'Vendor Invoice Log'!$R$4:$R$33,A8,'Vendor Invoice Log'!$D$4:$D$33,"Material Supplier")</f>
        <v/>
      </c>
      <c r="F8" s="18">
        <f>COUNTIF('Vendor Invoice Log'!$R$4:$R$33,A8)-COUNTIFS('Vendor Invoice Log'!$R$4:$R$33,A8,'Vendor Invoice Log'!$D$4:$D$33,"Subcontractor")-COUNTIFS('Vendor Invoice Log'!$R$4:$R$33,A8,'Vendor Invoice Log'!$D$4:$D$33,"Material Supplier")</f>
        <v/>
      </c>
      <c r="G8" s="19">
        <f>SUMIFS('Vendor Invoice Log'!$P$4:$P$33,'Vendor Invoice Log'!$R$4:$R$33,A8)-SUMIFS('Vendor Invoice Log'!$P$4:$P$33,'Vendor Invoice Log'!$R$4:$R$33,A8,'Vendor Invoice Log'!$D$4:$D$33,"Subcontractor")-SUMIFS('Vendor Invoice Log'!$P$4:$P$33,'Vendor Invoice Log'!$R$4:$R$33,A8,'Vendor Invoice Log'!$D$4:$D$33,"Material Supplier")</f>
        <v/>
      </c>
    </row>
    <row r="9" ht="24" customHeight="1">
      <c r="A9" s="22" t="inlineStr">
        <is>
          <t>120+</t>
        </is>
      </c>
      <c r="B9" s="18">
        <f>COUNTIFS('Vendor Invoice Log'!$R$4:$R$33,A9,'Vendor Invoice Log'!$D$4:$D$33,"Subcontractor")</f>
        <v/>
      </c>
      <c r="C9" s="19">
        <f>SUMIFS('Vendor Invoice Log'!$P$4:$P$33,'Vendor Invoice Log'!$R$4:$R$33,A9,'Vendor Invoice Log'!$D$4:$D$33,"Subcontractor")</f>
        <v/>
      </c>
      <c r="D9" s="18">
        <f>COUNTIFS('Vendor Invoice Log'!$R$4:$R$33,A9,'Vendor Invoice Log'!$D$4:$D$33,"Material Supplier")</f>
        <v/>
      </c>
      <c r="E9" s="19">
        <f>SUMIFS('Vendor Invoice Log'!$P$4:$P$33,'Vendor Invoice Log'!$R$4:$R$33,A9,'Vendor Invoice Log'!$D$4:$D$33,"Material Supplier")</f>
        <v/>
      </c>
      <c r="F9" s="18">
        <f>COUNTIF('Vendor Invoice Log'!$R$4:$R$33,A9)-COUNTIFS('Vendor Invoice Log'!$R$4:$R$33,A9,'Vendor Invoice Log'!$D$4:$D$33,"Subcontractor")-COUNTIFS('Vendor Invoice Log'!$R$4:$R$33,A9,'Vendor Invoice Log'!$D$4:$D$33,"Material Supplier")</f>
        <v/>
      </c>
      <c r="G9" s="19">
        <f>SUMIFS('Vendor Invoice Log'!$P$4:$P$33,'Vendor Invoice Log'!$R$4:$R$33,A9)-SUMIFS('Vendor Invoice Log'!$P$4:$P$33,'Vendor Invoice Log'!$R$4:$R$33,A9,'Vendor Invoice Log'!$D$4:$D$33,"Subcontractor")-SUMIFS('Vendor Invoice Log'!$P$4:$P$33,'Vendor Invoice Log'!$R$4:$R$33,A9,'Vendor Invoice Log'!$D$4:$D$33,"Material Supplier")</f>
        <v/>
      </c>
    </row>
    <row r="10" ht="24" customHeight="1">
      <c r="A10" s="23" t="inlineStr">
        <is>
          <t>TOTAL OUTSTANDING</t>
        </is>
      </c>
      <c r="B10" s="24">
        <f>SUM(B4:B9)</f>
        <v/>
      </c>
      <c r="C10" s="16">
        <f>SUM(C4:C9)</f>
        <v/>
      </c>
      <c r="D10" s="24">
        <f>SUM(D4:D9)</f>
        <v/>
      </c>
      <c r="E10" s="16">
        <f>SUM(E4:E9)</f>
        <v/>
      </c>
      <c r="F10" s="24">
        <f>SUM(F4:F9)</f>
        <v/>
      </c>
      <c r="G10" s="16">
        <f>SUM(G4:G9)</f>
        <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26" customWidth="1" min="1" max="1"/>
    <col width="14" customWidth="1" min="2" max="2"/>
    <col width="14" customWidth="1" min="3" max="3"/>
    <col width="18" customWidth="1" min="4" max="4"/>
    <col width="14" customWidth="1" min="5" max="5"/>
    <col width="10" customWidth="1" min="6" max="6"/>
  </cols>
  <sheetData>
    <row r="1" ht="32" customHeight="1">
      <c r="A1" s="1" t="inlineStr">
        <is>
          <t>Accounts Payable Dashboard</t>
        </is>
      </c>
    </row>
    <row r="2">
      <c r="A2" s="5" t="inlineStr">
        <is>
          <t>Auto-calculated from Company Info and Vendor Invoice Log. Update those tabs - this one stays in sync. Pay extra attention to the two RISK rows: paying subs without lien waivers and subs on site with expired COIs.</t>
        </is>
      </c>
    </row>
    <row r="4" ht="26" customHeight="1">
      <c r="A4" s="25" t="inlineStr">
        <is>
          <t>AP Headline</t>
        </is>
      </c>
    </row>
    <row r="5" ht="28" customHeight="1">
      <c r="A5" s="23" t="inlineStr">
        <is>
          <t>Total Outstanding AP</t>
        </is>
      </c>
      <c r="B5" s="26" t="n"/>
      <c r="C5" s="27" t="n"/>
      <c r="D5" s="28">
        <f>SUM('Vendor Invoice Log'!$P$4:$P$33)</f>
        <v/>
      </c>
      <c r="E5" s="26" t="n"/>
      <c r="F5" s="27" t="n"/>
    </row>
    <row r="6" ht="28" customHeight="1">
      <c r="A6" s="23" t="inlineStr">
        <is>
          <t>Total Retainage Held (from subs)</t>
        </is>
      </c>
      <c r="B6" s="26" t="n"/>
      <c r="C6" s="27" t="n"/>
      <c r="D6" s="28">
        <f>SUMIFS('Vendor Invoice Log'!$K$4:$K$33,'Vendor Invoice Log'!$D$4:$D$33,"Subcontractor")</f>
        <v/>
      </c>
      <c r="E6" s="26" t="n"/>
      <c r="F6" s="27" t="n"/>
    </row>
    <row r="7" ht="28" customHeight="1">
      <c r="A7" s="23" t="inlineStr">
        <is>
          <t>Total Paid YTD</t>
        </is>
      </c>
      <c r="B7" s="26" t="n"/>
      <c r="C7" s="27" t="n"/>
      <c r="D7" s="28">
        <f>SUMPRODUCT(('Vendor Invoice Log'!$N$4:$N$33&lt;&gt;"")*(IFERROR(YEAR('Vendor Invoice Log'!$N$4:$N$33),0)=YEAR(TODAY()))*IFERROR('Vendor Invoice Log'!$O$4:$O$33+0,0))</f>
        <v/>
      </c>
      <c r="E7" s="26" t="n"/>
      <c r="F7" s="27" t="n"/>
    </row>
    <row r="8" ht="28" customHeight="1">
      <c r="A8" s="23" t="inlineStr">
        <is>
          <t>Avg Days to Pay (DPO equivalent)</t>
        </is>
      </c>
      <c r="B8" s="26" t="n"/>
      <c r="C8" s="27" t="n"/>
      <c r="D8" s="29">
        <f>IFERROR(SUMPRODUCT(('Vendor Invoice Log'!$N$4:$N$33&lt;&gt;"")*('Vendor Invoice Log'!$B$4:$B$33&lt;&gt;"")*IFERROR('Vendor Invoice Log'!$N$4:$N$33-'Vendor Invoice Log'!$B$4:$B$33,0))/MAX(1,SUMPRODUCT(('Vendor Invoice Log'!$N$4:$N$33&lt;&gt;"")*('Vendor Invoice Log'!$B$4:$B$33&lt;&gt;"")*1)),0)</f>
        <v/>
      </c>
      <c r="E8" s="26" t="n"/>
      <c r="F8" s="27" t="n"/>
    </row>
    <row r="10" ht="26" customHeight="1">
      <c r="A10" s="25" t="inlineStr">
        <is>
          <t>Risk Flags - These Are Where CFOs Lose Sleep</t>
        </is>
      </c>
    </row>
    <row r="11" ht="28" customHeight="1">
      <c r="A11" s="23" t="inlineStr">
        <is>
          <t>Subs without current COI (open exposure)</t>
        </is>
      </c>
      <c r="B11" s="26" t="n"/>
      <c r="C11" s="27" t="n"/>
      <c r="D11" s="29">
        <f>COUNTIFS('Vendor Invoice Log'!$D$4:$D$33,"Subcontractor",'Vendor Invoice Log'!$T$4:$T$33,"No",'Vendor Invoice Log'!$P$4:$P$33,"&gt;0")+COUNTIFS('Vendor Invoice Log'!$D$4:$D$33,"Subcontractor",'Vendor Invoice Log'!$T$4:$T$33,"Expired",'Vendor Invoice Log'!$P$4:$P$33,"&gt;0")</f>
        <v/>
      </c>
      <c r="E11" s="26" t="n"/>
      <c r="F11" s="27" t="n"/>
    </row>
    <row r="12" ht="28" customHeight="1">
      <c r="A12" s="23" t="inlineStr">
        <is>
          <t>Subs paid without lien waiver - count</t>
        </is>
      </c>
      <c r="B12" s="26" t="n"/>
      <c r="C12" s="27" t="n"/>
      <c r="D12" s="29">
        <f>COUNTIFS('Vendor Invoice Log'!$D$4:$D$33,"Subcontractor",'Vendor Invoice Log'!$U$4:$U$33,"Paid",'Vendor Invoice Log'!$S$4:$S$33,"None")</f>
        <v/>
      </c>
      <c r="E12" s="26" t="n"/>
      <c r="F12" s="27" t="n"/>
    </row>
    <row r="13" ht="28" customHeight="1">
      <c r="A13" s="23" t="inlineStr">
        <is>
          <t>Subs paid without lien waiver - $ exposure</t>
        </is>
      </c>
      <c r="B13" s="26" t="n"/>
      <c r="C13" s="27" t="n"/>
      <c r="D13" s="28">
        <f>SUMIFS('Vendor Invoice Log'!$O$4:$O$33,'Vendor Invoice Log'!$D$4:$D$33,"Subcontractor",'Vendor Invoice Log'!$U$4:$U$33,"Paid",'Vendor Invoice Log'!$S$4:$S$33,"None")</f>
        <v/>
      </c>
      <c r="E13" s="26" t="n"/>
      <c r="F13" s="27" t="n"/>
    </row>
    <row r="15" ht="26" customHeight="1">
      <c r="A15" s="25" t="inlineStr">
        <is>
          <t>Aging Breakdown</t>
        </is>
      </c>
    </row>
    <row r="16" ht="32" customHeight="1">
      <c r="A16" s="6" t="inlineStr">
        <is>
          <t>Aging Bucket</t>
        </is>
      </c>
      <c r="B16" s="6" t="inlineStr">
        <is>
          <t>Count</t>
        </is>
      </c>
      <c r="C16" s="6" t="inlineStr">
        <is>
          <t>Outstanding</t>
        </is>
      </c>
      <c r="D16" s="27" t="n"/>
    </row>
    <row r="17" ht="22" customHeight="1">
      <c r="A17" s="30" t="inlineStr">
        <is>
          <t>Current</t>
        </is>
      </c>
      <c r="B17" s="27" t="n"/>
      <c r="C17" s="31">
        <f>COUNTIF('Vendor Invoice Log'!$R$4:$R$33,"Current")</f>
        <v/>
      </c>
      <c r="D17" s="32">
        <f>SUMIFS('Vendor Invoice Log'!$P$4:$P$33,'Vendor Invoice Log'!$R$4:$R$33,"Current")</f>
        <v/>
      </c>
      <c r="E17" s="33">
        <f>IFERROR(SUMIFS('Vendor Invoice Log'!$P$4:$P$33,'Vendor Invoice Log'!$R$4:$R$33,"Current")/SUM('Vendor Invoice Log'!$P$4:$P$33),0)</f>
        <v/>
      </c>
      <c r="F17" s="27" t="n"/>
    </row>
    <row r="18" ht="22" customHeight="1">
      <c r="A18" s="34" t="inlineStr">
        <is>
          <t>1-30</t>
        </is>
      </c>
      <c r="B18" s="27" t="n"/>
      <c r="C18" s="31">
        <f>COUNTIF('Vendor Invoice Log'!$R$4:$R$33,"1-30")</f>
        <v/>
      </c>
      <c r="D18" s="32">
        <f>SUMIFS('Vendor Invoice Log'!$P$4:$P$33,'Vendor Invoice Log'!$R$4:$R$33,"1-30")</f>
        <v/>
      </c>
      <c r="E18" s="33">
        <f>IFERROR(SUMIFS('Vendor Invoice Log'!$P$4:$P$33,'Vendor Invoice Log'!$R$4:$R$33,"1-30")/SUM('Vendor Invoice Log'!$P$4:$P$33),0)</f>
        <v/>
      </c>
      <c r="F18" s="27" t="n"/>
    </row>
    <row r="19" ht="22" customHeight="1">
      <c r="A19" s="34" t="inlineStr">
        <is>
          <t>31-60</t>
        </is>
      </c>
      <c r="B19" s="27" t="n"/>
      <c r="C19" s="31">
        <f>COUNTIF('Vendor Invoice Log'!$R$4:$R$33,"31-60")</f>
        <v/>
      </c>
      <c r="D19" s="32">
        <f>SUMIFS('Vendor Invoice Log'!$P$4:$P$33,'Vendor Invoice Log'!$R$4:$R$33,"31-60")</f>
        <v/>
      </c>
      <c r="E19" s="33">
        <f>IFERROR(SUMIFS('Vendor Invoice Log'!$P$4:$P$33,'Vendor Invoice Log'!$R$4:$R$33,"31-60")/SUM('Vendor Invoice Log'!$P$4:$P$33),0)</f>
        <v/>
      </c>
      <c r="F19" s="27" t="n"/>
    </row>
    <row r="20" ht="22" customHeight="1">
      <c r="A20" s="35" t="inlineStr">
        <is>
          <t>61-90</t>
        </is>
      </c>
      <c r="B20" s="27" t="n"/>
      <c r="C20" s="31">
        <f>COUNTIF('Vendor Invoice Log'!$R$4:$R$33,"61-90")</f>
        <v/>
      </c>
      <c r="D20" s="32">
        <f>SUMIFS('Vendor Invoice Log'!$P$4:$P$33,'Vendor Invoice Log'!$R$4:$R$33,"61-90")</f>
        <v/>
      </c>
      <c r="E20" s="33">
        <f>IFERROR(SUMIFS('Vendor Invoice Log'!$P$4:$P$33,'Vendor Invoice Log'!$R$4:$R$33,"61-90")/SUM('Vendor Invoice Log'!$P$4:$P$33),0)</f>
        <v/>
      </c>
      <c r="F20" s="27" t="n"/>
    </row>
    <row r="21" ht="22" customHeight="1">
      <c r="A21" s="36" t="inlineStr">
        <is>
          <t>91-120</t>
        </is>
      </c>
      <c r="B21" s="27" t="n"/>
      <c r="C21" s="31">
        <f>COUNTIF('Vendor Invoice Log'!$R$4:$R$33,"91-120")</f>
        <v/>
      </c>
      <c r="D21" s="32">
        <f>SUMIFS('Vendor Invoice Log'!$P$4:$P$33,'Vendor Invoice Log'!$R$4:$R$33,"91-120")</f>
        <v/>
      </c>
      <c r="E21" s="33">
        <f>IFERROR(SUMIFS('Vendor Invoice Log'!$P$4:$P$33,'Vendor Invoice Log'!$R$4:$R$33,"91-120")/SUM('Vendor Invoice Log'!$P$4:$P$33),0)</f>
        <v/>
      </c>
      <c r="F21" s="27" t="n"/>
    </row>
    <row r="22" ht="22" customHeight="1">
      <c r="A22" s="36" t="inlineStr">
        <is>
          <t>120+</t>
        </is>
      </c>
      <c r="B22" s="27" t="n"/>
      <c r="C22" s="31">
        <f>COUNTIF('Vendor Invoice Log'!$R$4:$R$33,"120+")</f>
        <v/>
      </c>
      <c r="D22" s="32">
        <f>SUMIFS('Vendor Invoice Log'!$P$4:$P$33,'Vendor Invoice Log'!$R$4:$R$33,"120+")</f>
        <v/>
      </c>
      <c r="E22" s="33">
        <f>IFERROR(SUMIFS('Vendor Invoice Log'!$P$4:$P$33,'Vendor Invoice Log'!$R$4:$R$33,"120+")/SUM('Vendor Invoice Log'!$P$4:$P$33),0)</f>
        <v/>
      </c>
      <c r="F22" s="27" t="n"/>
    </row>
    <row r="23">
      <c r="A23" s="23" t="inlineStr">
        <is>
          <t>TOTAL OUTSTANDING</t>
        </is>
      </c>
      <c r="B23" s="27" t="n"/>
      <c r="C23" s="37">
        <f>COUNTIF('Vendor Invoice Log'!$R$4:$R$33,"Current")+COUNTIF('Vendor Invoice Log'!$R$4:$R$33,"1-30")+COUNTIF('Vendor Invoice Log'!$R$4:$R$33,"31-60")+COUNTIF('Vendor Invoice Log'!$R$4:$R$33,"61-90")+COUNTIF('Vendor Invoice Log'!$R$4:$R$33,"91-120")+COUNTIF('Vendor Invoice Log'!$R$4:$R$33,"120+")</f>
        <v/>
      </c>
      <c r="D23" s="38">
        <f>SUM('Vendor Invoice Log'!$P$4:$P$33)</f>
        <v/>
      </c>
      <c r="E23" s="39">
        <f>1</f>
        <v/>
      </c>
      <c r="F23" s="27" t="n"/>
    </row>
  </sheetData>
  <mergeCells count="35">
    <mergeCell ref="D11:F11"/>
    <mergeCell ref="D13:F13"/>
    <mergeCell ref="E23:F23"/>
    <mergeCell ref="A12:C12"/>
    <mergeCell ref="D7:F7"/>
    <mergeCell ref="E17:F17"/>
    <mergeCell ref="A2:F2"/>
    <mergeCell ref="E20:F20"/>
    <mergeCell ref="C16:D16"/>
    <mergeCell ref="A5:C5"/>
    <mergeCell ref="A8:C8"/>
    <mergeCell ref="E19:F19"/>
    <mergeCell ref="D12:F12"/>
    <mergeCell ref="A4:F4"/>
    <mergeCell ref="A18:B18"/>
    <mergeCell ref="D8:F8"/>
    <mergeCell ref="A21:B21"/>
    <mergeCell ref="A10:F10"/>
    <mergeCell ref="A13:C13"/>
    <mergeCell ref="D5:F5"/>
    <mergeCell ref="A17:B17"/>
    <mergeCell ref="A23:B23"/>
    <mergeCell ref="A15:F15"/>
    <mergeCell ref="A22:B22"/>
    <mergeCell ref="A20:B20"/>
    <mergeCell ref="A11:C11"/>
    <mergeCell ref="E16:F16"/>
    <mergeCell ref="E18:F18"/>
    <mergeCell ref="A19:B19"/>
    <mergeCell ref="A1:F1"/>
    <mergeCell ref="A6:C6"/>
    <mergeCell ref="E22:F22"/>
    <mergeCell ref="A7:C7"/>
    <mergeCell ref="D6:F6"/>
    <mergeCell ref="E21:F21"/>
  </mergeCells>
  <conditionalFormatting sqref="D5">
    <cfRule type="cellIs" priority="1" operator="greaterThan" dxfId="4" stopIfTrue="0">
      <formula>0</formula>
    </cfRule>
    <cfRule type="cellIs" priority="2" operator="lessThanOrEqual" dxfId="5" stopIfTrue="0">
      <formula>0</formula>
    </cfRule>
  </conditionalFormatting>
  <conditionalFormatting sqref="D8">
    <cfRule type="cellIs" priority="3" operator="greaterThan" dxfId="6" stopIfTrue="1">
      <formula>60</formula>
    </cfRule>
    <cfRule type="cellIs" priority="4" operator="between" dxfId="5" stopIfTrue="1">
      <formula>14</formula>
      <formula>45</formula>
    </cfRule>
    <cfRule type="cellIs" priority="5" operator="greaterThan" dxfId="4" stopIfTrue="0">
      <formula>0</formula>
    </cfRule>
  </conditionalFormatting>
  <conditionalFormatting sqref="D11">
    <cfRule type="cellIs" priority="6" operator="greaterThan" dxfId="6" stopIfTrue="0">
      <formula>0</formula>
    </cfRule>
    <cfRule type="cellIs" priority="7" operator="lessThanOrEqual" dxfId="5" stopIfTrue="0">
      <formula>0</formula>
    </cfRule>
  </conditionalFormatting>
  <conditionalFormatting sqref="D12">
    <cfRule type="cellIs" priority="8" operator="greaterThan" dxfId="6" stopIfTrue="0">
      <formula>0</formula>
    </cfRule>
    <cfRule type="cellIs" priority="9" operator="lessThanOrEqual" dxfId="5" stopIfTrue="0">
      <formula>0</formula>
    </cfRule>
  </conditionalFormatting>
  <conditionalFormatting sqref="D13">
    <cfRule type="cellIs" priority="10" operator="greaterThan" dxfId="6" stopIfTrue="0">
      <formula>0</formula>
    </cfRule>
    <cfRule type="cellIs" priority="11" operator="lessThanOrEqual" dxfId="5" stopIfTrue="0">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14" customWidth="1" min="1" max="1"/>
    <col width="60" customWidth="1" min="2" max="2"/>
  </cols>
  <sheetData>
    <row r="1" ht="28" customHeight="1">
      <c r="A1" s="1" t="inlineStr">
        <is>
          <t>CSI MasterFormat Division Reference</t>
        </is>
      </c>
    </row>
    <row r="2">
      <c r="A2" s="5" t="inlineStr">
        <is>
          <t>Pulled from the same canonical list as ContrPro Job Costing. Do not edit.</t>
        </is>
      </c>
    </row>
    <row r="3" ht="32" customHeight="1">
      <c r="A3" s="6" t="inlineStr">
        <is>
          <t>CSI Division</t>
        </is>
      </c>
      <c r="B3" s="6" t="inlineStr">
        <is>
          <t>Division Name</t>
        </is>
      </c>
    </row>
    <row r="4">
      <c r="A4" s="40" t="inlineStr">
        <is>
          <t>01</t>
        </is>
      </c>
      <c r="B4" s="41" t="inlineStr">
        <is>
          <t>General Requirements</t>
        </is>
      </c>
    </row>
    <row r="5">
      <c r="A5" s="40" t="inlineStr">
        <is>
          <t>02</t>
        </is>
      </c>
      <c r="B5" s="41" t="inlineStr">
        <is>
          <t>Existing Conditions</t>
        </is>
      </c>
    </row>
    <row r="6">
      <c r="A6" s="40" t="inlineStr">
        <is>
          <t>03</t>
        </is>
      </c>
      <c r="B6" s="41" t="inlineStr">
        <is>
          <t>Concrete</t>
        </is>
      </c>
    </row>
    <row r="7">
      <c r="A7" s="40" t="inlineStr">
        <is>
          <t>04</t>
        </is>
      </c>
      <c r="B7" s="41" t="inlineStr">
        <is>
          <t>Masonry</t>
        </is>
      </c>
    </row>
    <row r="8">
      <c r="A8" s="40" t="inlineStr">
        <is>
          <t>05</t>
        </is>
      </c>
      <c r="B8" s="41" t="inlineStr">
        <is>
          <t>Metals</t>
        </is>
      </c>
    </row>
    <row r="9">
      <c r="A9" s="40" t="inlineStr">
        <is>
          <t>06</t>
        </is>
      </c>
      <c r="B9" s="41" t="inlineStr">
        <is>
          <t>Wood, Plastics, and Composites</t>
        </is>
      </c>
    </row>
    <row r="10">
      <c r="A10" s="40" t="inlineStr">
        <is>
          <t>07</t>
        </is>
      </c>
      <c r="B10" s="41" t="inlineStr">
        <is>
          <t>Thermal and Moisture Protection</t>
        </is>
      </c>
    </row>
    <row r="11">
      <c r="A11" s="40" t="inlineStr">
        <is>
          <t>08</t>
        </is>
      </c>
      <c r="B11" s="41" t="inlineStr">
        <is>
          <t>Openings</t>
        </is>
      </c>
    </row>
    <row r="12">
      <c r="A12" s="40" t="inlineStr">
        <is>
          <t>09</t>
        </is>
      </c>
      <c r="B12" s="41" t="inlineStr">
        <is>
          <t>Finishes</t>
        </is>
      </c>
    </row>
    <row r="13">
      <c r="A13" s="40" t="inlineStr">
        <is>
          <t>10</t>
        </is>
      </c>
      <c r="B13" s="41" t="inlineStr">
        <is>
          <t>Specialties</t>
        </is>
      </c>
    </row>
    <row r="14">
      <c r="A14" s="40" t="inlineStr">
        <is>
          <t>11</t>
        </is>
      </c>
      <c r="B14" s="41" t="inlineStr">
        <is>
          <t>Equipment</t>
        </is>
      </c>
    </row>
    <row r="15">
      <c r="A15" s="40" t="inlineStr">
        <is>
          <t>12</t>
        </is>
      </c>
      <c r="B15" s="41" t="inlineStr">
        <is>
          <t>Furnishings</t>
        </is>
      </c>
    </row>
    <row r="16">
      <c r="A16" s="40" t="inlineStr">
        <is>
          <t>13</t>
        </is>
      </c>
      <c r="B16" s="41" t="inlineStr">
        <is>
          <t>Special Construction</t>
        </is>
      </c>
    </row>
    <row r="17">
      <c r="A17" s="40" t="inlineStr">
        <is>
          <t>14</t>
        </is>
      </c>
      <c r="B17" s="41" t="inlineStr">
        <is>
          <t>Conveying Equipment</t>
        </is>
      </c>
    </row>
    <row r="18">
      <c r="A18" s="40" t="inlineStr">
        <is>
          <t>21</t>
        </is>
      </c>
      <c r="B18" s="41" t="inlineStr">
        <is>
          <t>Fire Suppression</t>
        </is>
      </c>
    </row>
    <row r="19">
      <c r="A19" s="40" t="inlineStr">
        <is>
          <t>22</t>
        </is>
      </c>
      <c r="B19" s="41" t="inlineStr">
        <is>
          <t>Plumbing</t>
        </is>
      </c>
    </row>
    <row r="20">
      <c r="A20" s="40" t="inlineStr">
        <is>
          <t>23</t>
        </is>
      </c>
      <c r="B20" s="41" t="inlineStr">
        <is>
          <t>HVAC</t>
        </is>
      </c>
    </row>
    <row r="21">
      <c r="A21" s="40" t="inlineStr">
        <is>
          <t>25</t>
        </is>
      </c>
      <c r="B21" s="41" t="inlineStr">
        <is>
          <t>Integrated Automation</t>
        </is>
      </c>
    </row>
    <row r="22">
      <c r="A22" s="40" t="inlineStr">
        <is>
          <t>26</t>
        </is>
      </c>
      <c r="B22" s="41" t="inlineStr">
        <is>
          <t>Electrical</t>
        </is>
      </c>
    </row>
    <row r="23">
      <c r="A23" s="40" t="inlineStr">
        <is>
          <t>27</t>
        </is>
      </c>
      <c r="B23" s="41" t="inlineStr">
        <is>
          <t>Communications</t>
        </is>
      </c>
    </row>
    <row r="24">
      <c r="A24" s="40" t="inlineStr">
        <is>
          <t>28</t>
        </is>
      </c>
      <c r="B24" s="41" t="inlineStr">
        <is>
          <t>Electronic Safety and Security</t>
        </is>
      </c>
    </row>
    <row r="25">
      <c r="A25" s="40" t="inlineStr">
        <is>
          <t>31</t>
        </is>
      </c>
      <c r="B25" s="41" t="inlineStr">
        <is>
          <t>Earthwork</t>
        </is>
      </c>
    </row>
    <row r="26">
      <c r="A26" s="40" t="inlineStr">
        <is>
          <t>32</t>
        </is>
      </c>
      <c r="B26" s="41" t="inlineStr">
        <is>
          <t>Exterior Improvements</t>
        </is>
      </c>
    </row>
    <row r="27">
      <c r="A27" s="40" t="inlineStr">
        <is>
          <t>33</t>
        </is>
      </c>
      <c r="B27" s="41" t="inlineStr">
        <is>
          <t>Utilities</t>
        </is>
      </c>
    </row>
    <row r="28">
      <c r="A28" s="40" t="inlineStr">
        <is>
          <t>34</t>
        </is>
      </c>
      <c r="B28" s="41" t="inlineStr">
        <is>
          <t>Transportation</t>
        </is>
      </c>
    </row>
    <row r="29">
      <c r="A29" s="40" t="inlineStr">
        <is>
          <t>35</t>
        </is>
      </c>
      <c r="B29" s="41" t="inlineStr">
        <is>
          <t>Waterway and Marine Construction</t>
        </is>
      </c>
    </row>
    <row r="30">
      <c r="A30" s="40" t="inlineStr">
        <is>
          <t>40</t>
        </is>
      </c>
      <c r="B30" s="41" t="inlineStr">
        <is>
          <t>Process Interconnections</t>
        </is>
      </c>
    </row>
    <row r="31">
      <c r="A31" s="40" t="inlineStr">
        <is>
          <t>41</t>
        </is>
      </c>
      <c r="B31" s="41" t="inlineStr">
        <is>
          <t>Material Processing and Handling Equipment</t>
        </is>
      </c>
    </row>
    <row r="32">
      <c r="A32" s="40" t="inlineStr">
        <is>
          <t>42</t>
        </is>
      </c>
      <c r="B32" s="41" t="inlineStr">
        <is>
          <t>Process Heating, Cooling, and Drying Equipment</t>
        </is>
      </c>
    </row>
    <row r="33">
      <c r="A33" s="40" t="inlineStr">
        <is>
          <t>43</t>
        </is>
      </c>
      <c r="B33" s="41" t="inlineStr">
        <is>
          <t>Process Gas and Liquid Handling, Purification, and Storage Equipment</t>
        </is>
      </c>
    </row>
    <row r="34">
      <c r="A34" s="40" t="inlineStr">
        <is>
          <t>44</t>
        </is>
      </c>
      <c r="B34" s="41" t="inlineStr">
        <is>
          <t>Pollution and Waste Control Equipment</t>
        </is>
      </c>
    </row>
    <row r="35">
      <c r="A35" s="40" t="inlineStr">
        <is>
          <t>45</t>
        </is>
      </c>
      <c r="B35" s="41" t="inlineStr">
        <is>
          <t>Industry-Specific Manufacturing Equipment</t>
        </is>
      </c>
    </row>
    <row r="36">
      <c r="A36" s="40" t="inlineStr">
        <is>
          <t>46</t>
        </is>
      </c>
      <c r="B36" s="41" t="inlineStr">
        <is>
          <t>Water and Wastewater Equipment</t>
        </is>
      </c>
    </row>
    <row r="37">
      <c r="A37" s="40" t="inlineStr">
        <is>
          <t>48</t>
        </is>
      </c>
      <c r="B37" s="41" t="inlineStr">
        <is>
          <t>Electrical Power Generation</t>
        </is>
      </c>
    </row>
    <row r="38">
      <c r="A38" s="40" t="inlineStr">
        <is>
          <t>49</t>
        </is>
      </c>
      <c r="B38" s="41" t="inlineStr">
        <is>
          <t>Reserved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2026-05-14T10:19:17Z</dcterms:created>
  <dcterms:modified xmlns:dcterms="http://purl.org/dc/terms/" xmlns:xsi="http://www.w3.org/2001/XMLSchema-instance" xsi:type="dcterms:W3CDTF">2026-05-14T10:19:17Z</dcterms:modified>
</cp:coreProperties>
</file>