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Change Order Log" sheetId="3" state="visible" r:id="rId3"/>
    <sheet xmlns:r="http://schemas.openxmlformats.org/officeDocument/2006/relationships" name="CO Summary by Division" sheetId="4" state="visible" r:id="rId4"/>
    <sheet xmlns:r="http://schemas.openxmlformats.org/officeDocument/2006/relationships" name="Dashboard" sheetId="5" state="visible" r:id="rId5"/>
    <sheet xmlns:r="http://schemas.openxmlformats.org/officeDocument/2006/relationships" name="CSI Reference" sheetId="6" state="hidden" r:id="rId6"/>
  </sheets>
  <definedNames>
    <definedName name="CSI_Divisions">'CSI Reference'!$A$4:$A$38</definedName>
    <definedName name="CSI_Table">'CSI Reference'!$A$4:$B$38</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yyyy-mm-dd"/>
    <numFmt numFmtId="166" formatCode="0.0%"/>
  </numFmts>
  <fonts count="13">
    <font>
      <name val="Calibri"/>
      <family val="2"/>
      <color theme="1"/>
      <sz val="11"/>
      <scheme val="minor"/>
    </font>
    <font>
      <name val="Calibri"/>
      <b val="1"/>
      <color rgb="001E3A5F"/>
      <sz val="22"/>
    </font>
    <font>
      <name val="Calibri"/>
      <i val="1"/>
      <color rgb="00808080"/>
      <sz val="11"/>
    </font>
    <font>
      <name val="Calibri"/>
      <b val="1"/>
      <color rgb="001E3A5F"/>
      <sz val="12"/>
    </font>
    <font>
      <name val="Calibri"/>
      <sz val="11"/>
    </font>
    <font>
      <name val="Calibri"/>
      <i val="1"/>
      <color rgb="00808080"/>
      <sz val="10"/>
    </font>
    <font>
      <name val="Calibri"/>
      <b val="1"/>
      <color rgb="00FFFFFF"/>
      <sz val="11"/>
    </font>
    <font>
      <name val="Calibri"/>
      <b val="1"/>
      <sz val="11"/>
    </font>
    <font>
      <name val="Calibri"/>
      <b val="1"/>
      <color rgb="00FFFFFF"/>
      <sz val="14"/>
    </font>
    <font>
      <name val="Calibri"/>
      <b val="1"/>
      <color rgb="001E3A5F"/>
      <sz val="18"/>
    </font>
    <font>
      <name val="Calibri"/>
      <b val="1"/>
      <color rgb="00006100"/>
      <sz val="12"/>
    </font>
    <font>
      <name val="Calibri"/>
      <b val="1"/>
      <color rgb="009C5700"/>
      <sz val="12"/>
    </font>
    <font>
      <name val="Calibri"/>
      <b val="1"/>
      <color rgb="009C0006"/>
      <sz val="12"/>
    </font>
  </fonts>
  <fills count="7">
    <fill>
      <patternFill/>
    </fill>
    <fill>
      <patternFill patternType="gray125"/>
    </fill>
    <fill>
      <patternFill patternType="solid">
        <fgColor rgb="00D6E0EC"/>
      </patternFill>
    </fill>
    <fill>
      <patternFill patternType="solid">
        <fgColor rgb="001E3A5F"/>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B0B7BF"/>
      </left>
      <right style="thin">
        <color rgb="00B0B7BF"/>
      </right>
      <top style="thin">
        <color rgb="00B0B7BF"/>
      </top>
      <bottom style="thin">
        <color rgb="00B0B7BF"/>
      </bottom>
    </border>
    <border>
      <left/>
      <right/>
      <top style="thin">
        <color rgb="00B0B7BF"/>
      </top>
      <bottom/>
      <diagonal/>
    </border>
    <border>
      <left/>
      <right style="thin">
        <color rgb="00B0B7BF"/>
      </right>
      <top style="thin">
        <color rgb="00B0B7BF"/>
      </top>
      <bottom/>
      <diagonal/>
    </border>
    <border>
      <left/>
      <right/>
      <top style="thin">
        <color rgb="00B0B7BF"/>
      </top>
      <bottom style="thin">
        <color rgb="00B0B7BF"/>
      </bottom>
      <diagonal/>
    </border>
    <border>
      <left/>
      <right style="thin">
        <color rgb="00B0B7BF"/>
      </right>
      <top style="thin">
        <color rgb="00B0B7BF"/>
      </top>
      <bottom style="thin">
        <color rgb="00B0B7BF"/>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wrapText="1"/>
    </xf>
    <xf numFmtId="164" fontId="2" fillId="0" borderId="1" applyAlignment="1" pivotButton="0" quotePrefix="0" xfId="0">
      <alignment vertical="center" wrapText="1"/>
    </xf>
    <xf numFmtId="0" fontId="0" fillId="0" borderId="1" pivotButton="0" quotePrefix="0" xfId="0"/>
    <xf numFmtId="164" fontId="0" fillId="0" borderId="1" pivotButton="0" quotePrefix="0" xfId="0"/>
    <xf numFmtId="0" fontId="0" fillId="0" borderId="1" applyAlignment="1" pivotButton="0" quotePrefix="0" xfId="0">
      <alignment vertical="center"/>
    </xf>
    <xf numFmtId="165" fontId="0" fillId="0" borderId="1" applyAlignment="1" pivotButton="0" quotePrefix="0" xfId="0">
      <alignment vertical="center"/>
    </xf>
    <xf numFmtId="0" fontId="0" fillId="0" borderId="1" applyAlignment="1" pivotButton="0" quotePrefix="0" xfId="0">
      <alignment vertical="center" wrapText="1"/>
    </xf>
    <xf numFmtId="49" fontId="0" fillId="0" borderId="1" applyAlignment="1" pivotButton="0" quotePrefix="0" xfId="0">
      <alignment vertical="center"/>
    </xf>
    <xf numFmtId="164" fontId="0" fillId="0" borderId="1" applyAlignment="1" pivotButton="0" quotePrefix="0" xfId="0">
      <alignment vertical="center"/>
    </xf>
    <xf numFmtId="1" fontId="0" fillId="0" borderId="1" applyAlignment="1" pivotButton="0" quotePrefix="0" xfId="0">
      <alignment vertical="center"/>
    </xf>
    <xf numFmtId="0" fontId="7" fillId="2" borderId="1" applyAlignment="1" pivotButton="0" quotePrefix="0" xfId="0">
      <alignment horizontal="right"/>
    </xf>
    <xf numFmtId="164" fontId="7" fillId="2" borderId="1" pivotButton="0" quotePrefix="0" xfId="0"/>
    <xf numFmtId="1" fontId="7" fillId="2" borderId="1" pivotButton="0" quotePrefix="0" xfId="0"/>
    <xf numFmtId="49" fontId="0" fillId="0" borderId="1" pivotButton="0" quotePrefix="0" xfId="0"/>
    <xf numFmtId="1" fontId="0" fillId="0" borderId="1" pivotButton="0" quotePrefix="0" xfId="0"/>
    <xf numFmtId="0" fontId="8" fillId="3" borderId="0" applyAlignment="1" pivotButton="0" quotePrefix="0" xfId="0">
      <alignment vertical="center" indent="1"/>
    </xf>
    <xf numFmtId="0" fontId="7" fillId="2" borderId="1" applyAlignment="1" pivotButton="0" quotePrefix="0" xfId="0">
      <alignment vertical="center" indent="1"/>
    </xf>
    <xf numFmtId="0" fontId="0" fillId="0" borderId="4" pivotButton="0" quotePrefix="0" xfId="0"/>
    <xf numFmtId="0" fontId="0" fillId="0" borderId="5" pivotButton="0" quotePrefix="0" xfId="0"/>
    <xf numFmtId="164" fontId="9" fillId="0" borderId="1" applyAlignment="1" pivotButton="0" quotePrefix="0" xfId="0">
      <alignment horizontal="right" vertical="center" indent="1"/>
    </xf>
    <xf numFmtId="166" fontId="9" fillId="0" borderId="1" applyAlignment="1" pivotButton="0" quotePrefix="0" xfId="0">
      <alignment horizontal="right" vertical="center" indent="1"/>
    </xf>
    <xf numFmtId="1" fontId="9" fillId="0" borderId="1" applyAlignment="1" pivotButton="0" quotePrefix="0" xfId="0">
      <alignment horizontal="right" vertical="center" indent="1"/>
    </xf>
    <xf numFmtId="0" fontId="10" fillId="4" borderId="1" applyAlignment="1" pivotButton="0" quotePrefix="0" xfId="0">
      <alignment vertical="center" indent="1"/>
    </xf>
    <xf numFmtId="1" fontId="7" fillId="0" borderId="1" applyAlignment="1" pivotButton="0" quotePrefix="0" xfId="0">
      <alignment horizontal="center" vertical="center"/>
    </xf>
    <xf numFmtId="164" fontId="7" fillId="0" borderId="1" applyAlignment="1" pivotButton="0" quotePrefix="0" xfId="0">
      <alignment horizontal="right" vertical="center" indent="1"/>
    </xf>
    <xf numFmtId="166" fontId="7" fillId="0" borderId="1" applyAlignment="1" pivotButton="0" quotePrefix="0" xfId="0">
      <alignment horizontal="right" vertical="center" indent="1"/>
    </xf>
    <xf numFmtId="0" fontId="11" fillId="5" borderId="1" applyAlignment="1" pivotButton="0" quotePrefix="0" xfId="0">
      <alignment vertical="center" indent="1"/>
    </xf>
    <xf numFmtId="0" fontId="12" fillId="6" borderId="1" applyAlignment="1" pivotButton="0" quotePrefix="0" xfId="0">
      <alignment vertical="center" indent="1"/>
    </xf>
    <xf numFmtId="0" fontId="3" fillId="2" borderId="1" applyAlignment="1" pivotButton="0" quotePrefix="0" xfId="0">
      <alignment vertical="center" indent="1"/>
    </xf>
    <xf numFmtId="1" fontId="7" fillId="2" borderId="1" applyAlignment="1" pivotButton="0" quotePrefix="0" xfId="0">
      <alignment horizontal="center" vertical="center"/>
    </xf>
    <xf numFmtId="164" fontId="7" fillId="2" borderId="1" applyAlignment="1" pivotButton="0" quotePrefix="0" xfId="0">
      <alignment horizontal="right" vertical="center" indent="1"/>
    </xf>
    <xf numFmtId="166" fontId="7" fillId="2" borderId="1" applyAlignment="1" pivotButton="0" quotePrefix="0" xfId="0">
      <alignment horizontal="right" vertical="center" indent="1"/>
    </xf>
    <xf numFmtId="49" fontId="4" fillId="0" borderId="1" pivotButton="0" quotePrefix="0" xfId="0"/>
    <xf numFmtId="0" fontId="4" fillId="0" borderId="1" pivotButton="0" quotePrefix="0" xfId="0"/>
  </cellXfs>
  <cellStyles count="1">
    <cellStyle name="Normal" xfId="0" builtinId="0" hidden="0"/>
  </cellStyles>
  <dxfs count="6">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FEB9C"/>
        </patternFill>
      </fill>
    </dxf>
    <dxf>
      <font>
        <b val="1"/>
        <color rgb="009C0006"/>
        <sz val="18"/>
      </font>
      <fill>
        <patternFill patternType="solid">
          <fgColor rgb="00FFC7CE"/>
        </patternFill>
      </fill>
    </dxf>
    <dxf>
      <font>
        <b val="1"/>
        <color rgb="009C5700"/>
        <sz val="18"/>
      </font>
      <fill>
        <patternFill patternType="solid">
          <fgColor rgb="00FFEB9C"/>
        </patternFill>
      </fill>
    </dxf>
    <dxf>
      <font>
        <b val="1"/>
        <color rgb="00006100"/>
        <sz val="18"/>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9"/>
  <sheetViews>
    <sheetView showGridLines="0" workbookViewId="0">
      <selection activeCell="A1" sqref="A1"/>
    </sheetView>
  </sheetViews>
  <sheetFormatPr baseColWidth="8" defaultRowHeight="15"/>
  <cols>
    <col width="4" customWidth="1" min="1" max="1"/>
    <col width="110" customWidth="1" min="2" max="2"/>
  </cols>
  <sheetData>
    <row r="2" ht="32" customHeight="1">
      <c r="B2" s="1" t="inlineStr">
        <is>
          <t>ContrPro - Change Order Log</t>
        </is>
      </c>
    </row>
    <row r="3">
      <c r="B3" s="2" t="inlineStr">
        <is>
          <t>CSI MasterFormat-coded log of every change to a construction contract - the receipt drawer for the job.</t>
        </is>
      </c>
    </row>
    <row r="5" ht="22" customHeight="1">
      <c r="B5" s="3" t="inlineStr">
        <is>
          <t>What this workbook is</t>
        </is>
      </c>
    </row>
    <row r="6" ht="48" customHeight="1">
      <c r="B6" s="4" t="inlineStr">
        <is>
          <t>Six tabs work together: Project Info pins the contract, Change Order Log is where every CO lives, CO Summary by Division rolls them up by trade, and Dashboard shows contract impact at a glance. CSI Reference is a hidden-ish lookup list - leave it alone.</t>
        </is>
      </c>
    </row>
    <row r="7" ht="32" customHeight="1">
      <c r="B7" s="4" t="inlineStr">
        <is>
          <t>Every row in Change Order Log is one paper trail: written description, dollar amount, schedule impact, and approval status. If it is not in this log, it did not happen.</t>
        </is>
      </c>
    </row>
    <row r="9" ht="22" customHeight="1">
      <c r="B9" s="3" t="inlineStr">
        <is>
          <t>Change Order vs Scope Creep vs RFI - know the difference</t>
        </is>
      </c>
    </row>
    <row r="10" ht="32" customHeight="1">
      <c r="B10" s="4" t="inlineStr">
        <is>
          <t>Change Order (CO) - A WRITTEN amendment to the contract that adjusts price, schedule, or scope. It is bilateral (owner and GC both sign) and binding. This log only tracks COs.</t>
        </is>
      </c>
    </row>
    <row r="11" ht="48" customHeight="1">
      <c r="B11" s="4" t="inlineStr">
        <is>
          <t>Scope Creep - Owner or architect asks for 'just one more thing' verbally and you do it. DO NOT track scope creep here, track it as a CO the moment you sense it. Verbal is not a CO; verbal is unpaid work waiting to happen.</t>
        </is>
      </c>
    </row>
    <row r="12" ht="32" customHeight="1">
      <c r="B12" s="4" t="inlineStr">
        <is>
          <t>RFI (Request for Information) - A question to the design team. Not a CO. But the answer often TRIGGERS a CO when the response changes scope or quantities. Log the resulting CO here and reference the RFI number in Notes.</t>
        </is>
      </c>
    </row>
    <row r="14" ht="22" customHeight="1">
      <c r="B14" s="3" t="inlineStr">
        <is>
          <t>When to issue a formal CO vs a T&amp;M ticket</t>
        </is>
      </c>
    </row>
    <row r="15" ht="32" customHeight="1">
      <c r="B15" s="4" t="inlineStr">
        <is>
          <t>Formal CO (Lump Sum / Unit Price / Allowance / Deductive) - Use when scope is defined enough to price up-front. Get it signed BEFORE the work starts. This is the cleanest path and protects your margin.</t>
        </is>
      </c>
    </row>
    <row r="16" ht="48" customHeight="1">
      <c r="B16" s="4" t="inlineStr">
        <is>
          <t>T&amp;M (Time and Material) ticket - Use when scope is unclear or urgent (emergency repair, hidden condition). Track labor hours and material receipts daily, get signed T&amp;M tickets each day, and roll them into a CO weekly. Type = T&amp;M on the row.</t>
        </is>
      </c>
    </row>
    <row r="17" ht="18" customHeight="1">
      <c r="B17" s="4" t="inlineStr">
        <is>
          <t>Rule of thumb: if you cannot say what the work is in one sentence, it is T&amp;M until you can.</t>
        </is>
      </c>
    </row>
    <row r="19" ht="22" customHeight="1">
      <c r="B19" s="3" t="inlineStr">
        <is>
          <t>The CO Log and retainage discussions</t>
        </is>
      </c>
    </row>
    <row r="20" ht="32" customHeight="1">
      <c r="B20" s="4" t="inlineStr">
        <is>
          <t>Retainage (typically 5-10% withheld from pay apps) gets released at substantial completion. Owners will scrutinize every CO before cutting that final retainage check.</t>
        </is>
      </c>
    </row>
    <row r="21" ht="32" customHeight="1">
      <c r="B21" s="4" t="inlineStr">
        <is>
          <t>A clean CO Log - with descriptions, reasons, signed approvals, and CSI coding - is what gets retainage released on time. A messy log is what funds 90-day retainage disputes.</t>
        </is>
      </c>
    </row>
    <row r="22" ht="32" customHeight="1">
      <c r="B22" s="4" t="inlineStr">
        <is>
          <t>Before requesting retainage release, sort this tab by Status, confirm every Approved row has an approver name and date, and resolve every Pending/Disputed row.</t>
        </is>
      </c>
    </row>
    <row r="24" ht="22" customHeight="1">
      <c r="B24" s="3" t="inlineStr">
        <is>
          <t>Statute of Limitations awareness</t>
        </is>
      </c>
    </row>
    <row r="25" ht="48" customHeight="1">
      <c r="B25" s="4" t="inlineStr">
        <is>
          <t>Most U.S. states impose a 4-year statute of limitations on construction defect claims for breach of contract (some go to 6 or 10 - check your state). Some states also have a statute of repose (often 10-12 years) that caps liability regardless of when a defect is discovered.</t>
        </is>
      </c>
    </row>
    <row r="26" ht="32" customHeight="1">
      <c r="B26" s="4" t="inlineStr">
        <is>
          <t>What this means for the log: keep this file for AT LEAST the full statute of repose window after substantial completion. Cloud backup it. PDF the final version with all approvals and store it with the contract.</t>
        </is>
      </c>
    </row>
    <row r="27" ht="32" customHeight="1">
      <c r="B27" s="4" t="inlineStr">
        <is>
          <t>This workbook is a record-keeping tool, not legal advice. Run anything that smells like a dispute past your construction attorney.</t>
        </is>
      </c>
    </row>
    <row r="29" ht="22" customHeight="1">
      <c r="B29" s="3" t="inlineStr">
        <is>
          <t>Tab-by-tab quick start</t>
        </is>
      </c>
    </row>
    <row r="30" ht="32" customHeight="1">
      <c r="B30" s="4" t="inlineStr">
        <is>
          <t>1. Project Info - fill in Project Name, Number, Client, Original Contract Amount, PM, and Architect/Engineer on row 4. The Dashboard reads Original Contract Amount from D4.</t>
        </is>
      </c>
    </row>
    <row r="31" ht="48" customHeight="1">
      <c r="B31" s="4" t="inlineStr">
        <is>
          <t>2. Change Order Log - one row per CO. Fill in CO Number, dates, project, CSI Division (dropdown), CSI Code (6-digit text, e.g. 23 30 00), Division Name (auto-filled from VLOOKUP), description, reason, type, amount, schedule impact, status, approver.</t>
        </is>
      </c>
    </row>
    <row r="32" ht="18" customHeight="1">
      <c r="B32" s="4" t="inlineStr">
        <is>
          <t>3. CO Summary by Division - DO NOT edit. It rolls up your CO Log automatically.</t>
        </is>
      </c>
    </row>
    <row r="33" ht="18" customHeight="1">
      <c r="B33" s="4" t="inlineStr">
        <is>
          <t>4. Dashboard - DO NOT edit. Read-only summary of contract impact and CO counts by status.</t>
        </is>
      </c>
    </row>
    <row r="35" ht="22" customHeight="1">
      <c r="B35" s="3" t="inlineStr">
        <is>
          <t>CSI coding rules (must follow)</t>
        </is>
      </c>
    </row>
    <row r="36" ht="32" customHeight="1">
      <c r="B36" s="4" t="inlineStr">
        <is>
          <t>CSI Division: 2-digit text (01-49). Pick from the dropdown - this preserves leading zeros and matches the canonical list.</t>
        </is>
      </c>
    </row>
    <row r="37" ht="32" customHeight="1">
      <c r="B37" s="4" t="inlineStr">
        <is>
          <t>CSI Code: 6-digit space-separated, e.g. 23 30 00 for HVAC Air Distribution. You can extend to Level 3 (e.g. 23 31 13) for finer detail.</t>
        </is>
      </c>
    </row>
    <row r="38" ht="32" customHeight="1">
      <c r="B38" s="4" t="inlineStr">
        <is>
          <t>Division Name auto-fills from a VLOOKUP against CSI Reference. If it shows #N/A, your CSI Division value does not match the reference list - re-pick from the dropdown.</t>
        </is>
      </c>
    </row>
    <row r="40" ht="22" customHeight="1">
      <c r="B40" s="3" t="inlineStr">
        <is>
          <t>Color coding cheat sheet</t>
        </is>
      </c>
    </row>
    <row r="41" ht="18" customHeight="1">
      <c r="B41" s="4" t="inlineStr">
        <is>
          <t>Amount column: green = positive (you're getting paid more), red = negative (deductive CO).</t>
        </is>
      </c>
    </row>
    <row r="42" ht="18" customHeight="1">
      <c r="B42" s="4" t="inlineStr">
        <is>
          <t>Status column: green = Approved, yellow = Pending or Submitted, red = Rejected or Disputed.</t>
        </is>
      </c>
    </row>
    <row r="43" ht="32" customHeight="1">
      <c r="B43" s="4" t="inlineStr">
        <is>
          <t>Dashboard CO % of Contract: highlighted red when total approved COs exceed 15% of original contract - that's the threshold where most owners start asking hard questions and lenders may trigger a review.</t>
        </is>
      </c>
    </row>
    <row r="45" ht="22" customHeight="1">
      <c r="B45" s="3" t="inlineStr">
        <is>
          <t>Weekly cadence</t>
        </is>
      </c>
    </row>
    <row r="46" ht="18" customHeight="1">
      <c r="B46" s="4" t="inlineStr">
        <is>
          <t>Monday: review Pending and Submitted rows. Anything older than 14 days gets a follow-up email today.</t>
        </is>
      </c>
    </row>
    <row r="47" ht="18" customHeight="1">
      <c r="B47" s="4" t="inlineStr">
        <is>
          <t>Friday: log every CO issued this week. No CO leaves the trailer unrecorded.</t>
        </is>
      </c>
    </row>
    <row r="48" ht="32" customHeight="1">
      <c r="B48" s="4" t="inlineStr">
        <is>
          <t>End of month: reconcile CO totals against pay app G-703 line items. They must match - this is what your owner's accountant will check.</t>
        </is>
      </c>
    </row>
    <row r="50" ht="22" customHeight="1">
      <c r="B50" s="3" t="inlineStr">
        <is>
          <t>Tabs in this workbook</t>
        </is>
      </c>
    </row>
    <row r="51" ht="18" customHeight="1">
      <c r="B51" s="4" t="inlineStr">
        <is>
          <t>Instructions  -  this tab</t>
        </is>
      </c>
    </row>
    <row r="52" ht="18" customHeight="1">
      <c r="B52" s="4" t="inlineStr">
        <is>
          <t>Project Info  -  contract anchor (Dashboard reads Original Contract Amount from here)</t>
        </is>
      </c>
    </row>
    <row r="53" ht="18" customHeight="1">
      <c r="B53" s="4" t="inlineStr">
        <is>
          <t>Change Order Log  -  CSI-coded line items, the main worksheet</t>
        </is>
      </c>
    </row>
    <row r="54" ht="18" customHeight="1">
      <c r="B54" s="4" t="inlineStr">
        <is>
          <t>CO Summary by Division  -  SUMIFS roll-up by division and status</t>
        </is>
      </c>
    </row>
    <row r="55" ht="18" customHeight="1">
      <c r="B55" s="4" t="inlineStr">
        <is>
          <t>Dashboard  -  contract impact, CO counts, schedule impact</t>
        </is>
      </c>
    </row>
    <row r="56" ht="18" customHeight="1">
      <c r="B56" s="4" t="inlineStr">
        <is>
          <t>CSI Reference  -  canonical division list (do not edit)</t>
        </is>
      </c>
    </row>
    <row r="59">
      <c r="B59" s="5" t="inlineStr">
        <is>
          <t>ContrPro - built for builders. Questions: support@contrpro.com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28" customWidth="1" min="3" max="3"/>
    <col width="22" customWidth="1" min="4" max="4"/>
    <col width="22" customWidth="1" min="5" max="5"/>
    <col width="30" customWidth="1" min="6" max="6"/>
    <col width="45" customWidth="1" min="7" max="7"/>
  </cols>
  <sheetData>
    <row r="1" ht="30" customHeight="1">
      <c r="A1" s="1" t="inlineStr">
        <is>
          <t>Project Information</t>
        </is>
      </c>
    </row>
    <row r="3" ht="28" customHeight="1">
      <c r="A3" s="6" t="inlineStr">
        <is>
          <t>Project Name</t>
        </is>
      </c>
      <c r="B3" s="6" t="inlineStr">
        <is>
          <t>Project Number</t>
        </is>
      </c>
      <c r="C3" s="6" t="inlineStr">
        <is>
          <t>Client</t>
        </is>
      </c>
      <c r="D3" s="6" t="inlineStr">
        <is>
          <t>Original Contract Amount</t>
        </is>
      </c>
      <c r="E3" s="6" t="inlineStr">
        <is>
          <t>Project Manager</t>
        </is>
      </c>
      <c r="F3" s="6" t="inlineStr">
        <is>
          <t>Architect / Engineer</t>
        </is>
      </c>
      <c r="G3" s="6" t="inlineStr">
        <is>
          <t>Notes</t>
        </is>
      </c>
    </row>
    <row r="4">
      <c r="A4" s="7" t="inlineStr">
        <is>
          <t>EXAMPLE - Riverside Office Bldg</t>
        </is>
      </c>
      <c r="B4" s="7" t="inlineStr">
        <is>
          <t>2026-014</t>
        </is>
      </c>
      <c r="C4" s="7" t="inlineStr">
        <is>
          <t>Riverside Holdings LLC</t>
        </is>
      </c>
      <c r="D4" s="8" t="n">
        <v>1850000</v>
      </c>
      <c r="E4" s="7" t="inlineStr">
        <is>
          <t>Sample PM</t>
        </is>
      </c>
      <c r="F4" s="7" t="inlineStr">
        <is>
          <t>Apex Architects + WSP Structural</t>
        </is>
      </c>
      <c r="G4" s="7" t="inlineStr">
        <is>
          <t>Example row - replace with your project.</t>
        </is>
      </c>
    </row>
    <row r="5" ht="22" customHeight="1">
      <c r="A5" s="9" t="n"/>
      <c r="B5" s="9" t="n"/>
      <c r="C5" s="9" t="n"/>
      <c r="D5" s="10" t="n"/>
      <c r="E5" s="9" t="n"/>
      <c r="F5" s="9" t="n"/>
      <c r="G5" s="9" t="n"/>
    </row>
    <row r="6" ht="22" customHeight="1">
      <c r="A6" s="9" t="n"/>
      <c r="B6" s="9" t="n"/>
      <c r="C6" s="9" t="n"/>
      <c r="D6" s="10" t="n"/>
      <c r="E6" s="9" t="n"/>
      <c r="F6" s="9" t="n"/>
      <c r="G6" s="9" t="n"/>
    </row>
    <row r="7" ht="22" customHeight="1">
      <c r="A7" s="9" t="n"/>
      <c r="B7" s="9" t="n"/>
      <c r="C7" s="9" t="n"/>
      <c r="D7" s="10" t="n"/>
      <c r="E7" s="9" t="n"/>
      <c r="F7" s="9" t="n"/>
      <c r="G7" s="9" t="n"/>
    </row>
    <row r="8" ht="22" customHeight="1">
      <c r="A8" s="9" t="n"/>
      <c r="B8" s="9" t="n"/>
      <c r="C8" s="9" t="n"/>
      <c r="D8" s="10" t="n"/>
      <c r="E8" s="9" t="n"/>
      <c r="F8" s="9" t="n"/>
      <c r="G8" s="9" t="n"/>
    </row>
    <row r="9" ht="22" customHeight="1">
      <c r="A9" s="9" t="n"/>
      <c r="B9" s="9" t="n"/>
      <c r="C9" s="9" t="n"/>
      <c r="D9" s="10" t="n"/>
      <c r="E9" s="9" t="n"/>
      <c r="F9" s="9" t="n"/>
      <c r="G9" s="9" t="n"/>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24" customWidth="1" min="4" max="4"/>
    <col width="12" customWidth="1" min="5" max="5"/>
    <col width="12" customWidth="1" min="6" max="6"/>
    <col width="28" customWidth="1" min="7" max="7"/>
    <col width="38" customWidth="1" min="8" max="8"/>
    <col width="18" customWidth="1" min="9" max="9"/>
    <col width="14" customWidth="1" min="10" max="10"/>
    <col width="14" customWidth="1" min="11" max="11"/>
    <col width="14" customWidth="1" min="12" max="12"/>
    <col width="14" customWidth="1" min="13" max="13"/>
    <col width="22" customWidth="1" min="14" max="14"/>
    <col width="32" customWidth="1" min="15" max="15"/>
  </cols>
  <sheetData>
    <row r="1" ht="28" customHeight="1">
      <c r="A1" s="1" t="inlineStr">
        <is>
          <t>Change Order Log (CSI MasterFormat)</t>
        </is>
      </c>
    </row>
    <row r="3" ht="28" customHeight="1">
      <c r="A3" s="6" t="inlineStr">
        <is>
          <t>CO Number</t>
        </is>
      </c>
      <c r="B3" s="6" t="inlineStr">
        <is>
          <t>Date Issued</t>
        </is>
      </c>
      <c r="C3" s="6" t="inlineStr">
        <is>
          <t>Date Approved</t>
        </is>
      </c>
      <c r="D3" s="6" t="inlineStr">
        <is>
          <t>Project / Job</t>
        </is>
      </c>
      <c r="E3" s="6" t="inlineStr">
        <is>
          <t>CSI Division</t>
        </is>
      </c>
      <c r="F3" s="6" t="inlineStr">
        <is>
          <t>CSI Code</t>
        </is>
      </c>
      <c r="G3" s="6" t="inlineStr">
        <is>
          <t>Division Name</t>
        </is>
      </c>
      <c r="H3" s="6" t="inlineStr">
        <is>
          <t>Description of Change</t>
        </is>
      </c>
      <c r="I3" s="6" t="inlineStr">
        <is>
          <t>Reason</t>
        </is>
      </c>
      <c r="J3" s="6" t="inlineStr">
        <is>
          <t>Type</t>
        </is>
      </c>
      <c r="K3" s="6" t="inlineStr">
        <is>
          <t>Amount</t>
        </is>
      </c>
      <c r="L3" s="6" t="inlineStr">
        <is>
          <t>Schedule Impact (days)</t>
        </is>
      </c>
      <c r="M3" s="6" t="inlineStr">
        <is>
          <t>Status</t>
        </is>
      </c>
      <c r="N3" s="6" t="inlineStr">
        <is>
          <t>Approved By</t>
        </is>
      </c>
      <c r="O3" s="6" t="inlineStr">
        <is>
          <t>Notes</t>
        </is>
      </c>
    </row>
    <row r="4" ht="30" customHeight="1">
      <c r="A4" s="11" t="inlineStr">
        <is>
          <t>CO-001</t>
        </is>
      </c>
      <c r="B4" s="12" t="inlineStr">
        <is>
          <t>2026-03-12</t>
        </is>
      </c>
      <c r="C4" s="12" t="inlineStr">
        <is>
          <t>2026-03-18</t>
        </is>
      </c>
      <c r="D4" s="13" t="inlineStr">
        <is>
          <t>Riverside Office Bldg</t>
        </is>
      </c>
      <c r="E4" s="14" t="inlineStr">
        <is>
          <t>03</t>
        </is>
      </c>
      <c r="F4" s="14" t="inlineStr">
        <is>
          <t>03 30 00</t>
        </is>
      </c>
      <c r="G4" s="13">
        <f>IFERROR(VLOOKUP(E4,CSI_Table,2,FALSE),"")</f>
        <v/>
      </c>
      <c r="H4" s="13" t="inlineStr">
        <is>
          <t>Add 12 CY structural concrete at column footings F-4 to F-7 per RFI-024.</t>
        </is>
      </c>
      <c r="I4" s="11" t="inlineStr">
        <is>
          <t>Field Condition</t>
        </is>
      </c>
      <c r="J4" s="11" t="inlineStr">
        <is>
          <t>Lump Sum</t>
        </is>
      </c>
      <c r="K4" s="15" t="n">
        <v>8450</v>
      </c>
      <c r="L4" s="16" t="n">
        <v>2</v>
      </c>
      <c r="M4" s="11" t="inlineStr">
        <is>
          <t>Approved</t>
        </is>
      </c>
      <c r="N4" s="11" t="inlineStr">
        <is>
          <t>K. Holmes (Owner Rep)</t>
        </is>
      </c>
      <c r="O4" s="13" t="inlineStr">
        <is>
          <t>Soft soil discovered at depth; required oversized footings.</t>
        </is>
      </c>
    </row>
    <row r="5" ht="30" customHeight="1">
      <c r="A5" s="11" t="inlineStr">
        <is>
          <t>CO-002</t>
        </is>
      </c>
      <c r="B5" s="12" t="inlineStr">
        <is>
          <t>2026-03-20</t>
        </is>
      </c>
      <c r="C5" s="12" t="inlineStr">
        <is>
          <t>2026-03-25</t>
        </is>
      </c>
      <c r="D5" s="13" t="inlineStr">
        <is>
          <t>Riverside Office Bldg</t>
        </is>
      </c>
      <c r="E5" s="14" t="inlineStr">
        <is>
          <t>23</t>
        </is>
      </c>
      <c r="F5" s="14" t="inlineStr">
        <is>
          <t>23 30 00</t>
        </is>
      </c>
      <c r="G5" s="13">
        <f>IFERROR(VLOOKUP(E5,CSI_Table,2,FALSE),"")</f>
        <v/>
      </c>
      <c r="H5" s="13" t="inlineStr">
        <is>
          <t>Upgrade VAV boxes Level 2 from std to digital controls.</t>
        </is>
      </c>
      <c r="I5" s="11" t="inlineStr">
        <is>
          <t>Owner Request</t>
        </is>
      </c>
      <c r="J5" s="11" t="inlineStr">
        <is>
          <t>Lump Sum</t>
        </is>
      </c>
      <c r="K5" s="15" t="n">
        <v>14275</v>
      </c>
      <c r="L5" s="16" t="n">
        <v>0</v>
      </c>
      <c r="M5" s="11" t="inlineStr">
        <is>
          <t>Approved</t>
        </is>
      </c>
      <c r="N5" s="11" t="inlineStr">
        <is>
          <t>K. Holmes (Owner Rep)</t>
        </is>
      </c>
      <c r="O5" s="13" t="inlineStr">
        <is>
          <t>Owner spec upgrade after value-engineering pass.</t>
        </is>
      </c>
    </row>
    <row r="6" ht="30" customHeight="1">
      <c r="A6" s="11" t="inlineStr">
        <is>
          <t>CO-003</t>
        </is>
      </c>
      <c r="B6" s="12" t="inlineStr">
        <is>
          <t>2026-04-02</t>
        </is>
      </c>
      <c r="C6" s="12" t="n"/>
      <c r="D6" s="13" t="inlineStr">
        <is>
          <t>Riverside Office Bldg</t>
        </is>
      </c>
      <c r="E6" s="14" t="inlineStr">
        <is>
          <t>09</t>
        </is>
      </c>
      <c r="F6" s="14" t="inlineStr">
        <is>
          <t>09 60 00</t>
        </is>
      </c>
      <c r="G6" s="13">
        <f>IFERROR(VLOOKUP(E6,CSI_Table,2,FALSE),"")</f>
        <v/>
      </c>
      <c r="H6" s="13" t="inlineStr">
        <is>
          <t>Substitute LVT flooring for spec'd carpet tile in open office.</t>
        </is>
      </c>
      <c r="I6" s="11" t="inlineStr">
        <is>
          <t>Owner Request</t>
        </is>
      </c>
      <c r="J6" s="11" t="inlineStr">
        <is>
          <t>Deductive</t>
        </is>
      </c>
      <c r="K6" s="15" t="n">
        <v>-6320</v>
      </c>
      <c r="L6" s="16" t="n">
        <v>0</v>
      </c>
      <c r="M6" s="11" t="inlineStr">
        <is>
          <t>Pending</t>
        </is>
      </c>
      <c r="N6" s="11" t="n"/>
      <c r="O6" s="13" t="inlineStr">
        <is>
          <t>Awaiting owner sign-off on LVT sample.</t>
        </is>
      </c>
    </row>
    <row r="7" ht="30" customHeight="1">
      <c r="A7" s="11" t="inlineStr">
        <is>
          <t>CO-004</t>
        </is>
      </c>
      <c r="B7" s="12" t="inlineStr">
        <is>
          <t>2026-04-10</t>
        </is>
      </c>
      <c r="C7" s="12" t="inlineStr">
        <is>
          <t>2026-04-15</t>
        </is>
      </c>
      <c r="D7" s="13" t="inlineStr">
        <is>
          <t>Riverside Office Bldg</t>
        </is>
      </c>
      <c r="E7" s="14" t="inlineStr">
        <is>
          <t>26</t>
        </is>
      </c>
      <c r="F7" s="14" t="inlineStr">
        <is>
          <t>26 50 00</t>
        </is>
      </c>
      <c r="G7" s="13">
        <f>IFERROR(VLOOKUP(E7,CSI_Table,2,FALSE),"")</f>
        <v/>
      </c>
      <c r="H7" s="13" t="inlineStr">
        <is>
          <t>Add emergency lighting at stair towers per code review.</t>
        </is>
      </c>
      <c r="I7" s="11" t="inlineStr">
        <is>
          <t>Code Change</t>
        </is>
      </c>
      <c r="J7" s="11" t="inlineStr">
        <is>
          <t>T&amp;M</t>
        </is>
      </c>
      <c r="K7" s="15" t="n">
        <v>3940</v>
      </c>
      <c r="L7" s="16" t="n">
        <v>1</v>
      </c>
      <c r="M7" s="11" t="inlineStr">
        <is>
          <t>Approved</t>
        </is>
      </c>
      <c r="N7" s="11" t="inlineStr">
        <is>
          <t>K. Holmes (Owner Rep)</t>
        </is>
      </c>
      <c r="O7" s="13" t="inlineStr">
        <is>
          <t>Updated IBC interpretation from building dept.</t>
        </is>
      </c>
    </row>
    <row r="8" ht="30" customHeight="1">
      <c r="A8" s="11" t="inlineStr">
        <is>
          <t>CO-005</t>
        </is>
      </c>
      <c r="B8" s="12" t="inlineStr">
        <is>
          <t>2026-04-22</t>
        </is>
      </c>
      <c r="C8" s="12" t="n"/>
      <c r="D8" s="13" t="inlineStr">
        <is>
          <t>Riverside Office Bldg</t>
        </is>
      </c>
      <c r="E8" s="14" t="inlineStr">
        <is>
          <t>07</t>
        </is>
      </c>
      <c r="F8" s="14" t="inlineStr">
        <is>
          <t>07 50 00</t>
        </is>
      </c>
      <c r="G8" s="13">
        <f>IFERROR(VLOOKUP(E8,CSI_Table,2,FALSE),"")</f>
        <v/>
      </c>
      <c r="H8" s="13" t="inlineStr">
        <is>
          <t>Replace damaged membrane after wind event (40 sq).</t>
        </is>
      </c>
      <c r="I8" s="11" t="inlineStr">
        <is>
          <t>Force Majeure</t>
        </is>
      </c>
      <c r="J8" s="11" t="inlineStr">
        <is>
          <t>Unit Price</t>
        </is>
      </c>
      <c r="K8" s="15" t="n">
        <v>11200</v>
      </c>
      <c r="L8" s="16" t="n">
        <v>5</v>
      </c>
      <c r="M8" s="11" t="inlineStr">
        <is>
          <t>Submitted</t>
        </is>
      </c>
      <c r="N8" s="11" t="n"/>
      <c r="O8" s="13" t="inlineStr">
        <is>
          <t>Wind event 2026-04-19; insurance claim filed in parallel.</t>
        </is>
      </c>
    </row>
    <row r="9" ht="30" customHeight="1">
      <c r="A9" s="11" t="n"/>
      <c r="B9" s="12" t="n"/>
      <c r="C9" s="12" t="n"/>
      <c r="D9" s="13" t="n"/>
      <c r="E9" s="14" t="n"/>
      <c r="F9" s="14" t="n"/>
      <c r="G9" s="13">
        <f>IFERROR(VLOOKUP(E9,CSI_Table,2,FALSE),"")</f>
        <v/>
      </c>
      <c r="H9" s="13" t="n"/>
      <c r="I9" s="11" t="n"/>
      <c r="J9" s="11" t="n"/>
      <c r="K9" s="15" t="n"/>
      <c r="L9" s="16" t="n"/>
      <c r="M9" s="11" t="n"/>
      <c r="N9" s="11" t="n"/>
      <c r="O9" s="13" t="n"/>
    </row>
    <row r="10" ht="30" customHeight="1">
      <c r="A10" s="11" t="n"/>
      <c r="B10" s="12" t="n"/>
      <c r="C10" s="12" t="n"/>
      <c r="D10" s="13" t="n"/>
      <c r="E10" s="14" t="n"/>
      <c r="F10" s="14" t="n"/>
      <c r="G10" s="13">
        <f>IFERROR(VLOOKUP(E10,CSI_Table,2,FALSE),"")</f>
        <v/>
      </c>
      <c r="H10" s="13" t="n"/>
      <c r="I10" s="11" t="n"/>
      <c r="J10" s="11" t="n"/>
      <c r="K10" s="15" t="n"/>
      <c r="L10" s="16" t="n"/>
      <c r="M10" s="11" t="n"/>
      <c r="N10" s="11" t="n"/>
      <c r="O10" s="13" t="n"/>
    </row>
    <row r="11" ht="30" customHeight="1">
      <c r="A11" s="11" t="n"/>
      <c r="B11" s="12" t="n"/>
      <c r="C11" s="12" t="n"/>
      <c r="D11" s="13" t="n"/>
      <c r="E11" s="14" t="n"/>
      <c r="F11" s="14" t="n"/>
      <c r="G11" s="13">
        <f>IFERROR(VLOOKUP(E11,CSI_Table,2,FALSE),"")</f>
        <v/>
      </c>
      <c r="H11" s="13" t="n"/>
      <c r="I11" s="11" t="n"/>
      <c r="J11" s="11" t="n"/>
      <c r="K11" s="15" t="n"/>
      <c r="L11" s="16" t="n"/>
      <c r="M11" s="11" t="n"/>
      <c r="N11" s="11" t="n"/>
      <c r="O11" s="13" t="n"/>
    </row>
    <row r="12" ht="30" customHeight="1">
      <c r="A12" s="11" t="n"/>
      <c r="B12" s="12" t="n"/>
      <c r="C12" s="12" t="n"/>
      <c r="D12" s="13" t="n"/>
      <c r="E12" s="14" t="n"/>
      <c r="F12" s="14" t="n"/>
      <c r="G12" s="13">
        <f>IFERROR(VLOOKUP(E12,CSI_Table,2,FALSE),"")</f>
        <v/>
      </c>
      <c r="H12" s="13" t="n"/>
      <c r="I12" s="11" t="n"/>
      <c r="J12" s="11" t="n"/>
      <c r="K12" s="15" t="n"/>
      <c r="L12" s="16" t="n"/>
      <c r="M12" s="11" t="n"/>
      <c r="N12" s="11" t="n"/>
      <c r="O12" s="13" t="n"/>
    </row>
    <row r="13" ht="30" customHeight="1">
      <c r="A13" s="11" t="n"/>
      <c r="B13" s="12" t="n"/>
      <c r="C13" s="12" t="n"/>
      <c r="D13" s="13" t="n"/>
      <c r="E13" s="14" t="n"/>
      <c r="F13" s="14" t="n"/>
      <c r="G13" s="13">
        <f>IFERROR(VLOOKUP(E13,CSI_Table,2,FALSE),"")</f>
        <v/>
      </c>
      <c r="H13" s="13" t="n"/>
      <c r="I13" s="11" t="n"/>
      <c r="J13" s="11" t="n"/>
      <c r="K13" s="15" t="n"/>
      <c r="L13" s="16" t="n"/>
      <c r="M13" s="11" t="n"/>
      <c r="N13" s="11" t="n"/>
      <c r="O13" s="13" t="n"/>
    </row>
    <row r="14" ht="30" customHeight="1">
      <c r="A14" s="11" t="n"/>
      <c r="B14" s="12" t="n"/>
      <c r="C14" s="12" t="n"/>
      <c r="D14" s="13" t="n"/>
      <c r="E14" s="14" t="n"/>
      <c r="F14" s="14" t="n"/>
      <c r="G14" s="13">
        <f>IFERROR(VLOOKUP(E14,CSI_Table,2,FALSE),"")</f>
        <v/>
      </c>
      <c r="H14" s="13" t="n"/>
      <c r="I14" s="11" t="n"/>
      <c r="J14" s="11" t="n"/>
      <c r="K14" s="15" t="n"/>
      <c r="L14" s="16" t="n"/>
      <c r="M14" s="11" t="n"/>
      <c r="N14" s="11" t="n"/>
      <c r="O14" s="13" t="n"/>
    </row>
    <row r="15" ht="30" customHeight="1">
      <c r="A15" s="11" t="n"/>
      <c r="B15" s="12" t="n"/>
      <c r="C15" s="12" t="n"/>
      <c r="D15" s="13" t="n"/>
      <c r="E15" s="14" t="n"/>
      <c r="F15" s="14" t="n"/>
      <c r="G15" s="13">
        <f>IFERROR(VLOOKUP(E15,CSI_Table,2,FALSE),"")</f>
        <v/>
      </c>
      <c r="H15" s="13" t="n"/>
      <c r="I15" s="11" t="n"/>
      <c r="J15" s="11" t="n"/>
      <c r="K15" s="15" t="n"/>
      <c r="L15" s="16" t="n"/>
      <c r="M15" s="11" t="n"/>
      <c r="N15" s="11" t="n"/>
      <c r="O15" s="13" t="n"/>
    </row>
    <row r="16" ht="30" customHeight="1">
      <c r="A16" s="11" t="n"/>
      <c r="B16" s="12" t="n"/>
      <c r="C16" s="12" t="n"/>
      <c r="D16" s="13" t="n"/>
      <c r="E16" s="14" t="n"/>
      <c r="F16" s="14" t="n"/>
      <c r="G16" s="13">
        <f>IFERROR(VLOOKUP(E16,CSI_Table,2,FALSE),"")</f>
        <v/>
      </c>
      <c r="H16" s="13" t="n"/>
      <c r="I16" s="11" t="n"/>
      <c r="J16" s="11" t="n"/>
      <c r="K16" s="15" t="n"/>
      <c r="L16" s="16" t="n"/>
      <c r="M16" s="11" t="n"/>
      <c r="N16" s="11" t="n"/>
      <c r="O16" s="13" t="n"/>
    </row>
    <row r="17" ht="30" customHeight="1">
      <c r="A17" s="11" t="n"/>
      <c r="B17" s="12" t="n"/>
      <c r="C17" s="12" t="n"/>
      <c r="D17" s="13" t="n"/>
      <c r="E17" s="14" t="n"/>
      <c r="F17" s="14" t="n"/>
      <c r="G17" s="13">
        <f>IFERROR(VLOOKUP(E17,CSI_Table,2,FALSE),"")</f>
        <v/>
      </c>
      <c r="H17" s="13" t="n"/>
      <c r="I17" s="11" t="n"/>
      <c r="J17" s="11" t="n"/>
      <c r="K17" s="15" t="n"/>
      <c r="L17" s="16" t="n"/>
      <c r="M17" s="11" t="n"/>
      <c r="N17" s="11" t="n"/>
      <c r="O17" s="13" t="n"/>
    </row>
    <row r="18" ht="30" customHeight="1">
      <c r="A18" s="11" t="n"/>
      <c r="B18" s="12" t="n"/>
      <c r="C18" s="12" t="n"/>
      <c r="D18" s="13" t="n"/>
      <c r="E18" s="14" t="n"/>
      <c r="F18" s="14" t="n"/>
      <c r="G18" s="13">
        <f>IFERROR(VLOOKUP(E18,CSI_Table,2,FALSE),"")</f>
        <v/>
      </c>
      <c r="H18" s="13" t="n"/>
      <c r="I18" s="11" t="n"/>
      <c r="J18" s="11" t="n"/>
      <c r="K18" s="15" t="n"/>
      <c r="L18" s="16" t="n"/>
      <c r="M18" s="11" t="n"/>
      <c r="N18" s="11" t="n"/>
      <c r="O18" s="13" t="n"/>
    </row>
    <row r="19" ht="30" customHeight="1">
      <c r="A19" s="11" t="n"/>
      <c r="B19" s="12" t="n"/>
      <c r="C19" s="12" t="n"/>
      <c r="D19" s="13" t="n"/>
      <c r="E19" s="14" t="n"/>
      <c r="F19" s="14" t="n"/>
      <c r="G19" s="13">
        <f>IFERROR(VLOOKUP(E19,CSI_Table,2,FALSE),"")</f>
        <v/>
      </c>
      <c r="H19" s="13" t="n"/>
      <c r="I19" s="11" t="n"/>
      <c r="J19" s="11" t="n"/>
      <c r="K19" s="15" t="n"/>
      <c r="L19" s="16" t="n"/>
      <c r="M19" s="11" t="n"/>
      <c r="N19" s="11" t="n"/>
      <c r="O19" s="13" t="n"/>
    </row>
    <row r="20" ht="30" customHeight="1">
      <c r="A20" s="11" t="n"/>
      <c r="B20" s="12" t="n"/>
      <c r="C20" s="12" t="n"/>
      <c r="D20" s="13" t="n"/>
      <c r="E20" s="14" t="n"/>
      <c r="F20" s="14" t="n"/>
      <c r="G20" s="13">
        <f>IFERROR(VLOOKUP(E20,CSI_Table,2,FALSE),"")</f>
        <v/>
      </c>
      <c r="H20" s="13" t="n"/>
      <c r="I20" s="11" t="n"/>
      <c r="J20" s="11" t="n"/>
      <c r="K20" s="15" t="n"/>
      <c r="L20" s="16" t="n"/>
      <c r="M20" s="11" t="n"/>
      <c r="N20" s="11" t="n"/>
      <c r="O20" s="13" t="n"/>
    </row>
    <row r="21" ht="30" customHeight="1">
      <c r="A21" s="11" t="n"/>
      <c r="B21" s="12" t="n"/>
      <c r="C21" s="12" t="n"/>
      <c r="D21" s="13" t="n"/>
      <c r="E21" s="14" t="n"/>
      <c r="F21" s="14" t="n"/>
      <c r="G21" s="13">
        <f>IFERROR(VLOOKUP(E21,CSI_Table,2,FALSE),"")</f>
        <v/>
      </c>
      <c r="H21" s="13" t="n"/>
      <c r="I21" s="11" t="n"/>
      <c r="J21" s="11" t="n"/>
      <c r="K21" s="15" t="n"/>
      <c r="L21" s="16" t="n"/>
      <c r="M21" s="11" t="n"/>
      <c r="N21" s="11" t="n"/>
      <c r="O21" s="13" t="n"/>
    </row>
    <row r="22" ht="30" customHeight="1">
      <c r="A22" s="11" t="n"/>
      <c r="B22" s="12" t="n"/>
      <c r="C22" s="12" t="n"/>
      <c r="D22" s="13" t="n"/>
      <c r="E22" s="14" t="n"/>
      <c r="F22" s="14" t="n"/>
      <c r="G22" s="13">
        <f>IFERROR(VLOOKUP(E22,CSI_Table,2,FALSE),"")</f>
        <v/>
      </c>
      <c r="H22" s="13" t="n"/>
      <c r="I22" s="11" t="n"/>
      <c r="J22" s="11" t="n"/>
      <c r="K22" s="15" t="n"/>
      <c r="L22" s="16" t="n"/>
      <c r="M22" s="11" t="n"/>
      <c r="N22" s="11" t="n"/>
      <c r="O22" s="13" t="n"/>
    </row>
    <row r="23" ht="30" customHeight="1">
      <c r="A23" s="11" t="n"/>
      <c r="B23" s="12" t="n"/>
      <c r="C23" s="12" t="n"/>
      <c r="D23" s="13" t="n"/>
      <c r="E23" s="14" t="n"/>
      <c r="F23" s="14" t="n"/>
      <c r="G23" s="13">
        <f>IFERROR(VLOOKUP(E23,CSI_Table,2,FALSE),"")</f>
        <v/>
      </c>
      <c r="H23" s="13" t="n"/>
      <c r="I23" s="11" t="n"/>
      <c r="J23" s="11" t="n"/>
      <c r="K23" s="15" t="n"/>
      <c r="L23" s="16" t="n"/>
      <c r="M23" s="11" t="n"/>
      <c r="N23" s="11" t="n"/>
      <c r="O23" s="13" t="n"/>
    </row>
    <row r="24" ht="30" customHeight="1">
      <c r="A24" s="11" t="n"/>
      <c r="B24" s="12" t="n"/>
      <c r="C24" s="12" t="n"/>
      <c r="D24" s="13" t="n"/>
      <c r="E24" s="14" t="n"/>
      <c r="F24" s="14" t="n"/>
      <c r="G24" s="13">
        <f>IFERROR(VLOOKUP(E24,CSI_Table,2,FALSE),"")</f>
        <v/>
      </c>
      <c r="H24" s="13" t="n"/>
      <c r="I24" s="11" t="n"/>
      <c r="J24" s="11" t="n"/>
      <c r="K24" s="15" t="n"/>
      <c r="L24" s="16" t="n"/>
      <c r="M24" s="11" t="n"/>
      <c r="N24" s="11" t="n"/>
      <c r="O24" s="13" t="n"/>
    </row>
    <row r="25" ht="30" customHeight="1">
      <c r="A25" s="11" t="n"/>
      <c r="B25" s="12" t="n"/>
      <c r="C25" s="12" t="n"/>
      <c r="D25" s="13" t="n"/>
      <c r="E25" s="14" t="n"/>
      <c r="F25" s="14" t="n"/>
      <c r="G25" s="13">
        <f>IFERROR(VLOOKUP(E25,CSI_Table,2,FALSE),"")</f>
        <v/>
      </c>
      <c r="H25" s="13" t="n"/>
      <c r="I25" s="11" t="n"/>
      <c r="J25" s="11" t="n"/>
      <c r="K25" s="15" t="n"/>
      <c r="L25" s="16" t="n"/>
      <c r="M25" s="11" t="n"/>
      <c r="N25" s="11" t="n"/>
      <c r="O25" s="13" t="n"/>
    </row>
    <row r="26" ht="30" customHeight="1">
      <c r="A26" s="11" t="n"/>
      <c r="B26" s="12" t="n"/>
      <c r="C26" s="12" t="n"/>
      <c r="D26" s="13" t="n"/>
      <c r="E26" s="14" t="n"/>
      <c r="F26" s="14" t="n"/>
      <c r="G26" s="13">
        <f>IFERROR(VLOOKUP(E26,CSI_Table,2,FALSE),"")</f>
        <v/>
      </c>
      <c r="H26" s="13" t="n"/>
      <c r="I26" s="11" t="n"/>
      <c r="J26" s="11" t="n"/>
      <c r="K26" s="15" t="n"/>
      <c r="L26" s="16" t="n"/>
      <c r="M26" s="11" t="n"/>
      <c r="N26" s="11" t="n"/>
      <c r="O26" s="13" t="n"/>
    </row>
    <row r="27" ht="30" customHeight="1">
      <c r="A27" s="11" t="n"/>
      <c r="B27" s="12" t="n"/>
      <c r="C27" s="12" t="n"/>
      <c r="D27" s="13" t="n"/>
      <c r="E27" s="14" t="n"/>
      <c r="F27" s="14" t="n"/>
      <c r="G27" s="13">
        <f>IFERROR(VLOOKUP(E27,CSI_Table,2,FALSE),"")</f>
        <v/>
      </c>
      <c r="H27" s="13" t="n"/>
      <c r="I27" s="11" t="n"/>
      <c r="J27" s="11" t="n"/>
      <c r="K27" s="15" t="n"/>
      <c r="L27" s="16" t="n"/>
      <c r="M27" s="11" t="n"/>
      <c r="N27" s="11" t="n"/>
      <c r="O27" s="13" t="n"/>
    </row>
    <row r="28" ht="30" customHeight="1">
      <c r="A28" s="11" t="n"/>
      <c r="B28" s="12" t="n"/>
      <c r="C28" s="12" t="n"/>
      <c r="D28" s="13" t="n"/>
      <c r="E28" s="14" t="n"/>
      <c r="F28" s="14" t="n"/>
      <c r="G28" s="13">
        <f>IFERROR(VLOOKUP(E28,CSI_Table,2,FALSE),"")</f>
        <v/>
      </c>
      <c r="H28" s="13" t="n"/>
      <c r="I28" s="11" t="n"/>
      <c r="J28" s="11" t="n"/>
      <c r="K28" s="15" t="n"/>
      <c r="L28" s="16" t="n"/>
      <c r="M28" s="11" t="n"/>
      <c r="N28" s="11" t="n"/>
      <c r="O28" s="13" t="n"/>
    </row>
    <row r="30">
      <c r="J30" s="17" t="inlineStr">
        <is>
          <t>TOTALS</t>
        </is>
      </c>
      <c r="K30" s="18">
        <f>SUM(K4:K28)</f>
        <v/>
      </c>
      <c r="L30" s="19">
        <f>SUM(L4:L28)</f>
        <v/>
      </c>
    </row>
  </sheetData>
  <mergeCells count="1">
    <mergeCell ref="A1:O1"/>
  </mergeCells>
  <conditionalFormatting sqref="K4:K28">
    <cfRule type="cellIs" priority="1" operator="greaterThan" dxfId="0" stopIfTrue="0">
      <formula>0</formula>
    </cfRule>
    <cfRule type="cellIs" priority="2" operator="lessThan" dxfId="1" stopIfTrue="0">
      <formula>0</formula>
    </cfRule>
  </conditionalFormatting>
  <conditionalFormatting sqref="M4:M28">
    <cfRule type="expression" priority="3" dxfId="0" stopIfTrue="0">
      <formula>$M4="Approved"</formula>
    </cfRule>
    <cfRule type="expression" priority="4" dxfId="2" stopIfTrue="0">
      <formula>OR($M4="Pending",$M4="Submitted")</formula>
    </cfRule>
    <cfRule type="expression" priority="5" dxfId="1" stopIfTrue="0">
      <formula>OR($M4="Rejected",$M4="Disputed")</formula>
    </cfRule>
  </conditionalFormatting>
  <dataValidations count="4">
    <dataValidation sqref="E4:E28" showDropDown="0" showInputMessage="0" showErrorMessage="0" allowBlank="1" errorTitle="Invalid CSI Division" error="Pick a CSI Division from the dropdown." type="list">
      <formula1>=CSI_Divisions</formula1>
    </dataValidation>
    <dataValidation sqref="I4:I28" showDropDown="0" showInputMessage="0" showErrorMessage="0" allowBlank="1" errorTitle="Invalid reason" error="Pick a reason from the dropdown." type="list">
      <formula1>"Owner Request,Design Change,Field Condition,Code Change,Error/Omission,Force Majeure,Other"</formula1>
    </dataValidation>
    <dataValidation sqref="J4:J28" showDropDown="0" showInputMessage="0" showErrorMessage="0" allowBlank="1" errorTitle="Invalid type" error="Pick a CO type from the dropdown." type="list">
      <formula1>"Lump Sum,T&amp;M,Unit Price,Allowance,Deductive"</formula1>
    </dataValidation>
    <dataValidation sqref="M4:M28" showDropDown="0" showInputMessage="0" showErrorMessage="0" allowBlank="1" errorTitle="Invalid status" error="Pick a status from the dropdown." type="list">
      <formula1>"Submitted,Approved,Rejected,Pending,Disputed,Voided"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0" workbookViewId="0">
      <pane ySplit="3" topLeftCell="A4" activePane="bottomLeft" state="frozen"/>
      <selection pane="bottomLeft" activeCell="A1" sqref="A1"/>
    </sheetView>
  </sheetViews>
  <sheetFormatPr baseColWidth="8" defaultRowHeight="15"/>
  <cols>
    <col width="12" customWidth="1" min="1" max="1"/>
    <col width="36" customWidth="1" min="2" max="2"/>
    <col width="11" customWidth="1" min="3" max="3"/>
    <col width="18" customWidth="1" min="4" max="4"/>
    <col width="18" customWidth="1" min="5" max="5"/>
    <col width="18" customWidth="1" min="6" max="6"/>
    <col width="20" customWidth="1" min="7" max="7"/>
    <col width="20" customWidth="1" min="8" max="8"/>
  </cols>
  <sheetData>
    <row r="1" ht="28" customHeight="1">
      <c r="A1" s="1" t="inlineStr">
        <is>
          <t>CO Summary by Division (auto roll-up)</t>
        </is>
      </c>
    </row>
    <row r="2">
      <c r="A2" s="5" t="inlineStr">
        <is>
          <t>Reads from Change Order Log via SUMIFS - do not edit this tab directly. One row per CSI Division.</t>
        </is>
      </c>
    </row>
    <row r="3" ht="28" customHeight="1">
      <c r="A3" s="6" t="inlineStr">
        <is>
          <t>CSI Division</t>
        </is>
      </c>
      <c r="B3" s="6" t="inlineStr">
        <is>
          <t>Division Name</t>
        </is>
      </c>
      <c r="C3" s="6" t="inlineStr">
        <is>
          <t>CO Count</t>
        </is>
      </c>
      <c r="D3" s="6" t="inlineStr">
        <is>
          <t>Approved Amount</t>
        </is>
      </c>
      <c r="E3" s="6" t="inlineStr">
        <is>
          <t>Pending Amount</t>
        </is>
      </c>
      <c r="F3" s="6" t="inlineStr">
        <is>
          <t>Rejected Amount</t>
        </is>
      </c>
      <c r="G3" s="6" t="inlineStr">
        <is>
          <t>Net Approved Amount</t>
        </is>
      </c>
      <c r="H3" s="6" t="inlineStr">
        <is>
          <t>Schedule Impact (Approved)</t>
        </is>
      </c>
    </row>
    <row r="4" ht="22" customHeight="1">
      <c r="A4" s="20" t="inlineStr">
        <is>
          <t>01</t>
        </is>
      </c>
      <c r="B4" s="9" t="inlineStr">
        <is>
          <t>General Requirements</t>
        </is>
      </c>
      <c r="C4" s="21">
        <f>COUNTIF('Change Order Log'!$E$4:$E$28,A4)</f>
        <v/>
      </c>
      <c r="D4" s="10">
        <f>SUMIFS('Change Order Log'!$K$4:$K$28,'Change Order Log'!$E$4:$E$28,A4,'Change Order Log'!$M$4:$M$28,"Approved")</f>
        <v/>
      </c>
      <c r="E4" s="10">
        <f>SUMIFS('Change Order Log'!$K$4:$K$28,'Change Order Log'!$E$4:$E$28,A4,'Change Order Log'!$M$4:$M$28,"Pending")+SUMIFS('Change Order Log'!$K$4:$K$28,'Change Order Log'!$E$4:$E$28,A4,'Change Order Log'!$M$4:$M$28,"Submitted")</f>
        <v/>
      </c>
      <c r="F4" s="10">
        <f>SUMIFS('Change Order Log'!$K$4:$K$28,'Change Order Log'!$E$4:$E$28,A4,'Change Order Log'!$M$4:$M$28,"Rejected")</f>
        <v/>
      </c>
      <c r="G4" s="10">
        <f>SUMIFS('Change Order Log'!$K$4:$K$28,'Change Order Log'!$E$4:$E$28,A4,'Change Order Log'!$M$4:$M$28,"Approved")</f>
        <v/>
      </c>
      <c r="H4" s="21">
        <f>SUMIFS('Change Order Log'!$L$4:$L$28,'Change Order Log'!$E$4:$E$28,A4,'Change Order Log'!$M$4:$M$28,"Approved")</f>
        <v/>
      </c>
    </row>
    <row r="5" ht="22" customHeight="1">
      <c r="A5" s="20" t="inlineStr">
        <is>
          <t>02</t>
        </is>
      </c>
      <c r="B5" s="9" t="inlineStr">
        <is>
          <t>Existing Conditions</t>
        </is>
      </c>
      <c r="C5" s="21">
        <f>COUNTIF('Change Order Log'!$E$4:$E$28,A5)</f>
        <v/>
      </c>
      <c r="D5" s="10">
        <f>SUMIFS('Change Order Log'!$K$4:$K$28,'Change Order Log'!$E$4:$E$28,A5,'Change Order Log'!$M$4:$M$28,"Approved")</f>
        <v/>
      </c>
      <c r="E5" s="10">
        <f>SUMIFS('Change Order Log'!$K$4:$K$28,'Change Order Log'!$E$4:$E$28,A5,'Change Order Log'!$M$4:$M$28,"Pending")+SUMIFS('Change Order Log'!$K$4:$K$28,'Change Order Log'!$E$4:$E$28,A5,'Change Order Log'!$M$4:$M$28,"Submitted")</f>
        <v/>
      </c>
      <c r="F5" s="10">
        <f>SUMIFS('Change Order Log'!$K$4:$K$28,'Change Order Log'!$E$4:$E$28,A5,'Change Order Log'!$M$4:$M$28,"Rejected")</f>
        <v/>
      </c>
      <c r="G5" s="10">
        <f>SUMIFS('Change Order Log'!$K$4:$K$28,'Change Order Log'!$E$4:$E$28,A5,'Change Order Log'!$M$4:$M$28,"Approved")</f>
        <v/>
      </c>
      <c r="H5" s="21">
        <f>SUMIFS('Change Order Log'!$L$4:$L$28,'Change Order Log'!$E$4:$E$28,A5,'Change Order Log'!$M$4:$M$28,"Approved")</f>
        <v/>
      </c>
    </row>
    <row r="6" ht="22" customHeight="1">
      <c r="A6" s="20" t="inlineStr">
        <is>
          <t>03</t>
        </is>
      </c>
      <c r="B6" s="9" t="inlineStr">
        <is>
          <t>Concrete</t>
        </is>
      </c>
      <c r="C6" s="21">
        <f>COUNTIF('Change Order Log'!$E$4:$E$28,A6)</f>
        <v/>
      </c>
      <c r="D6" s="10">
        <f>SUMIFS('Change Order Log'!$K$4:$K$28,'Change Order Log'!$E$4:$E$28,A6,'Change Order Log'!$M$4:$M$28,"Approved")</f>
        <v/>
      </c>
      <c r="E6" s="10">
        <f>SUMIFS('Change Order Log'!$K$4:$K$28,'Change Order Log'!$E$4:$E$28,A6,'Change Order Log'!$M$4:$M$28,"Pending")+SUMIFS('Change Order Log'!$K$4:$K$28,'Change Order Log'!$E$4:$E$28,A6,'Change Order Log'!$M$4:$M$28,"Submitted")</f>
        <v/>
      </c>
      <c r="F6" s="10">
        <f>SUMIFS('Change Order Log'!$K$4:$K$28,'Change Order Log'!$E$4:$E$28,A6,'Change Order Log'!$M$4:$M$28,"Rejected")</f>
        <v/>
      </c>
      <c r="G6" s="10">
        <f>SUMIFS('Change Order Log'!$K$4:$K$28,'Change Order Log'!$E$4:$E$28,A6,'Change Order Log'!$M$4:$M$28,"Approved")</f>
        <v/>
      </c>
      <c r="H6" s="21">
        <f>SUMIFS('Change Order Log'!$L$4:$L$28,'Change Order Log'!$E$4:$E$28,A6,'Change Order Log'!$M$4:$M$28,"Approved")</f>
        <v/>
      </c>
    </row>
    <row r="7" ht="22" customHeight="1">
      <c r="A7" s="20" t="inlineStr">
        <is>
          <t>04</t>
        </is>
      </c>
      <c r="B7" s="9" t="inlineStr">
        <is>
          <t>Masonry</t>
        </is>
      </c>
      <c r="C7" s="21">
        <f>COUNTIF('Change Order Log'!$E$4:$E$28,A7)</f>
        <v/>
      </c>
      <c r="D7" s="10">
        <f>SUMIFS('Change Order Log'!$K$4:$K$28,'Change Order Log'!$E$4:$E$28,A7,'Change Order Log'!$M$4:$M$28,"Approved")</f>
        <v/>
      </c>
      <c r="E7" s="10">
        <f>SUMIFS('Change Order Log'!$K$4:$K$28,'Change Order Log'!$E$4:$E$28,A7,'Change Order Log'!$M$4:$M$28,"Pending")+SUMIFS('Change Order Log'!$K$4:$K$28,'Change Order Log'!$E$4:$E$28,A7,'Change Order Log'!$M$4:$M$28,"Submitted")</f>
        <v/>
      </c>
      <c r="F7" s="10">
        <f>SUMIFS('Change Order Log'!$K$4:$K$28,'Change Order Log'!$E$4:$E$28,A7,'Change Order Log'!$M$4:$M$28,"Rejected")</f>
        <v/>
      </c>
      <c r="G7" s="10">
        <f>SUMIFS('Change Order Log'!$K$4:$K$28,'Change Order Log'!$E$4:$E$28,A7,'Change Order Log'!$M$4:$M$28,"Approved")</f>
        <v/>
      </c>
      <c r="H7" s="21">
        <f>SUMIFS('Change Order Log'!$L$4:$L$28,'Change Order Log'!$E$4:$E$28,A7,'Change Order Log'!$M$4:$M$28,"Approved")</f>
        <v/>
      </c>
    </row>
    <row r="8" ht="22" customHeight="1">
      <c r="A8" s="20" t="inlineStr">
        <is>
          <t>05</t>
        </is>
      </c>
      <c r="B8" s="9" t="inlineStr">
        <is>
          <t>Metals</t>
        </is>
      </c>
      <c r="C8" s="21">
        <f>COUNTIF('Change Order Log'!$E$4:$E$28,A8)</f>
        <v/>
      </c>
      <c r="D8" s="10">
        <f>SUMIFS('Change Order Log'!$K$4:$K$28,'Change Order Log'!$E$4:$E$28,A8,'Change Order Log'!$M$4:$M$28,"Approved")</f>
        <v/>
      </c>
      <c r="E8" s="10">
        <f>SUMIFS('Change Order Log'!$K$4:$K$28,'Change Order Log'!$E$4:$E$28,A8,'Change Order Log'!$M$4:$M$28,"Pending")+SUMIFS('Change Order Log'!$K$4:$K$28,'Change Order Log'!$E$4:$E$28,A8,'Change Order Log'!$M$4:$M$28,"Submitted")</f>
        <v/>
      </c>
      <c r="F8" s="10">
        <f>SUMIFS('Change Order Log'!$K$4:$K$28,'Change Order Log'!$E$4:$E$28,A8,'Change Order Log'!$M$4:$M$28,"Rejected")</f>
        <v/>
      </c>
      <c r="G8" s="10">
        <f>SUMIFS('Change Order Log'!$K$4:$K$28,'Change Order Log'!$E$4:$E$28,A8,'Change Order Log'!$M$4:$M$28,"Approved")</f>
        <v/>
      </c>
      <c r="H8" s="21">
        <f>SUMIFS('Change Order Log'!$L$4:$L$28,'Change Order Log'!$E$4:$E$28,A8,'Change Order Log'!$M$4:$M$28,"Approved")</f>
        <v/>
      </c>
    </row>
    <row r="9" ht="22" customHeight="1">
      <c r="A9" s="20" t="inlineStr">
        <is>
          <t>06</t>
        </is>
      </c>
      <c r="B9" s="9" t="inlineStr">
        <is>
          <t>Wood, Plastics, and Composites</t>
        </is>
      </c>
      <c r="C9" s="21">
        <f>COUNTIF('Change Order Log'!$E$4:$E$28,A9)</f>
        <v/>
      </c>
      <c r="D9" s="10">
        <f>SUMIFS('Change Order Log'!$K$4:$K$28,'Change Order Log'!$E$4:$E$28,A9,'Change Order Log'!$M$4:$M$28,"Approved")</f>
        <v/>
      </c>
      <c r="E9" s="10">
        <f>SUMIFS('Change Order Log'!$K$4:$K$28,'Change Order Log'!$E$4:$E$28,A9,'Change Order Log'!$M$4:$M$28,"Pending")+SUMIFS('Change Order Log'!$K$4:$K$28,'Change Order Log'!$E$4:$E$28,A9,'Change Order Log'!$M$4:$M$28,"Submitted")</f>
        <v/>
      </c>
      <c r="F9" s="10">
        <f>SUMIFS('Change Order Log'!$K$4:$K$28,'Change Order Log'!$E$4:$E$28,A9,'Change Order Log'!$M$4:$M$28,"Rejected")</f>
        <v/>
      </c>
      <c r="G9" s="10">
        <f>SUMIFS('Change Order Log'!$K$4:$K$28,'Change Order Log'!$E$4:$E$28,A9,'Change Order Log'!$M$4:$M$28,"Approved")</f>
        <v/>
      </c>
      <c r="H9" s="21">
        <f>SUMIFS('Change Order Log'!$L$4:$L$28,'Change Order Log'!$E$4:$E$28,A9,'Change Order Log'!$M$4:$M$28,"Approved")</f>
        <v/>
      </c>
    </row>
    <row r="10" ht="22" customHeight="1">
      <c r="A10" s="20" t="inlineStr">
        <is>
          <t>07</t>
        </is>
      </c>
      <c r="B10" s="9" t="inlineStr">
        <is>
          <t>Thermal and Moisture Protection</t>
        </is>
      </c>
      <c r="C10" s="21">
        <f>COUNTIF('Change Order Log'!$E$4:$E$28,A10)</f>
        <v/>
      </c>
      <c r="D10" s="10">
        <f>SUMIFS('Change Order Log'!$K$4:$K$28,'Change Order Log'!$E$4:$E$28,A10,'Change Order Log'!$M$4:$M$28,"Approved")</f>
        <v/>
      </c>
      <c r="E10" s="10">
        <f>SUMIFS('Change Order Log'!$K$4:$K$28,'Change Order Log'!$E$4:$E$28,A10,'Change Order Log'!$M$4:$M$28,"Pending")+SUMIFS('Change Order Log'!$K$4:$K$28,'Change Order Log'!$E$4:$E$28,A10,'Change Order Log'!$M$4:$M$28,"Submitted")</f>
        <v/>
      </c>
      <c r="F10" s="10">
        <f>SUMIFS('Change Order Log'!$K$4:$K$28,'Change Order Log'!$E$4:$E$28,A10,'Change Order Log'!$M$4:$M$28,"Rejected")</f>
        <v/>
      </c>
      <c r="G10" s="10">
        <f>SUMIFS('Change Order Log'!$K$4:$K$28,'Change Order Log'!$E$4:$E$28,A10,'Change Order Log'!$M$4:$M$28,"Approved")</f>
        <v/>
      </c>
      <c r="H10" s="21">
        <f>SUMIFS('Change Order Log'!$L$4:$L$28,'Change Order Log'!$E$4:$E$28,A10,'Change Order Log'!$M$4:$M$28,"Approved")</f>
        <v/>
      </c>
    </row>
    <row r="11" ht="22" customHeight="1">
      <c r="A11" s="20" t="inlineStr">
        <is>
          <t>08</t>
        </is>
      </c>
      <c r="B11" s="9" t="inlineStr">
        <is>
          <t>Openings</t>
        </is>
      </c>
      <c r="C11" s="21">
        <f>COUNTIF('Change Order Log'!$E$4:$E$28,A11)</f>
        <v/>
      </c>
      <c r="D11" s="10">
        <f>SUMIFS('Change Order Log'!$K$4:$K$28,'Change Order Log'!$E$4:$E$28,A11,'Change Order Log'!$M$4:$M$28,"Approved")</f>
        <v/>
      </c>
      <c r="E11" s="10">
        <f>SUMIFS('Change Order Log'!$K$4:$K$28,'Change Order Log'!$E$4:$E$28,A11,'Change Order Log'!$M$4:$M$28,"Pending")+SUMIFS('Change Order Log'!$K$4:$K$28,'Change Order Log'!$E$4:$E$28,A11,'Change Order Log'!$M$4:$M$28,"Submitted")</f>
        <v/>
      </c>
      <c r="F11" s="10">
        <f>SUMIFS('Change Order Log'!$K$4:$K$28,'Change Order Log'!$E$4:$E$28,A11,'Change Order Log'!$M$4:$M$28,"Rejected")</f>
        <v/>
      </c>
      <c r="G11" s="10">
        <f>SUMIFS('Change Order Log'!$K$4:$K$28,'Change Order Log'!$E$4:$E$28,A11,'Change Order Log'!$M$4:$M$28,"Approved")</f>
        <v/>
      </c>
      <c r="H11" s="21">
        <f>SUMIFS('Change Order Log'!$L$4:$L$28,'Change Order Log'!$E$4:$E$28,A11,'Change Order Log'!$M$4:$M$28,"Approved")</f>
        <v/>
      </c>
    </row>
    <row r="12" ht="22" customHeight="1">
      <c r="A12" s="20" t="inlineStr">
        <is>
          <t>09</t>
        </is>
      </c>
      <c r="B12" s="9" t="inlineStr">
        <is>
          <t>Finishes</t>
        </is>
      </c>
      <c r="C12" s="21">
        <f>COUNTIF('Change Order Log'!$E$4:$E$28,A12)</f>
        <v/>
      </c>
      <c r="D12" s="10">
        <f>SUMIFS('Change Order Log'!$K$4:$K$28,'Change Order Log'!$E$4:$E$28,A12,'Change Order Log'!$M$4:$M$28,"Approved")</f>
        <v/>
      </c>
      <c r="E12" s="10">
        <f>SUMIFS('Change Order Log'!$K$4:$K$28,'Change Order Log'!$E$4:$E$28,A12,'Change Order Log'!$M$4:$M$28,"Pending")+SUMIFS('Change Order Log'!$K$4:$K$28,'Change Order Log'!$E$4:$E$28,A12,'Change Order Log'!$M$4:$M$28,"Submitted")</f>
        <v/>
      </c>
      <c r="F12" s="10">
        <f>SUMIFS('Change Order Log'!$K$4:$K$28,'Change Order Log'!$E$4:$E$28,A12,'Change Order Log'!$M$4:$M$28,"Rejected")</f>
        <v/>
      </c>
      <c r="G12" s="10">
        <f>SUMIFS('Change Order Log'!$K$4:$K$28,'Change Order Log'!$E$4:$E$28,A12,'Change Order Log'!$M$4:$M$28,"Approved")</f>
        <v/>
      </c>
      <c r="H12" s="21">
        <f>SUMIFS('Change Order Log'!$L$4:$L$28,'Change Order Log'!$E$4:$E$28,A12,'Change Order Log'!$M$4:$M$28,"Approved")</f>
        <v/>
      </c>
    </row>
    <row r="13" ht="22" customHeight="1">
      <c r="A13" s="20" t="inlineStr">
        <is>
          <t>10</t>
        </is>
      </c>
      <c r="B13" s="9" t="inlineStr">
        <is>
          <t>Specialties</t>
        </is>
      </c>
      <c r="C13" s="21">
        <f>COUNTIF('Change Order Log'!$E$4:$E$28,A13)</f>
        <v/>
      </c>
      <c r="D13" s="10">
        <f>SUMIFS('Change Order Log'!$K$4:$K$28,'Change Order Log'!$E$4:$E$28,A13,'Change Order Log'!$M$4:$M$28,"Approved")</f>
        <v/>
      </c>
      <c r="E13" s="10">
        <f>SUMIFS('Change Order Log'!$K$4:$K$28,'Change Order Log'!$E$4:$E$28,A13,'Change Order Log'!$M$4:$M$28,"Pending")+SUMIFS('Change Order Log'!$K$4:$K$28,'Change Order Log'!$E$4:$E$28,A13,'Change Order Log'!$M$4:$M$28,"Submitted")</f>
        <v/>
      </c>
      <c r="F13" s="10">
        <f>SUMIFS('Change Order Log'!$K$4:$K$28,'Change Order Log'!$E$4:$E$28,A13,'Change Order Log'!$M$4:$M$28,"Rejected")</f>
        <v/>
      </c>
      <c r="G13" s="10">
        <f>SUMIFS('Change Order Log'!$K$4:$K$28,'Change Order Log'!$E$4:$E$28,A13,'Change Order Log'!$M$4:$M$28,"Approved")</f>
        <v/>
      </c>
      <c r="H13" s="21">
        <f>SUMIFS('Change Order Log'!$L$4:$L$28,'Change Order Log'!$E$4:$E$28,A13,'Change Order Log'!$M$4:$M$28,"Approved")</f>
        <v/>
      </c>
    </row>
    <row r="14" ht="22" customHeight="1">
      <c r="A14" s="20" t="inlineStr">
        <is>
          <t>11</t>
        </is>
      </c>
      <c r="B14" s="9" t="inlineStr">
        <is>
          <t>Equipment</t>
        </is>
      </c>
      <c r="C14" s="21">
        <f>COUNTIF('Change Order Log'!$E$4:$E$28,A14)</f>
        <v/>
      </c>
      <c r="D14" s="10">
        <f>SUMIFS('Change Order Log'!$K$4:$K$28,'Change Order Log'!$E$4:$E$28,A14,'Change Order Log'!$M$4:$M$28,"Approved")</f>
        <v/>
      </c>
      <c r="E14" s="10">
        <f>SUMIFS('Change Order Log'!$K$4:$K$28,'Change Order Log'!$E$4:$E$28,A14,'Change Order Log'!$M$4:$M$28,"Pending")+SUMIFS('Change Order Log'!$K$4:$K$28,'Change Order Log'!$E$4:$E$28,A14,'Change Order Log'!$M$4:$M$28,"Submitted")</f>
        <v/>
      </c>
      <c r="F14" s="10">
        <f>SUMIFS('Change Order Log'!$K$4:$K$28,'Change Order Log'!$E$4:$E$28,A14,'Change Order Log'!$M$4:$M$28,"Rejected")</f>
        <v/>
      </c>
      <c r="G14" s="10">
        <f>SUMIFS('Change Order Log'!$K$4:$K$28,'Change Order Log'!$E$4:$E$28,A14,'Change Order Log'!$M$4:$M$28,"Approved")</f>
        <v/>
      </c>
      <c r="H14" s="21">
        <f>SUMIFS('Change Order Log'!$L$4:$L$28,'Change Order Log'!$E$4:$E$28,A14,'Change Order Log'!$M$4:$M$28,"Approved")</f>
        <v/>
      </c>
    </row>
    <row r="15" ht="22" customHeight="1">
      <c r="A15" s="20" t="inlineStr">
        <is>
          <t>12</t>
        </is>
      </c>
      <c r="B15" s="9" t="inlineStr">
        <is>
          <t>Furnishings</t>
        </is>
      </c>
      <c r="C15" s="21">
        <f>COUNTIF('Change Order Log'!$E$4:$E$28,A15)</f>
        <v/>
      </c>
      <c r="D15" s="10">
        <f>SUMIFS('Change Order Log'!$K$4:$K$28,'Change Order Log'!$E$4:$E$28,A15,'Change Order Log'!$M$4:$M$28,"Approved")</f>
        <v/>
      </c>
      <c r="E15" s="10">
        <f>SUMIFS('Change Order Log'!$K$4:$K$28,'Change Order Log'!$E$4:$E$28,A15,'Change Order Log'!$M$4:$M$28,"Pending")+SUMIFS('Change Order Log'!$K$4:$K$28,'Change Order Log'!$E$4:$E$28,A15,'Change Order Log'!$M$4:$M$28,"Submitted")</f>
        <v/>
      </c>
      <c r="F15" s="10">
        <f>SUMIFS('Change Order Log'!$K$4:$K$28,'Change Order Log'!$E$4:$E$28,A15,'Change Order Log'!$M$4:$M$28,"Rejected")</f>
        <v/>
      </c>
      <c r="G15" s="10">
        <f>SUMIFS('Change Order Log'!$K$4:$K$28,'Change Order Log'!$E$4:$E$28,A15,'Change Order Log'!$M$4:$M$28,"Approved")</f>
        <v/>
      </c>
      <c r="H15" s="21">
        <f>SUMIFS('Change Order Log'!$L$4:$L$28,'Change Order Log'!$E$4:$E$28,A15,'Change Order Log'!$M$4:$M$28,"Approved")</f>
        <v/>
      </c>
    </row>
    <row r="16" ht="22" customHeight="1">
      <c r="A16" s="20" t="inlineStr">
        <is>
          <t>13</t>
        </is>
      </c>
      <c r="B16" s="9" t="inlineStr">
        <is>
          <t>Special Construction</t>
        </is>
      </c>
      <c r="C16" s="21">
        <f>COUNTIF('Change Order Log'!$E$4:$E$28,A16)</f>
        <v/>
      </c>
      <c r="D16" s="10">
        <f>SUMIFS('Change Order Log'!$K$4:$K$28,'Change Order Log'!$E$4:$E$28,A16,'Change Order Log'!$M$4:$M$28,"Approved")</f>
        <v/>
      </c>
      <c r="E16" s="10">
        <f>SUMIFS('Change Order Log'!$K$4:$K$28,'Change Order Log'!$E$4:$E$28,A16,'Change Order Log'!$M$4:$M$28,"Pending")+SUMIFS('Change Order Log'!$K$4:$K$28,'Change Order Log'!$E$4:$E$28,A16,'Change Order Log'!$M$4:$M$28,"Submitted")</f>
        <v/>
      </c>
      <c r="F16" s="10">
        <f>SUMIFS('Change Order Log'!$K$4:$K$28,'Change Order Log'!$E$4:$E$28,A16,'Change Order Log'!$M$4:$M$28,"Rejected")</f>
        <v/>
      </c>
      <c r="G16" s="10">
        <f>SUMIFS('Change Order Log'!$K$4:$K$28,'Change Order Log'!$E$4:$E$28,A16,'Change Order Log'!$M$4:$M$28,"Approved")</f>
        <v/>
      </c>
      <c r="H16" s="21">
        <f>SUMIFS('Change Order Log'!$L$4:$L$28,'Change Order Log'!$E$4:$E$28,A16,'Change Order Log'!$M$4:$M$28,"Approved")</f>
        <v/>
      </c>
    </row>
    <row r="17" ht="22" customHeight="1">
      <c r="A17" s="20" t="inlineStr">
        <is>
          <t>14</t>
        </is>
      </c>
      <c r="B17" s="9" t="inlineStr">
        <is>
          <t>Conveying Equipment</t>
        </is>
      </c>
      <c r="C17" s="21">
        <f>COUNTIF('Change Order Log'!$E$4:$E$28,A17)</f>
        <v/>
      </c>
      <c r="D17" s="10">
        <f>SUMIFS('Change Order Log'!$K$4:$K$28,'Change Order Log'!$E$4:$E$28,A17,'Change Order Log'!$M$4:$M$28,"Approved")</f>
        <v/>
      </c>
      <c r="E17" s="10">
        <f>SUMIFS('Change Order Log'!$K$4:$K$28,'Change Order Log'!$E$4:$E$28,A17,'Change Order Log'!$M$4:$M$28,"Pending")+SUMIFS('Change Order Log'!$K$4:$K$28,'Change Order Log'!$E$4:$E$28,A17,'Change Order Log'!$M$4:$M$28,"Submitted")</f>
        <v/>
      </c>
      <c r="F17" s="10">
        <f>SUMIFS('Change Order Log'!$K$4:$K$28,'Change Order Log'!$E$4:$E$28,A17,'Change Order Log'!$M$4:$M$28,"Rejected")</f>
        <v/>
      </c>
      <c r="G17" s="10">
        <f>SUMIFS('Change Order Log'!$K$4:$K$28,'Change Order Log'!$E$4:$E$28,A17,'Change Order Log'!$M$4:$M$28,"Approved")</f>
        <v/>
      </c>
      <c r="H17" s="21">
        <f>SUMIFS('Change Order Log'!$L$4:$L$28,'Change Order Log'!$E$4:$E$28,A17,'Change Order Log'!$M$4:$M$28,"Approved")</f>
        <v/>
      </c>
    </row>
    <row r="18" ht="22" customHeight="1">
      <c r="A18" s="20" t="inlineStr">
        <is>
          <t>21</t>
        </is>
      </c>
      <c r="B18" s="9" t="inlineStr">
        <is>
          <t>Fire Suppression</t>
        </is>
      </c>
      <c r="C18" s="21">
        <f>COUNTIF('Change Order Log'!$E$4:$E$28,A18)</f>
        <v/>
      </c>
      <c r="D18" s="10">
        <f>SUMIFS('Change Order Log'!$K$4:$K$28,'Change Order Log'!$E$4:$E$28,A18,'Change Order Log'!$M$4:$M$28,"Approved")</f>
        <v/>
      </c>
      <c r="E18" s="10">
        <f>SUMIFS('Change Order Log'!$K$4:$K$28,'Change Order Log'!$E$4:$E$28,A18,'Change Order Log'!$M$4:$M$28,"Pending")+SUMIFS('Change Order Log'!$K$4:$K$28,'Change Order Log'!$E$4:$E$28,A18,'Change Order Log'!$M$4:$M$28,"Submitted")</f>
        <v/>
      </c>
      <c r="F18" s="10">
        <f>SUMIFS('Change Order Log'!$K$4:$K$28,'Change Order Log'!$E$4:$E$28,A18,'Change Order Log'!$M$4:$M$28,"Rejected")</f>
        <v/>
      </c>
      <c r="G18" s="10">
        <f>SUMIFS('Change Order Log'!$K$4:$K$28,'Change Order Log'!$E$4:$E$28,A18,'Change Order Log'!$M$4:$M$28,"Approved")</f>
        <v/>
      </c>
      <c r="H18" s="21">
        <f>SUMIFS('Change Order Log'!$L$4:$L$28,'Change Order Log'!$E$4:$E$28,A18,'Change Order Log'!$M$4:$M$28,"Approved")</f>
        <v/>
      </c>
    </row>
    <row r="19" ht="22" customHeight="1">
      <c r="A19" s="20" t="inlineStr">
        <is>
          <t>22</t>
        </is>
      </c>
      <c r="B19" s="9" t="inlineStr">
        <is>
          <t>Plumbing</t>
        </is>
      </c>
      <c r="C19" s="21">
        <f>COUNTIF('Change Order Log'!$E$4:$E$28,A19)</f>
        <v/>
      </c>
      <c r="D19" s="10">
        <f>SUMIFS('Change Order Log'!$K$4:$K$28,'Change Order Log'!$E$4:$E$28,A19,'Change Order Log'!$M$4:$M$28,"Approved")</f>
        <v/>
      </c>
      <c r="E19" s="10">
        <f>SUMIFS('Change Order Log'!$K$4:$K$28,'Change Order Log'!$E$4:$E$28,A19,'Change Order Log'!$M$4:$M$28,"Pending")+SUMIFS('Change Order Log'!$K$4:$K$28,'Change Order Log'!$E$4:$E$28,A19,'Change Order Log'!$M$4:$M$28,"Submitted")</f>
        <v/>
      </c>
      <c r="F19" s="10">
        <f>SUMIFS('Change Order Log'!$K$4:$K$28,'Change Order Log'!$E$4:$E$28,A19,'Change Order Log'!$M$4:$M$28,"Rejected")</f>
        <v/>
      </c>
      <c r="G19" s="10">
        <f>SUMIFS('Change Order Log'!$K$4:$K$28,'Change Order Log'!$E$4:$E$28,A19,'Change Order Log'!$M$4:$M$28,"Approved")</f>
        <v/>
      </c>
      <c r="H19" s="21">
        <f>SUMIFS('Change Order Log'!$L$4:$L$28,'Change Order Log'!$E$4:$E$28,A19,'Change Order Log'!$M$4:$M$28,"Approved")</f>
        <v/>
      </c>
    </row>
    <row r="20" ht="22" customHeight="1">
      <c r="A20" s="20" t="inlineStr">
        <is>
          <t>23</t>
        </is>
      </c>
      <c r="B20" s="9" t="inlineStr">
        <is>
          <t>HVAC</t>
        </is>
      </c>
      <c r="C20" s="21">
        <f>COUNTIF('Change Order Log'!$E$4:$E$28,A20)</f>
        <v/>
      </c>
      <c r="D20" s="10">
        <f>SUMIFS('Change Order Log'!$K$4:$K$28,'Change Order Log'!$E$4:$E$28,A20,'Change Order Log'!$M$4:$M$28,"Approved")</f>
        <v/>
      </c>
      <c r="E20" s="10">
        <f>SUMIFS('Change Order Log'!$K$4:$K$28,'Change Order Log'!$E$4:$E$28,A20,'Change Order Log'!$M$4:$M$28,"Pending")+SUMIFS('Change Order Log'!$K$4:$K$28,'Change Order Log'!$E$4:$E$28,A20,'Change Order Log'!$M$4:$M$28,"Submitted")</f>
        <v/>
      </c>
      <c r="F20" s="10">
        <f>SUMIFS('Change Order Log'!$K$4:$K$28,'Change Order Log'!$E$4:$E$28,A20,'Change Order Log'!$M$4:$M$28,"Rejected")</f>
        <v/>
      </c>
      <c r="G20" s="10">
        <f>SUMIFS('Change Order Log'!$K$4:$K$28,'Change Order Log'!$E$4:$E$28,A20,'Change Order Log'!$M$4:$M$28,"Approved")</f>
        <v/>
      </c>
      <c r="H20" s="21">
        <f>SUMIFS('Change Order Log'!$L$4:$L$28,'Change Order Log'!$E$4:$E$28,A20,'Change Order Log'!$M$4:$M$28,"Approved")</f>
        <v/>
      </c>
    </row>
    <row r="21" ht="22" customHeight="1">
      <c r="A21" s="20" t="inlineStr">
        <is>
          <t>25</t>
        </is>
      </c>
      <c r="B21" s="9" t="inlineStr">
        <is>
          <t>Integrated Automation</t>
        </is>
      </c>
      <c r="C21" s="21">
        <f>COUNTIF('Change Order Log'!$E$4:$E$28,A21)</f>
        <v/>
      </c>
      <c r="D21" s="10">
        <f>SUMIFS('Change Order Log'!$K$4:$K$28,'Change Order Log'!$E$4:$E$28,A21,'Change Order Log'!$M$4:$M$28,"Approved")</f>
        <v/>
      </c>
      <c r="E21" s="10">
        <f>SUMIFS('Change Order Log'!$K$4:$K$28,'Change Order Log'!$E$4:$E$28,A21,'Change Order Log'!$M$4:$M$28,"Pending")+SUMIFS('Change Order Log'!$K$4:$K$28,'Change Order Log'!$E$4:$E$28,A21,'Change Order Log'!$M$4:$M$28,"Submitted")</f>
        <v/>
      </c>
      <c r="F21" s="10">
        <f>SUMIFS('Change Order Log'!$K$4:$K$28,'Change Order Log'!$E$4:$E$28,A21,'Change Order Log'!$M$4:$M$28,"Rejected")</f>
        <v/>
      </c>
      <c r="G21" s="10">
        <f>SUMIFS('Change Order Log'!$K$4:$K$28,'Change Order Log'!$E$4:$E$28,A21,'Change Order Log'!$M$4:$M$28,"Approved")</f>
        <v/>
      </c>
      <c r="H21" s="21">
        <f>SUMIFS('Change Order Log'!$L$4:$L$28,'Change Order Log'!$E$4:$E$28,A21,'Change Order Log'!$M$4:$M$28,"Approved")</f>
        <v/>
      </c>
    </row>
    <row r="22" ht="22" customHeight="1">
      <c r="A22" s="20" t="inlineStr">
        <is>
          <t>26</t>
        </is>
      </c>
      <c r="B22" s="9" t="inlineStr">
        <is>
          <t>Electrical</t>
        </is>
      </c>
      <c r="C22" s="21">
        <f>COUNTIF('Change Order Log'!$E$4:$E$28,A22)</f>
        <v/>
      </c>
      <c r="D22" s="10">
        <f>SUMIFS('Change Order Log'!$K$4:$K$28,'Change Order Log'!$E$4:$E$28,A22,'Change Order Log'!$M$4:$M$28,"Approved")</f>
        <v/>
      </c>
      <c r="E22" s="10">
        <f>SUMIFS('Change Order Log'!$K$4:$K$28,'Change Order Log'!$E$4:$E$28,A22,'Change Order Log'!$M$4:$M$28,"Pending")+SUMIFS('Change Order Log'!$K$4:$K$28,'Change Order Log'!$E$4:$E$28,A22,'Change Order Log'!$M$4:$M$28,"Submitted")</f>
        <v/>
      </c>
      <c r="F22" s="10">
        <f>SUMIFS('Change Order Log'!$K$4:$K$28,'Change Order Log'!$E$4:$E$28,A22,'Change Order Log'!$M$4:$M$28,"Rejected")</f>
        <v/>
      </c>
      <c r="G22" s="10">
        <f>SUMIFS('Change Order Log'!$K$4:$K$28,'Change Order Log'!$E$4:$E$28,A22,'Change Order Log'!$M$4:$M$28,"Approved")</f>
        <v/>
      </c>
      <c r="H22" s="21">
        <f>SUMIFS('Change Order Log'!$L$4:$L$28,'Change Order Log'!$E$4:$E$28,A22,'Change Order Log'!$M$4:$M$28,"Approved")</f>
        <v/>
      </c>
    </row>
    <row r="23" ht="22" customHeight="1">
      <c r="A23" s="20" t="inlineStr">
        <is>
          <t>27</t>
        </is>
      </c>
      <c r="B23" s="9" t="inlineStr">
        <is>
          <t>Communications</t>
        </is>
      </c>
      <c r="C23" s="21">
        <f>COUNTIF('Change Order Log'!$E$4:$E$28,A23)</f>
        <v/>
      </c>
      <c r="D23" s="10">
        <f>SUMIFS('Change Order Log'!$K$4:$K$28,'Change Order Log'!$E$4:$E$28,A23,'Change Order Log'!$M$4:$M$28,"Approved")</f>
        <v/>
      </c>
      <c r="E23" s="10">
        <f>SUMIFS('Change Order Log'!$K$4:$K$28,'Change Order Log'!$E$4:$E$28,A23,'Change Order Log'!$M$4:$M$28,"Pending")+SUMIFS('Change Order Log'!$K$4:$K$28,'Change Order Log'!$E$4:$E$28,A23,'Change Order Log'!$M$4:$M$28,"Submitted")</f>
        <v/>
      </c>
      <c r="F23" s="10">
        <f>SUMIFS('Change Order Log'!$K$4:$K$28,'Change Order Log'!$E$4:$E$28,A23,'Change Order Log'!$M$4:$M$28,"Rejected")</f>
        <v/>
      </c>
      <c r="G23" s="10">
        <f>SUMIFS('Change Order Log'!$K$4:$K$28,'Change Order Log'!$E$4:$E$28,A23,'Change Order Log'!$M$4:$M$28,"Approved")</f>
        <v/>
      </c>
      <c r="H23" s="21">
        <f>SUMIFS('Change Order Log'!$L$4:$L$28,'Change Order Log'!$E$4:$E$28,A23,'Change Order Log'!$M$4:$M$28,"Approved")</f>
        <v/>
      </c>
    </row>
    <row r="24" ht="22" customHeight="1">
      <c r="A24" s="20" t="inlineStr">
        <is>
          <t>28</t>
        </is>
      </c>
      <c r="B24" s="9" t="inlineStr">
        <is>
          <t>Electronic Safety and Security</t>
        </is>
      </c>
      <c r="C24" s="21">
        <f>COUNTIF('Change Order Log'!$E$4:$E$28,A24)</f>
        <v/>
      </c>
      <c r="D24" s="10">
        <f>SUMIFS('Change Order Log'!$K$4:$K$28,'Change Order Log'!$E$4:$E$28,A24,'Change Order Log'!$M$4:$M$28,"Approved")</f>
        <v/>
      </c>
      <c r="E24" s="10">
        <f>SUMIFS('Change Order Log'!$K$4:$K$28,'Change Order Log'!$E$4:$E$28,A24,'Change Order Log'!$M$4:$M$28,"Pending")+SUMIFS('Change Order Log'!$K$4:$K$28,'Change Order Log'!$E$4:$E$28,A24,'Change Order Log'!$M$4:$M$28,"Submitted")</f>
        <v/>
      </c>
      <c r="F24" s="10">
        <f>SUMIFS('Change Order Log'!$K$4:$K$28,'Change Order Log'!$E$4:$E$28,A24,'Change Order Log'!$M$4:$M$28,"Rejected")</f>
        <v/>
      </c>
      <c r="G24" s="10">
        <f>SUMIFS('Change Order Log'!$K$4:$K$28,'Change Order Log'!$E$4:$E$28,A24,'Change Order Log'!$M$4:$M$28,"Approved")</f>
        <v/>
      </c>
      <c r="H24" s="21">
        <f>SUMIFS('Change Order Log'!$L$4:$L$28,'Change Order Log'!$E$4:$E$28,A24,'Change Order Log'!$M$4:$M$28,"Approved")</f>
        <v/>
      </c>
    </row>
    <row r="25" ht="22" customHeight="1">
      <c r="A25" s="20" t="inlineStr">
        <is>
          <t>31</t>
        </is>
      </c>
      <c r="B25" s="9" t="inlineStr">
        <is>
          <t>Earthwork</t>
        </is>
      </c>
      <c r="C25" s="21">
        <f>COUNTIF('Change Order Log'!$E$4:$E$28,A25)</f>
        <v/>
      </c>
      <c r="D25" s="10">
        <f>SUMIFS('Change Order Log'!$K$4:$K$28,'Change Order Log'!$E$4:$E$28,A25,'Change Order Log'!$M$4:$M$28,"Approved")</f>
        <v/>
      </c>
      <c r="E25" s="10">
        <f>SUMIFS('Change Order Log'!$K$4:$K$28,'Change Order Log'!$E$4:$E$28,A25,'Change Order Log'!$M$4:$M$28,"Pending")+SUMIFS('Change Order Log'!$K$4:$K$28,'Change Order Log'!$E$4:$E$28,A25,'Change Order Log'!$M$4:$M$28,"Submitted")</f>
        <v/>
      </c>
      <c r="F25" s="10">
        <f>SUMIFS('Change Order Log'!$K$4:$K$28,'Change Order Log'!$E$4:$E$28,A25,'Change Order Log'!$M$4:$M$28,"Rejected")</f>
        <v/>
      </c>
      <c r="G25" s="10">
        <f>SUMIFS('Change Order Log'!$K$4:$K$28,'Change Order Log'!$E$4:$E$28,A25,'Change Order Log'!$M$4:$M$28,"Approved")</f>
        <v/>
      </c>
      <c r="H25" s="21">
        <f>SUMIFS('Change Order Log'!$L$4:$L$28,'Change Order Log'!$E$4:$E$28,A25,'Change Order Log'!$M$4:$M$28,"Approved")</f>
        <v/>
      </c>
    </row>
    <row r="26" ht="22" customHeight="1">
      <c r="A26" s="20" t="inlineStr">
        <is>
          <t>32</t>
        </is>
      </c>
      <c r="B26" s="9" t="inlineStr">
        <is>
          <t>Exterior Improvements</t>
        </is>
      </c>
      <c r="C26" s="21">
        <f>COUNTIF('Change Order Log'!$E$4:$E$28,A26)</f>
        <v/>
      </c>
      <c r="D26" s="10">
        <f>SUMIFS('Change Order Log'!$K$4:$K$28,'Change Order Log'!$E$4:$E$28,A26,'Change Order Log'!$M$4:$M$28,"Approved")</f>
        <v/>
      </c>
      <c r="E26" s="10">
        <f>SUMIFS('Change Order Log'!$K$4:$K$28,'Change Order Log'!$E$4:$E$28,A26,'Change Order Log'!$M$4:$M$28,"Pending")+SUMIFS('Change Order Log'!$K$4:$K$28,'Change Order Log'!$E$4:$E$28,A26,'Change Order Log'!$M$4:$M$28,"Submitted")</f>
        <v/>
      </c>
      <c r="F26" s="10">
        <f>SUMIFS('Change Order Log'!$K$4:$K$28,'Change Order Log'!$E$4:$E$28,A26,'Change Order Log'!$M$4:$M$28,"Rejected")</f>
        <v/>
      </c>
      <c r="G26" s="10">
        <f>SUMIFS('Change Order Log'!$K$4:$K$28,'Change Order Log'!$E$4:$E$28,A26,'Change Order Log'!$M$4:$M$28,"Approved")</f>
        <v/>
      </c>
      <c r="H26" s="21">
        <f>SUMIFS('Change Order Log'!$L$4:$L$28,'Change Order Log'!$E$4:$E$28,A26,'Change Order Log'!$M$4:$M$28,"Approved")</f>
        <v/>
      </c>
    </row>
    <row r="27" ht="22" customHeight="1">
      <c r="A27" s="20" t="inlineStr">
        <is>
          <t>33</t>
        </is>
      </c>
      <c r="B27" s="9" t="inlineStr">
        <is>
          <t>Utilities</t>
        </is>
      </c>
      <c r="C27" s="21">
        <f>COUNTIF('Change Order Log'!$E$4:$E$28,A27)</f>
        <v/>
      </c>
      <c r="D27" s="10">
        <f>SUMIFS('Change Order Log'!$K$4:$K$28,'Change Order Log'!$E$4:$E$28,A27,'Change Order Log'!$M$4:$M$28,"Approved")</f>
        <v/>
      </c>
      <c r="E27" s="10">
        <f>SUMIFS('Change Order Log'!$K$4:$K$28,'Change Order Log'!$E$4:$E$28,A27,'Change Order Log'!$M$4:$M$28,"Pending")+SUMIFS('Change Order Log'!$K$4:$K$28,'Change Order Log'!$E$4:$E$28,A27,'Change Order Log'!$M$4:$M$28,"Submitted")</f>
        <v/>
      </c>
      <c r="F27" s="10">
        <f>SUMIFS('Change Order Log'!$K$4:$K$28,'Change Order Log'!$E$4:$E$28,A27,'Change Order Log'!$M$4:$M$28,"Rejected")</f>
        <v/>
      </c>
      <c r="G27" s="10">
        <f>SUMIFS('Change Order Log'!$K$4:$K$28,'Change Order Log'!$E$4:$E$28,A27,'Change Order Log'!$M$4:$M$28,"Approved")</f>
        <v/>
      </c>
      <c r="H27" s="21">
        <f>SUMIFS('Change Order Log'!$L$4:$L$28,'Change Order Log'!$E$4:$E$28,A27,'Change Order Log'!$M$4:$M$28,"Approved")</f>
        <v/>
      </c>
    </row>
    <row r="28" ht="22" customHeight="1">
      <c r="A28" s="20" t="inlineStr">
        <is>
          <t>34</t>
        </is>
      </c>
      <c r="B28" s="9" t="inlineStr">
        <is>
          <t>Transportation</t>
        </is>
      </c>
      <c r="C28" s="21">
        <f>COUNTIF('Change Order Log'!$E$4:$E$28,A28)</f>
        <v/>
      </c>
      <c r="D28" s="10">
        <f>SUMIFS('Change Order Log'!$K$4:$K$28,'Change Order Log'!$E$4:$E$28,A28,'Change Order Log'!$M$4:$M$28,"Approved")</f>
        <v/>
      </c>
      <c r="E28" s="10">
        <f>SUMIFS('Change Order Log'!$K$4:$K$28,'Change Order Log'!$E$4:$E$28,A28,'Change Order Log'!$M$4:$M$28,"Pending")+SUMIFS('Change Order Log'!$K$4:$K$28,'Change Order Log'!$E$4:$E$28,A28,'Change Order Log'!$M$4:$M$28,"Submitted")</f>
        <v/>
      </c>
      <c r="F28" s="10">
        <f>SUMIFS('Change Order Log'!$K$4:$K$28,'Change Order Log'!$E$4:$E$28,A28,'Change Order Log'!$M$4:$M$28,"Rejected")</f>
        <v/>
      </c>
      <c r="G28" s="10">
        <f>SUMIFS('Change Order Log'!$K$4:$K$28,'Change Order Log'!$E$4:$E$28,A28,'Change Order Log'!$M$4:$M$28,"Approved")</f>
        <v/>
      </c>
      <c r="H28" s="21">
        <f>SUMIFS('Change Order Log'!$L$4:$L$28,'Change Order Log'!$E$4:$E$28,A28,'Change Order Log'!$M$4:$M$28,"Approved")</f>
        <v/>
      </c>
    </row>
    <row r="29" ht="22" customHeight="1">
      <c r="A29" s="20" t="inlineStr">
        <is>
          <t>35</t>
        </is>
      </c>
      <c r="B29" s="9" t="inlineStr">
        <is>
          <t>Waterway and Marine Construction</t>
        </is>
      </c>
      <c r="C29" s="21">
        <f>COUNTIF('Change Order Log'!$E$4:$E$28,A29)</f>
        <v/>
      </c>
      <c r="D29" s="10">
        <f>SUMIFS('Change Order Log'!$K$4:$K$28,'Change Order Log'!$E$4:$E$28,A29,'Change Order Log'!$M$4:$M$28,"Approved")</f>
        <v/>
      </c>
      <c r="E29" s="10">
        <f>SUMIFS('Change Order Log'!$K$4:$K$28,'Change Order Log'!$E$4:$E$28,A29,'Change Order Log'!$M$4:$M$28,"Pending")+SUMIFS('Change Order Log'!$K$4:$K$28,'Change Order Log'!$E$4:$E$28,A29,'Change Order Log'!$M$4:$M$28,"Submitted")</f>
        <v/>
      </c>
      <c r="F29" s="10">
        <f>SUMIFS('Change Order Log'!$K$4:$K$28,'Change Order Log'!$E$4:$E$28,A29,'Change Order Log'!$M$4:$M$28,"Rejected")</f>
        <v/>
      </c>
      <c r="G29" s="10">
        <f>SUMIFS('Change Order Log'!$K$4:$K$28,'Change Order Log'!$E$4:$E$28,A29,'Change Order Log'!$M$4:$M$28,"Approved")</f>
        <v/>
      </c>
      <c r="H29" s="21">
        <f>SUMIFS('Change Order Log'!$L$4:$L$28,'Change Order Log'!$E$4:$E$28,A29,'Change Order Log'!$M$4:$M$28,"Approved")</f>
        <v/>
      </c>
    </row>
    <row r="30" ht="22" customHeight="1">
      <c r="A30" s="20" t="inlineStr">
        <is>
          <t>40</t>
        </is>
      </c>
      <c r="B30" s="9" t="inlineStr">
        <is>
          <t>Process Interconnections</t>
        </is>
      </c>
      <c r="C30" s="21">
        <f>COUNTIF('Change Order Log'!$E$4:$E$28,A30)</f>
        <v/>
      </c>
      <c r="D30" s="10">
        <f>SUMIFS('Change Order Log'!$K$4:$K$28,'Change Order Log'!$E$4:$E$28,A30,'Change Order Log'!$M$4:$M$28,"Approved")</f>
        <v/>
      </c>
      <c r="E30" s="10">
        <f>SUMIFS('Change Order Log'!$K$4:$K$28,'Change Order Log'!$E$4:$E$28,A30,'Change Order Log'!$M$4:$M$28,"Pending")+SUMIFS('Change Order Log'!$K$4:$K$28,'Change Order Log'!$E$4:$E$28,A30,'Change Order Log'!$M$4:$M$28,"Submitted")</f>
        <v/>
      </c>
      <c r="F30" s="10">
        <f>SUMIFS('Change Order Log'!$K$4:$K$28,'Change Order Log'!$E$4:$E$28,A30,'Change Order Log'!$M$4:$M$28,"Rejected")</f>
        <v/>
      </c>
      <c r="G30" s="10">
        <f>SUMIFS('Change Order Log'!$K$4:$K$28,'Change Order Log'!$E$4:$E$28,A30,'Change Order Log'!$M$4:$M$28,"Approved")</f>
        <v/>
      </c>
      <c r="H30" s="21">
        <f>SUMIFS('Change Order Log'!$L$4:$L$28,'Change Order Log'!$E$4:$E$28,A30,'Change Order Log'!$M$4:$M$28,"Approved")</f>
        <v/>
      </c>
    </row>
    <row r="31" ht="22" customHeight="1">
      <c r="A31" s="20" t="inlineStr">
        <is>
          <t>41</t>
        </is>
      </c>
      <c r="B31" s="9" t="inlineStr">
        <is>
          <t>Material Processing and Handling Equipment</t>
        </is>
      </c>
      <c r="C31" s="21">
        <f>COUNTIF('Change Order Log'!$E$4:$E$28,A31)</f>
        <v/>
      </c>
      <c r="D31" s="10">
        <f>SUMIFS('Change Order Log'!$K$4:$K$28,'Change Order Log'!$E$4:$E$28,A31,'Change Order Log'!$M$4:$M$28,"Approved")</f>
        <v/>
      </c>
      <c r="E31" s="10">
        <f>SUMIFS('Change Order Log'!$K$4:$K$28,'Change Order Log'!$E$4:$E$28,A31,'Change Order Log'!$M$4:$M$28,"Pending")+SUMIFS('Change Order Log'!$K$4:$K$28,'Change Order Log'!$E$4:$E$28,A31,'Change Order Log'!$M$4:$M$28,"Submitted")</f>
        <v/>
      </c>
      <c r="F31" s="10">
        <f>SUMIFS('Change Order Log'!$K$4:$K$28,'Change Order Log'!$E$4:$E$28,A31,'Change Order Log'!$M$4:$M$28,"Rejected")</f>
        <v/>
      </c>
      <c r="G31" s="10">
        <f>SUMIFS('Change Order Log'!$K$4:$K$28,'Change Order Log'!$E$4:$E$28,A31,'Change Order Log'!$M$4:$M$28,"Approved")</f>
        <v/>
      </c>
      <c r="H31" s="21">
        <f>SUMIFS('Change Order Log'!$L$4:$L$28,'Change Order Log'!$E$4:$E$28,A31,'Change Order Log'!$M$4:$M$28,"Approved")</f>
        <v/>
      </c>
    </row>
    <row r="32" ht="22" customHeight="1">
      <c r="A32" s="20" t="inlineStr">
        <is>
          <t>42</t>
        </is>
      </c>
      <c r="B32" s="9" t="inlineStr">
        <is>
          <t>Process Heating, Cooling, and Drying Equipment</t>
        </is>
      </c>
      <c r="C32" s="21">
        <f>COUNTIF('Change Order Log'!$E$4:$E$28,A32)</f>
        <v/>
      </c>
      <c r="D32" s="10">
        <f>SUMIFS('Change Order Log'!$K$4:$K$28,'Change Order Log'!$E$4:$E$28,A32,'Change Order Log'!$M$4:$M$28,"Approved")</f>
        <v/>
      </c>
      <c r="E32" s="10">
        <f>SUMIFS('Change Order Log'!$K$4:$K$28,'Change Order Log'!$E$4:$E$28,A32,'Change Order Log'!$M$4:$M$28,"Pending")+SUMIFS('Change Order Log'!$K$4:$K$28,'Change Order Log'!$E$4:$E$28,A32,'Change Order Log'!$M$4:$M$28,"Submitted")</f>
        <v/>
      </c>
      <c r="F32" s="10">
        <f>SUMIFS('Change Order Log'!$K$4:$K$28,'Change Order Log'!$E$4:$E$28,A32,'Change Order Log'!$M$4:$M$28,"Rejected")</f>
        <v/>
      </c>
      <c r="G32" s="10">
        <f>SUMIFS('Change Order Log'!$K$4:$K$28,'Change Order Log'!$E$4:$E$28,A32,'Change Order Log'!$M$4:$M$28,"Approved")</f>
        <v/>
      </c>
      <c r="H32" s="21">
        <f>SUMIFS('Change Order Log'!$L$4:$L$28,'Change Order Log'!$E$4:$E$28,A32,'Change Order Log'!$M$4:$M$28,"Approved")</f>
        <v/>
      </c>
    </row>
    <row r="33" ht="22" customHeight="1">
      <c r="A33" s="20" t="inlineStr">
        <is>
          <t>43</t>
        </is>
      </c>
      <c r="B33" s="9" t="inlineStr">
        <is>
          <t>Process Gas and Liquid Handling, Purification, and Storage Equipment</t>
        </is>
      </c>
      <c r="C33" s="21">
        <f>COUNTIF('Change Order Log'!$E$4:$E$28,A33)</f>
        <v/>
      </c>
      <c r="D33" s="10">
        <f>SUMIFS('Change Order Log'!$K$4:$K$28,'Change Order Log'!$E$4:$E$28,A33,'Change Order Log'!$M$4:$M$28,"Approved")</f>
        <v/>
      </c>
      <c r="E33" s="10">
        <f>SUMIFS('Change Order Log'!$K$4:$K$28,'Change Order Log'!$E$4:$E$28,A33,'Change Order Log'!$M$4:$M$28,"Pending")+SUMIFS('Change Order Log'!$K$4:$K$28,'Change Order Log'!$E$4:$E$28,A33,'Change Order Log'!$M$4:$M$28,"Submitted")</f>
        <v/>
      </c>
      <c r="F33" s="10">
        <f>SUMIFS('Change Order Log'!$K$4:$K$28,'Change Order Log'!$E$4:$E$28,A33,'Change Order Log'!$M$4:$M$28,"Rejected")</f>
        <v/>
      </c>
      <c r="G33" s="10">
        <f>SUMIFS('Change Order Log'!$K$4:$K$28,'Change Order Log'!$E$4:$E$28,A33,'Change Order Log'!$M$4:$M$28,"Approved")</f>
        <v/>
      </c>
      <c r="H33" s="21">
        <f>SUMIFS('Change Order Log'!$L$4:$L$28,'Change Order Log'!$E$4:$E$28,A33,'Change Order Log'!$M$4:$M$28,"Approved")</f>
        <v/>
      </c>
    </row>
    <row r="34" ht="22" customHeight="1">
      <c r="A34" s="20" t="inlineStr">
        <is>
          <t>44</t>
        </is>
      </c>
      <c r="B34" s="9" t="inlineStr">
        <is>
          <t>Pollution and Waste Control Equipment</t>
        </is>
      </c>
      <c r="C34" s="21">
        <f>COUNTIF('Change Order Log'!$E$4:$E$28,A34)</f>
        <v/>
      </c>
      <c r="D34" s="10">
        <f>SUMIFS('Change Order Log'!$K$4:$K$28,'Change Order Log'!$E$4:$E$28,A34,'Change Order Log'!$M$4:$M$28,"Approved")</f>
        <v/>
      </c>
      <c r="E34" s="10">
        <f>SUMIFS('Change Order Log'!$K$4:$K$28,'Change Order Log'!$E$4:$E$28,A34,'Change Order Log'!$M$4:$M$28,"Pending")+SUMIFS('Change Order Log'!$K$4:$K$28,'Change Order Log'!$E$4:$E$28,A34,'Change Order Log'!$M$4:$M$28,"Submitted")</f>
        <v/>
      </c>
      <c r="F34" s="10">
        <f>SUMIFS('Change Order Log'!$K$4:$K$28,'Change Order Log'!$E$4:$E$28,A34,'Change Order Log'!$M$4:$M$28,"Rejected")</f>
        <v/>
      </c>
      <c r="G34" s="10">
        <f>SUMIFS('Change Order Log'!$K$4:$K$28,'Change Order Log'!$E$4:$E$28,A34,'Change Order Log'!$M$4:$M$28,"Approved")</f>
        <v/>
      </c>
      <c r="H34" s="21">
        <f>SUMIFS('Change Order Log'!$L$4:$L$28,'Change Order Log'!$E$4:$E$28,A34,'Change Order Log'!$M$4:$M$28,"Approved")</f>
        <v/>
      </c>
    </row>
    <row r="35" ht="22" customHeight="1">
      <c r="A35" s="20" t="inlineStr">
        <is>
          <t>45</t>
        </is>
      </c>
      <c r="B35" s="9" t="inlineStr">
        <is>
          <t>Industry-Specific Manufacturing Equipment</t>
        </is>
      </c>
      <c r="C35" s="21">
        <f>COUNTIF('Change Order Log'!$E$4:$E$28,A35)</f>
        <v/>
      </c>
      <c r="D35" s="10">
        <f>SUMIFS('Change Order Log'!$K$4:$K$28,'Change Order Log'!$E$4:$E$28,A35,'Change Order Log'!$M$4:$M$28,"Approved")</f>
        <v/>
      </c>
      <c r="E35" s="10">
        <f>SUMIFS('Change Order Log'!$K$4:$K$28,'Change Order Log'!$E$4:$E$28,A35,'Change Order Log'!$M$4:$M$28,"Pending")+SUMIFS('Change Order Log'!$K$4:$K$28,'Change Order Log'!$E$4:$E$28,A35,'Change Order Log'!$M$4:$M$28,"Submitted")</f>
        <v/>
      </c>
      <c r="F35" s="10">
        <f>SUMIFS('Change Order Log'!$K$4:$K$28,'Change Order Log'!$E$4:$E$28,A35,'Change Order Log'!$M$4:$M$28,"Rejected")</f>
        <v/>
      </c>
      <c r="G35" s="10">
        <f>SUMIFS('Change Order Log'!$K$4:$K$28,'Change Order Log'!$E$4:$E$28,A35,'Change Order Log'!$M$4:$M$28,"Approved")</f>
        <v/>
      </c>
      <c r="H35" s="21">
        <f>SUMIFS('Change Order Log'!$L$4:$L$28,'Change Order Log'!$E$4:$E$28,A35,'Change Order Log'!$M$4:$M$28,"Approved")</f>
        <v/>
      </c>
    </row>
    <row r="36" ht="22" customHeight="1">
      <c r="A36" s="20" t="inlineStr">
        <is>
          <t>46</t>
        </is>
      </c>
      <c r="B36" s="9" t="inlineStr">
        <is>
          <t>Water and Wastewater Equipment</t>
        </is>
      </c>
      <c r="C36" s="21">
        <f>COUNTIF('Change Order Log'!$E$4:$E$28,A36)</f>
        <v/>
      </c>
      <c r="D36" s="10">
        <f>SUMIFS('Change Order Log'!$K$4:$K$28,'Change Order Log'!$E$4:$E$28,A36,'Change Order Log'!$M$4:$M$28,"Approved")</f>
        <v/>
      </c>
      <c r="E36" s="10">
        <f>SUMIFS('Change Order Log'!$K$4:$K$28,'Change Order Log'!$E$4:$E$28,A36,'Change Order Log'!$M$4:$M$28,"Pending")+SUMIFS('Change Order Log'!$K$4:$K$28,'Change Order Log'!$E$4:$E$28,A36,'Change Order Log'!$M$4:$M$28,"Submitted")</f>
        <v/>
      </c>
      <c r="F36" s="10">
        <f>SUMIFS('Change Order Log'!$K$4:$K$28,'Change Order Log'!$E$4:$E$28,A36,'Change Order Log'!$M$4:$M$28,"Rejected")</f>
        <v/>
      </c>
      <c r="G36" s="10">
        <f>SUMIFS('Change Order Log'!$K$4:$K$28,'Change Order Log'!$E$4:$E$28,A36,'Change Order Log'!$M$4:$M$28,"Approved")</f>
        <v/>
      </c>
      <c r="H36" s="21">
        <f>SUMIFS('Change Order Log'!$L$4:$L$28,'Change Order Log'!$E$4:$E$28,A36,'Change Order Log'!$M$4:$M$28,"Approved")</f>
        <v/>
      </c>
    </row>
    <row r="37" ht="22" customHeight="1">
      <c r="A37" s="20" t="inlineStr">
        <is>
          <t>48</t>
        </is>
      </c>
      <c r="B37" s="9" t="inlineStr">
        <is>
          <t>Electrical Power Generation</t>
        </is>
      </c>
      <c r="C37" s="21">
        <f>COUNTIF('Change Order Log'!$E$4:$E$28,A37)</f>
        <v/>
      </c>
      <c r="D37" s="10">
        <f>SUMIFS('Change Order Log'!$K$4:$K$28,'Change Order Log'!$E$4:$E$28,A37,'Change Order Log'!$M$4:$M$28,"Approved")</f>
        <v/>
      </c>
      <c r="E37" s="10">
        <f>SUMIFS('Change Order Log'!$K$4:$K$28,'Change Order Log'!$E$4:$E$28,A37,'Change Order Log'!$M$4:$M$28,"Pending")+SUMIFS('Change Order Log'!$K$4:$K$28,'Change Order Log'!$E$4:$E$28,A37,'Change Order Log'!$M$4:$M$28,"Submitted")</f>
        <v/>
      </c>
      <c r="F37" s="10">
        <f>SUMIFS('Change Order Log'!$K$4:$K$28,'Change Order Log'!$E$4:$E$28,A37,'Change Order Log'!$M$4:$M$28,"Rejected")</f>
        <v/>
      </c>
      <c r="G37" s="10">
        <f>SUMIFS('Change Order Log'!$K$4:$K$28,'Change Order Log'!$E$4:$E$28,A37,'Change Order Log'!$M$4:$M$28,"Approved")</f>
        <v/>
      </c>
      <c r="H37" s="21">
        <f>SUMIFS('Change Order Log'!$L$4:$L$28,'Change Order Log'!$E$4:$E$28,A37,'Change Order Log'!$M$4:$M$28,"Approved")</f>
        <v/>
      </c>
    </row>
    <row r="38" ht="22" customHeight="1">
      <c r="A38" s="20" t="inlineStr">
        <is>
          <t>49</t>
        </is>
      </c>
      <c r="B38" s="9" t="inlineStr">
        <is>
          <t>Reserved</t>
        </is>
      </c>
      <c r="C38" s="21">
        <f>COUNTIF('Change Order Log'!$E$4:$E$28,A38)</f>
        <v/>
      </c>
      <c r="D38" s="10">
        <f>SUMIFS('Change Order Log'!$K$4:$K$28,'Change Order Log'!$E$4:$E$28,A38,'Change Order Log'!$M$4:$M$28,"Approved")</f>
        <v/>
      </c>
      <c r="E38" s="10">
        <f>SUMIFS('Change Order Log'!$K$4:$K$28,'Change Order Log'!$E$4:$E$28,A38,'Change Order Log'!$M$4:$M$28,"Pending")+SUMIFS('Change Order Log'!$K$4:$K$28,'Change Order Log'!$E$4:$E$28,A38,'Change Order Log'!$M$4:$M$28,"Submitted")</f>
        <v/>
      </c>
      <c r="F38" s="10">
        <f>SUMIFS('Change Order Log'!$K$4:$K$28,'Change Order Log'!$E$4:$E$28,A38,'Change Order Log'!$M$4:$M$28,"Rejected")</f>
        <v/>
      </c>
      <c r="G38" s="10">
        <f>SUMIFS('Change Order Log'!$K$4:$K$28,'Change Order Log'!$E$4:$E$28,A38,'Change Order Log'!$M$4:$M$28,"Approved")</f>
        <v/>
      </c>
      <c r="H38" s="21">
        <f>SUMIFS('Change Order Log'!$L$4:$L$28,'Change Order Log'!$E$4:$E$28,A38,'Change Order Log'!$M$4:$M$28,"Approved")</f>
        <v/>
      </c>
    </row>
    <row r="40">
      <c r="B40" s="17" t="inlineStr">
        <is>
          <t>TOTALS</t>
        </is>
      </c>
      <c r="C40" s="19">
        <f>SUM(C4:C38)</f>
        <v/>
      </c>
      <c r="D40" s="18">
        <f>SUM(D4:D38)</f>
        <v/>
      </c>
      <c r="E40" s="18">
        <f>SUM(E4:E38)</f>
        <v/>
      </c>
      <c r="F40" s="18">
        <f>SUM(F4:F38)</f>
        <v/>
      </c>
      <c r="G40" s="18">
        <f>SUM(G4:G38)</f>
        <v/>
      </c>
      <c r="H40" s="19">
        <f>SUM(H4:H38)</f>
        <v/>
      </c>
    </row>
  </sheetData>
  <mergeCells count="1">
    <mergeCell ref="A1:H1"/>
  </mergeCells>
  <conditionalFormatting sqref="D4:D38">
    <cfRule type="cellIs" priority="1" operator="greaterThan" dxfId="0">
      <formula>0</formula>
    </cfRule>
  </conditionalFormatting>
  <conditionalFormatting sqref="E4:E38">
    <cfRule type="cellIs" priority="2" operator="greaterThan" dxfId="2">
      <formula>0</formula>
    </cfRule>
  </conditionalFormatting>
  <conditionalFormatting sqref="F4:F38">
    <cfRule type="cellIs" priority="3" operator="greaterThan" dxfId="1">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22" customWidth="1" min="1" max="1"/>
    <col width="12" customWidth="1" min="2" max="2"/>
    <col width="14" customWidth="1" min="3" max="3"/>
    <col width="18" customWidth="1" min="4" max="4"/>
    <col width="14" customWidth="1" min="5" max="5"/>
    <col width="10" customWidth="1" min="6" max="6"/>
  </cols>
  <sheetData>
    <row r="1" ht="32" customHeight="1">
      <c r="A1" s="1" t="inlineStr">
        <is>
          <t>Change Order Dashboard</t>
        </is>
      </c>
    </row>
    <row r="2">
      <c r="A2" s="5" t="inlineStr">
        <is>
          <t>Auto-calculated from Project Info and Change Order Log. Update those tabs - this one stays in sync.</t>
        </is>
      </c>
    </row>
    <row r="4" ht="26" customHeight="1">
      <c r="A4" s="22" t="inlineStr">
        <is>
          <t>Contract Impact</t>
        </is>
      </c>
    </row>
    <row r="5" ht="28" customHeight="1">
      <c r="A5" s="23" t="inlineStr">
        <is>
          <t>Original Contract Amount</t>
        </is>
      </c>
      <c r="B5" s="24" t="n"/>
      <c r="C5" s="25" t="n"/>
      <c r="D5" s="26">
        <f>'Project Info'!D4</f>
        <v/>
      </c>
      <c r="E5" s="24" t="n"/>
      <c r="F5" s="25" t="n"/>
    </row>
    <row r="6" ht="28" customHeight="1">
      <c r="A6" s="23" t="inlineStr">
        <is>
          <t>Total Approved CO Amount</t>
        </is>
      </c>
      <c r="B6" s="24" t="n"/>
      <c r="C6" s="25" t="n"/>
      <c r="D6" s="26">
        <f>SUMIF('Change Order Log'!$M$4:$M$28,"Approved",'Change Order Log'!$K$4:$K$28)</f>
        <v/>
      </c>
      <c r="E6" s="24" t="n"/>
      <c r="F6" s="25" t="n"/>
    </row>
    <row r="7" ht="28" customHeight="1">
      <c r="A7" s="23" t="inlineStr">
        <is>
          <t>Total Pending CO Amount</t>
        </is>
      </c>
      <c r="B7" s="24" t="n"/>
      <c r="C7" s="25" t="n"/>
      <c r="D7" s="26">
        <f>SUMIF('Change Order Log'!$M$4:$M$28,"Pending",'Change Order Log'!$K$4:$K$28)+SUMIF('Change Order Log'!$M$4:$M$28,"Submitted",'Change Order Log'!$K$4:$K$28)</f>
        <v/>
      </c>
      <c r="E7" s="24" t="n"/>
      <c r="F7" s="25" t="n"/>
    </row>
    <row r="8" ht="28" customHeight="1">
      <c r="A8" s="23" t="inlineStr">
        <is>
          <t>Total Rejected CO Amount</t>
        </is>
      </c>
      <c r="B8" s="24" t="n"/>
      <c r="C8" s="25" t="n"/>
      <c r="D8" s="26">
        <f>SUMIF('Change Order Log'!$M$4:$M$28,"Rejected",'Change Order Log'!$K$4:$K$28)</f>
        <v/>
      </c>
      <c r="E8" s="24" t="n"/>
      <c r="F8" s="25" t="n"/>
    </row>
    <row r="9" ht="28" customHeight="1">
      <c r="A9" s="23" t="inlineStr">
        <is>
          <t>Adjusted Contract Amount (Original + Approved)</t>
        </is>
      </c>
      <c r="B9" s="24" t="n"/>
      <c r="C9" s="25" t="n"/>
      <c r="D9" s="26">
        <f>'Project Info'!D4+SUMIF('Change Order Log'!$M$4:$M$28,"Approved",'Change Order Log'!$K$4:$K$28)</f>
        <v/>
      </c>
      <c r="E9" s="24" t="n"/>
      <c r="F9" s="25" t="n"/>
    </row>
    <row r="10" ht="28" customHeight="1">
      <c r="A10" s="23" t="inlineStr">
        <is>
          <t>Approved CO % of Original Contract</t>
        </is>
      </c>
      <c r="B10" s="24" t="n"/>
      <c r="C10" s="25" t="n"/>
      <c r="D10" s="27">
        <f>IFERROR(SUMIF('Change Order Log'!$M$4:$M$28,"Approved",'Change Order Log'!$K$4:$K$28)/'Project Info'!D4,0)</f>
        <v/>
      </c>
      <c r="E10" s="24" t="n"/>
      <c r="F10" s="25" t="n"/>
    </row>
    <row r="11" ht="28" customHeight="1">
      <c r="A11" s="23" t="inlineStr">
        <is>
          <t>Total Schedule Impact - Approved (days)</t>
        </is>
      </c>
      <c r="B11" s="24" t="n"/>
      <c r="C11" s="25" t="n"/>
      <c r="D11" s="28">
        <f>SUMIF('Change Order Log'!$M$4:$M$28,"Approved",'Change Order Log'!$L$4:$L$28)</f>
        <v/>
      </c>
      <c r="E11" s="24" t="n"/>
      <c r="F11" s="25" t="n"/>
    </row>
    <row r="14" ht="26" customHeight="1">
      <c r="A14" s="22" t="inlineStr">
        <is>
          <t>CO Counts by Status</t>
        </is>
      </c>
    </row>
    <row r="15" ht="28" customHeight="1">
      <c r="A15" s="6" t="inlineStr">
        <is>
          <t>Status</t>
        </is>
      </c>
      <c r="B15" s="6" t="inlineStr">
        <is>
          <t>Count</t>
        </is>
      </c>
      <c r="C15" s="6" t="inlineStr">
        <is>
          <t>Amount</t>
        </is>
      </c>
      <c r="D15" s="6" t="inlineStr">
        <is>
          <t>% of Total CO $</t>
        </is>
      </c>
      <c r="E15" s="24" t="n"/>
      <c r="F15" s="25" t="n"/>
    </row>
    <row r="16" ht="24" customHeight="1">
      <c r="A16" s="29" t="inlineStr">
        <is>
          <t>Approved</t>
        </is>
      </c>
      <c r="B16" s="25" t="n"/>
      <c r="C16" s="30">
        <f>COUNTIF('Change Order Log'!$M$4:$M$28,"Approved")</f>
        <v/>
      </c>
      <c r="D16" s="31">
        <f>SUMIF('Change Order Log'!$M$4:$M$28,"Approved",'Change Order Log'!$K$4:$K$28)</f>
        <v/>
      </c>
      <c r="E16" s="32">
        <f>IFERROR(SUMIF('Change Order Log'!$M$4:$M$28,"Approved",'Change Order Log'!$K$4:$K$28)/SUMIF('Change Order Log'!$M$4:$M$28,"&lt;&gt;",'Change Order Log'!$K$4:$K$28),0)</f>
        <v/>
      </c>
      <c r="F16" s="25" t="n"/>
    </row>
    <row r="17" ht="24" customHeight="1">
      <c r="A17" s="33" t="inlineStr">
        <is>
          <t>Pending</t>
        </is>
      </c>
      <c r="B17" s="25" t="n"/>
      <c r="C17" s="30">
        <f>COUNTIF('Change Order Log'!$M$4:$M$28,"Pending")</f>
        <v/>
      </c>
      <c r="D17" s="31">
        <f>SUMIF('Change Order Log'!$M$4:$M$28,"Pending",'Change Order Log'!$K$4:$K$28)</f>
        <v/>
      </c>
      <c r="E17" s="32">
        <f>IFERROR(SUMIF('Change Order Log'!$M$4:$M$28,"Pending",'Change Order Log'!$K$4:$K$28)/SUMIF('Change Order Log'!$M$4:$M$28,"&lt;&gt;",'Change Order Log'!$K$4:$K$28),0)</f>
        <v/>
      </c>
      <c r="F17" s="25" t="n"/>
    </row>
    <row r="18" ht="24" customHeight="1">
      <c r="A18" s="33" t="inlineStr">
        <is>
          <t>Submitted</t>
        </is>
      </c>
      <c r="B18" s="25" t="n"/>
      <c r="C18" s="30">
        <f>COUNTIF('Change Order Log'!$M$4:$M$28,"Submitted")</f>
        <v/>
      </c>
      <c r="D18" s="31">
        <f>SUMIF('Change Order Log'!$M$4:$M$28,"Submitted",'Change Order Log'!$K$4:$K$28)</f>
        <v/>
      </c>
      <c r="E18" s="32">
        <f>IFERROR(SUMIF('Change Order Log'!$M$4:$M$28,"Submitted",'Change Order Log'!$K$4:$K$28)/SUMIF('Change Order Log'!$M$4:$M$28,"&lt;&gt;",'Change Order Log'!$K$4:$K$28),0)</f>
        <v/>
      </c>
      <c r="F18" s="25" t="n"/>
    </row>
    <row r="19" ht="24" customHeight="1">
      <c r="A19" s="34" t="inlineStr">
        <is>
          <t>Rejected</t>
        </is>
      </c>
      <c r="B19" s="25" t="n"/>
      <c r="C19" s="30">
        <f>COUNTIF('Change Order Log'!$M$4:$M$28,"Rejected")</f>
        <v/>
      </c>
      <c r="D19" s="31">
        <f>SUMIF('Change Order Log'!$M$4:$M$28,"Rejected",'Change Order Log'!$K$4:$K$28)</f>
        <v/>
      </c>
      <c r="E19" s="32">
        <f>IFERROR(SUMIF('Change Order Log'!$M$4:$M$28,"Rejected",'Change Order Log'!$K$4:$K$28)/SUMIF('Change Order Log'!$M$4:$M$28,"&lt;&gt;",'Change Order Log'!$K$4:$K$28),0)</f>
        <v/>
      </c>
      <c r="F19" s="25" t="n"/>
    </row>
    <row r="20" ht="24" customHeight="1">
      <c r="A20" s="34" t="inlineStr">
        <is>
          <t>Disputed</t>
        </is>
      </c>
      <c r="B20" s="25" t="n"/>
      <c r="C20" s="30">
        <f>COUNTIF('Change Order Log'!$M$4:$M$28,"Disputed")</f>
        <v/>
      </c>
      <c r="D20" s="31">
        <f>SUMIF('Change Order Log'!$M$4:$M$28,"Disputed",'Change Order Log'!$K$4:$K$28)</f>
        <v/>
      </c>
      <c r="E20" s="32">
        <f>IFERROR(SUMIF('Change Order Log'!$M$4:$M$28,"Disputed",'Change Order Log'!$K$4:$K$28)/SUMIF('Change Order Log'!$M$4:$M$28,"&lt;&gt;",'Change Order Log'!$K$4:$K$28),0)</f>
        <v/>
      </c>
      <c r="F20" s="25" t="n"/>
    </row>
    <row r="21" ht="24" customHeight="1">
      <c r="A21" s="35" t="inlineStr">
        <is>
          <t>Voided</t>
        </is>
      </c>
      <c r="B21" s="25" t="n"/>
      <c r="C21" s="30">
        <f>COUNTIF('Change Order Log'!$M$4:$M$28,"Voided")</f>
        <v/>
      </c>
      <c r="D21" s="31">
        <f>SUMIF('Change Order Log'!$M$4:$M$28,"Voided",'Change Order Log'!$K$4:$K$28)</f>
        <v/>
      </c>
      <c r="E21" s="32">
        <f>IFERROR(SUMIF('Change Order Log'!$M$4:$M$28,"Voided",'Change Order Log'!$K$4:$K$28)/SUMIF('Change Order Log'!$M$4:$M$28,"&lt;&gt;",'Change Order Log'!$K$4:$K$28),0)</f>
        <v/>
      </c>
      <c r="F21" s="25" t="n"/>
    </row>
    <row r="23">
      <c r="A23" s="23" t="inlineStr">
        <is>
          <t>ALL COs (any status)</t>
        </is>
      </c>
      <c r="B23" s="25" t="n"/>
      <c r="C23" s="36">
        <f>COUNTA('Change Order Log'!$A$4:$A$28)</f>
        <v/>
      </c>
      <c r="D23" s="37">
        <f>SUM('Change Order Log'!$K$4:$K$28)</f>
        <v/>
      </c>
      <c r="E23" s="38">
        <f>1</f>
        <v/>
      </c>
      <c r="F23" s="25" t="n"/>
    </row>
  </sheetData>
  <mergeCells count="34">
    <mergeCell ref="D11:F11"/>
    <mergeCell ref="E23:F23"/>
    <mergeCell ref="D7:F7"/>
    <mergeCell ref="E17:F17"/>
    <mergeCell ref="A2:F2"/>
    <mergeCell ref="A16:B16"/>
    <mergeCell ref="E20:F20"/>
    <mergeCell ref="A5:C5"/>
    <mergeCell ref="A14:F14"/>
    <mergeCell ref="A8:C8"/>
    <mergeCell ref="E19:F19"/>
    <mergeCell ref="C15"/>
    <mergeCell ref="D9:F9"/>
    <mergeCell ref="A4:F4"/>
    <mergeCell ref="A18:B18"/>
    <mergeCell ref="D8:F8"/>
    <mergeCell ref="D15:F15"/>
    <mergeCell ref="A10:C10"/>
    <mergeCell ref="A21:B21"/>
    <mergeCell ref="D5:F5"/>
    <mergeCell ref="A9:C9"/>
    <mergeCell ref="A17:B17"/>
    <mergeCell ref="A23:B23"/>
    <mergeCell ref="D10:F10"/>
    <mergeCell ref="A20:B20"/>
    <mergeCell ref="A11:C11"/>
    <mergeCell ref="E16:F16"/>
    <mergeCell ref="E18:F18"/>
    <mergeCell ref="A19:B19"/>
    <mergeCell ref="A1:F1"/>
    <mergeCell ref="A6:C6"/>
    <mergeCell ref="A7:C7"/>
    <mergeCell ref="D6:F6"/>
    <mergeCell ref="E21:F21"/>
  </mergeCells>
  <conditionalFormatting sqref="D10">
    <cfRule type="cellIs" priority="1" operator="greaterThan" dxfId="3" stopIfTrue="1">
      <formula>0.15</formula>
    </cfRule>
    <cfRule type="cellIs" priority="2" operator="greaterThan" dxfId="4" stopIfTrue="1">
      <formula>0.05</formula>
    </cfRule>
    <cfRule type="cellIs" priority="3" operator="lessThanOrEqual" dxfId="5" stopIfTrue="0">
      <formula>0.05</formula>
    </cfRule>
  </conditionalFormatting>
  <conditionalFormatting sqref="D11">
    <cfRule type="cellIs" priority="4" operator="greaterThan" dxfId="3" stopIfTrue="0">
      <formula>0</formula>
    </cfRule>
    <cfRule type="cellIs" priority="5" operator="lessThanOrEqual" dxfId="5" stopIfTrue="0">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14" customWidth="1" min="1" max="1"/>
    <col width="60" customWidth="1" min="2" max="2"/>
  </cols>
  <sheetData>
    <row r="1" ht="28" customHeight="1">
      <c r="A1" s="1" t="inlineStr">
        <is>
          <t>CSI MasterFormat Division Reference</t>
        </is>
      </c>
    </row>
    <row r="2">
      <c r="A2" s="5" t="inlineStr">
        <is>
          <t>Pulled from the same canonical list as ContrPro Job Costing. Do not edit.</t>
        </is>
      </c>
    </row>
    <row r="3" ht="28" customHeight="1">
      <c r="A3" s="6" t="inlineStr">
        <is>
          <t>CSI Division</t>
        </is>
      </c>
      <c r="B3" s="6" t="inlineStr">
        <is>
          <t>Division Name</t>
        </is>
      </c>
    </row>
    <row r="4">
      <c r="A4" s="39" t="inlineStr">
        <is>
          <t>01</t>
        </is>
      </c>
      <c r="B4" s="40" t="inlineStr">
        <is>
          <t>General Requirements</t>
        </is>
      </c>
    </row>
    <row r="5">
      <c r="A5" s="39" t="inlineStr">
        <is>
          <t>02</t>
        </is>
      </c>
      <c r="B5" s="40" t="inlineStr">
        <is>
          <t>Existing Conditions</t>
        </is>
      </c>
    </row>
    <row r="6">
      <c r="A6" s="39" t="inlineStr">
        <is>
          <t>03</t>
        </is>
      </c>
      <c r="B6" s="40" t="inlineStr">
        <is>
          <t>Concrete</t>
        </is>
      </c>
    </row>
    <row r="7">
      <c r="A7" s="39" t="inlineStr">
        <is>
          <t>04</t>
        </is>
      </c>
      <c r="B7" s="40" t="inlineStr">
        <is>
          <t>Masonry</t>
        </is>
      </c>
    </row>
    <row r="8">
      <c r="A8" s="39" t="inlineStr">
        <is>
          <t>05</t>
        </is>
      </c>
      <c r="B8" s="40" t="inlineStr">
        <is>
          <t>Metals</t>
        </is>
      </c>
    </row>
    <row r="9">
      <c r="A9" s="39" t="inlineStr">
        <is>
          <t>06</t>
        </is>
      </c>
      <c r="B9" s="40" t="inlineStr">
        <is>
          <t>Wood, Plastics, and Composites</t>
        </is>
      </c>
    </row>
    <row r="10">
      <c r="A10" s="39" t="inlineStr">
        <is>
          <t>07</t>
        </is>
      </c>
      <c r="B10" s="40" t="inlineStr">
        <is>
          <t>Thermal and Moisture Protection</t>
        </is>
      </c>
    </row>
    <row r="11">
      <c r="A11" s="39" t="inlineStr">
        <is>
          <t>08</t>
        </is>
      </c>
      <c r="B11" s="40" t="inlineStr">
        <is>
          <t>Openings</t>
        </is>
      </c>
    </row>
    <row r="12">
      <c r="A12" s="39" t="inlineStr">
        <is>
          <t>09</t>
        </is>
      </c>
      <c r="B12" s="40" t="inlineStr">
        <is>
          <t>Finishes</t>
        </is>
      </c>
    </row>
    <row r="13">
      <c r="A13" s="39" t="inlineStr">
        <is>
          <t>10</t>
        </is>
      </c>
      <c r="B13" s="40" t="inlineStr">
        <is>
          <t>Specialties</t>
        </is>
      </c>
    </row>
    <row r="14">
      <c r="A14" s="39" t="inlineStr">
        <is>
          <t>11</t>
        </is>
      </c>
      <c r="B14" s="40" t="inlineStr">
        <is>
          <t>Equipment</t>
        </is>
      </c>
    </row>
    <row r="15">
      <c r="A15" s="39" t="inlineStr">
        <is>
          <t>12</t>
        </is>
      </c>
      <c r="B15" s="40" t="inlineStr">
        <is>
          <t>Furnishings</t>
        </is>
      </c>
    </row>
    <row r="16">
      <c r="A16" s="39" t="inlineStr">
        <is>
          <t>13</t>
        </is>
      </c>
      <c r="B16" s="40" t="inlineStr">
        <is>
          <t>Special Construction</t>
        </is>
      </c>
    </row>
    <row r="17">
      <c r="A17" s="39" t="inlineStr">
        <is>
          <t>14</t>
        </is>
      </c>
      <c r="B17" s="40" t="inlineStr">
        <is>
          <t>Conveying Equipment</t>
        </is>
      </c>
    </row>
    <row r="18">
      <c r="A18" s="39" t="inlineStr">
        <is>
          <t>21</t>
        </is>
      </c>
      <c r="B18" s="40" t="inlineStr">
        <is>
          <t>Fire Suppression</t>
        </is>
      </c>
    </row>
    <row r="19">
      <c r="A19" s="39" t="inlineStr">
        <is>
          <t>22</t>
        </is>
      </c>
      <c r="B19" s="40" t="inlineStr">
        <is>
          <t>Plumbing</t>
        </is>
      </c>
    </row>
    <row r="20">
      <c r="A20" s="39" t="inlineStr">
        <is>
          <t>23</t>
        </is>
      </c>
      <c r="B20" s="40" t="inlineStr">
        <is>
          <t>HVAC</t>
        </is>
      </c>
    </row>
    <row r="21">
      <c r="A21" s="39" t="inlineStr">
        <is>
          <t>25</t>
        </is>
      </c>
      <c r="B21" s="40" t="inlineStr">
        <is>
          <t>Integrated Automation</t>
        </is>
      </c>
    </row>
    <row r="22">
      <c r="A22" s="39" t="inlineStr">
        <is>
          <t>26</t>
        </is>
      </c>
      <c r="B22" s="40" t="inlineStr">
        <is>
          <t>Electrical</t>
        </is>
      </c>
    </row>
    <row r="23">
      <c r="A23" s="39" t="inlineStr">
        <is>
          <t>27</t>
        </is>
      </c>
      <c r="B23" s="40" t="inlineStr">
        <is>
          <t>Communications</t>
        </is>
      </c>
    </row>
    <row r="24">
      <c r="A24" s="39" t="inlineStr">
        <is>
          <t>28</t>
        </is>
      </c>
      <c r="B24" s="40" t="inlineStr">
        <is>
          <t>Electronic Safety and Security</t>
        </is>
      </c>
    </row>
    <row r="25">
      <c r="A25" s="39" t="inlineStr">
        <is>
          <t>31</t>
        </is>
      </c>
      <c r="B25" s="40" t="inlineStr">
        <is>
          <t>Earthwork</t>
        </is>
      </c>
    </row>
    <row r="26">
      <c r="A26" s="39" t="inlineStr">
        <is>
          <t>32</t>
        </is>
      </c>
      <c r="B26" s="40" t="inlineStr">
        <is>
          <t>Exterior Improvements</t>
        </is>
      </c>
    </row>
    <row r="27">
      <c r="A27" s="39" t="inlineStr">
        <is>
          <t>33</t>
        </is>
      </c>
      <c r="B27" s="40" t="inlineStr">
        <is>
          <t>Utilities</t>
        </is>
      </c>
    </row>
    <row r="28">
      <c r="A28" s="39" t="inlineStr">
        <is>
          <t>34</t>
        </is>
      </c>
      <c r="B28" s="40" t="inlineStr">
        <is>
          <t>Transportation</t>
        </is>
      </c>
    </row>
    <row r="29">
      <c r="A29" s="39" t="inlineStr">
        <is>
          <t>35</t>
        </is>
      </c>
      <c r="B29" s="40" t="inlineStr">
        <is>
          <t>Waterway and Marine Construction</t>
        </is>
      </c>
    </row>
    <row r="30">
      <c r="A30" s="39" t="inlineStr">
        <is>
          <t>40</t>
        </is>
      </c>
      <c r="B30" s="40" t="inlineStr">
        <is>
          <t>Process Interconnections</t>
        </is>
      </c>
    </row>
    <row r="31">
      <c r="A31" s="39" t="inlineStr">
        <is>
          <t>41</t>
        </is>
      </c>
      <c r="B31" s="40" t="inlineStr">
        <is>
          <t>Material Processing and Handling Equipment</t>
        </is>
      </c>
    </row>
    <row r="32">
      <c r="A32" s="39" t="inlineStr">
        <is>
          <t>42</t>
        </is>
      </c>
      <c r="B32" s="40" t="inlineStr">
        <is>
          <t>Process Heating, Cooling, and Drying Equipment</t>
        </is>
      </c>
    </row>
    <row r="33">
      <c r="A33" s="39" t="inlineStr">
        <is>
          <t>43</t>
        </is>
      </c>
      <c r="B33" s="40" t="inlineStr">
        <is>
          <t>Process Gas and Liquid Handling, Purification, and Storage Equipment</t>
        </is>
      </c>
    </row>
    <row r="34">
      <c r="A34" s="39" t="inlineStr">
        <is>
          <t>44</t>
        </is>
      </c>
      <c r="B34" s="40" t="inlineStr">
        <is>
          <t>Pollution and Waste Control Equipment</t>
        </is>
      </c>
    </row>
    <row r="35">
      <c r="A35" s="39" t="inlineStr">
        <is>
          <t>45</t>
        </is>
      </c>
      <c r="B35" s="40" t="inlineStr">
        <is>
          <t>Industry-Specific Manufacturing Equipment</t>
        </is>
      </c>
    </row>
    <row r="36">
      <c r="A36" s="39" t="inlineStr">
        <is>
          <t>46</t>
        </is>
      </c>
      <c r="B36" s="40" t="inlineStr">
        <is>
          <t>Water and Wastewater Equipment</t>
        </is>
      </c>
    </row>
    <row r="37">
      <c r="A37" s="39" t="inlineStr">
        <is>
          <t>48</t>
        </is>
      </c>
      <c r="B37" s="40" t="inlineStr">
        <is>
          <t>Electrical Power Generation</t>
        </is>
      </c>
    </row>
    <row r="38">
      <c r="A38" s="39" t="inlineStr">
        <is>
          <t>49</t>
        </is>
      </c>
      <c r="B38" s="40" t="inlineStr">
        <is>
          <t>Reserved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2026-05-14T10:08:46Z</dcterms:created>
  <dcterms:modified xmlns:dcterms="http://purl.org/dc/terms/" xmlns:xsi="http://www.w3.org/2001/XMLSchema-instance" xsi:type="dcterms:W3CDTF">2026-05-14T10:08:46Z</dcterms:modified>
</cp:coreProperties>
</file>