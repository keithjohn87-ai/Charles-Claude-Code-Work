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ny Info" sheetId="2" state="visible" r:id="rId2"/>
    <sheet xmlns:r="http://schemas.openxmlformats.org/officeDocument/2006/relationships" name="Project Portfolio" sheetId="3" state="visible" r:id="rId3"/>
    <sheet xmlns:r="http://schemas.openxmlformats.org/officeDocument/2006/relationships" name="Portfolio Summary by Statu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CSI Reference" sheetId="6" state="hidden" r:id="rId6"/>
  </sheets>
  <definedNames>
    <definedName name="CSI_Divisions">'CSI Reference'!$A$4:$A$38</definedName>
    <definedName name="CSI_Table">'CSI Reference'!$A$4:$B$38</definedName>
    <definedName name="States_List">'CSI Reference'!$D$4:$D$54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_($* #,##0.00_);_($* (#,##0.00);_($* &quot;-&quot;??_);_(@_)"/>
    <numFmt numFmtId="166" formatCode="0.0%"/>
    <numFmt numFmtId="167" formatCode="0&quot;%&quot;"/>
  </numFmts>
  <fonts count="14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i val="1"/>
      <color rgb="00808080"/>
      <sz val="11"/>
    </font>
    <font>
      <name val="Calibri"/>
      <b val="1"/>
      <color rgb="001E3A5F"/>
      <sz val="12"/>
    </font>
    <font>
      <name val="Calibri"/>
      <sz val="11"/>
    </font>
    <font>
      <name val="Calibri"/>
      <i val="1"/>
      <color rgb="00808080"/>
      <sz val="10"/>
    </font>
    <font>
      <name val="Calibri"/>
      <b val="1"/>
      <color rgb="00FFFFFF"/>
      <sz val="11"/>
    </font>
    <font>
      <name val="Calibri"/>
      <b val="1"/>
      <sz val="11"/>
    </font>
    <font>
      <b val="1"/>
      <color rgb="009C5700"/>
    </font>
    <font>
      <b val="1"/>
      <color rgb="001F4E78"/>
    </font>
    <font>
      <b val="1"/>
      <color rgb="00006100"/>
    </font>
    <font>
      <b val="1"/>
      <color rgb="009C0006"/>
    </font>
    <font>
      <name val="Calibri"/>
      <b val="1"/>
      <color rgb="00FFFFFF"/>
      <sz val="14"/>
    </font>
    <font>
      <name val="Calibri"/>
      <b val="1"/>
      <color rgb="001E3A5F"/>
      <sz val="18"/>
    </font>
  </fonts>
  <fills count="8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  <border>
      <left/>
      <right/>
      <top style="thin">
        <color rgb="00B0B7BF"/>
      </top>
      <bottom/>
      <diagonal/>
    </border>
    <border>
      <left/>
      <right style="thin">
        <color rgb="00B0B7BF"/>
      </right>
      <top style="thin">
        <color rgb="00B0B7BF"/>
      </top>
      <bottom/>
      <diagonal/>
    </border>
    <border>
      <left/>
      <right/>
      <top style="thin">
        <color rgb="00B0B7BF"/>
      </top>
      <bottom style="thin">
        <color rgb="00B0B7BF"/>
      </bottom>
      <diagonal/>
    </border>
    <border>
      <left/>
      <right style="thin">
        <color rgb="00B0B7BF"/>
      </right>
      <top style="thin">
        <color rgb="00B0B7BF"/>
      </top>
      <bottom style="thin">
        <color rgb="00B0B7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7" fillId="2" borderId="1" applyAlignment="1" pivotButton="0" quotePrefix="0" xfId="0">
      <alignment horizontal="right"/>
    </xf>
    <xf numFmtId="165" fontId="7" fillId="2" borderId="1" pivotButton="0" quotePrefix="0" xfId="0"/>
    <xf numFmtId="166" fontId="7" fillId="2" borderId="1" pivotButton="0" quotePrefix="0" xfId="0"/>
    <xf numFmtId="167" fontId="7" fillId="2" borderId="1" pivotButton="0" quotePrefix="0" xfId="0"/>
    <xf numFmtId="0" fontId="8" fillId="4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7" fillId="2" borderId="1" pivotButton="0" quotePrefix="0" xfId="0"/>
    <xf numFmtId="0" fontId="11" fillId="7" borderId="1" pivotButton="0" quotePrefix="0" xfId="0"/>
    <xf numFmtId="1" fontId="7" fillId="2" borderId="1" pivotButton="0" quotePrefix="0" xfId="0"/>
    <xf numFmtId="0" fontId="12" fillId="3" borderId="0" applyAlignment="1" pivotButton="0" quotePrefix="0" xfId="0">
      <alignment vertical="center" indent="1"/>
    </xf>
    <xf numFmtId="0" fontId="7" fillId="2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165" fontId="13" fillId="0" borderId="1" applyAlignment="1" pivotButton="0" quotePrefix="0" xfId="0">
      <alignment horizontal="right" vertical="center" indent="1"/>
    </xf>
    <xf numFmtId="166" fontId="13" fillId="0" borderId="1" applyAlignment="1" pivotButton="0" quotePrefix="0" xfId="0">
      <alignment horizontal="right" vertical="center" indent="1"/>
    </xf>
    <xf numFmtId="1" fontId="13" fillId="0" borderId="1" applyAlignment="1" pivotButton="0" quotePrefix="0" xfId="0">
      <alignment horizontal="right" vertical="center" indent="1"/>
    </xf>
    <xf numFmtId="0" fontId="7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/>
    </xf>
    <xf numFmtId="49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dxfs count="7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1F4E78"/>
      </font>
      <fill>
        <patternFill patternType="solid">
          <fgColor rgb="00BDD7E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0006"/>
        <sz val="18"/>
      </font>
      <fill>
        <patternFill patternType="solid">
          <fgColor rgb="00FFC7CE"/>
        </patternFill>
      </fill>
    </dxf>
    <dxf>
      <font>
        <b val="1"/>
        <color rgb="009C5700"/>
        <sz val="18"/>
      </font>
      <fill>
        <patternFill patternType="solid">
          <fgColor rgb="00FFEB9C"/>
        </patternFill>
      </fill>
    </dxf>
    <dxf>
      <font>
        <b val="1"/>
        <color rgb="00006100"/>
        <sz val="18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32" customHeight="1">
      <c r="B2" s="1" t="inlineStr">
        <is>
          <t>ContrPro - Project Tracker (Portfolio View)</t>
        </is>
      </c>
    </row>
    <row r="3">
      <c r="B3" s="2" t="inlineStr">
        <is>
          <t>Portfolio-level tracker for every open job at once. The view a GC owner needs Monday morning.</t>
        </is>
      </c>
    </row>
    <row r="5" ht="22" customHeight="1">
      <c r="B5" s="3" t="inlineStr">
        <is>
          <t>What this workbook is (and what it is NOT)</t>
        </is>
      </c>
    </row>
    <row r="6" ht="48" customHeight="1">
      <c r="B6" s="4" t="inlineStr">
        <is>
          <t>This is a PORTFOLIO tracker - one row per project, all your active jobs in one view. Use Job_Costing_Spreadsheet.xlsx (per-job, CSI-coded) for the deep cost detail on any single job. Use Change_Order_Log.xlsx for the CO paper trail. This file is the bird's-eye view.</t>
        </is>
      </c>
    </row>
    <row r="7" ht="48" customHeight="1">
      <c r="B7" s="4" t="inlineStr">
        <is>
          <t>Six tabs work together: Company Info pins your company metadata, Project Portfolio holds the rows, Portfolio Summary by Status auto-rolls, and Dashboard surfaces the KPIs that matter. CSI Reference is hidden - it feeds the dropdowns.</t>
        </is>
      </c>
    </row>
    <row r="9" ht="22" customHeight="1">
      <c r="B9" s="3" t="inlineStr">
        <is>
          <t>KPIs explained (read this once - it changes how you use this file)</t>
        </is>
      </c>
    </row>
    <row r="10" ht="48" customHeight="1">
      <c r="B10" s="4" t="inlineStr">
        <is>
          <t>Backlog = Adjusted Contract minus Earned Value. The work you have under contract but haven't billed yet. This is what banks and bonding companies care about most. Healthy backlog = 6-12 months of revenue at your current burn rate.</t>
        </is>
      </c>
    </row>
    <row r="11" ht="32" customHeight="1">
      <c r="B11" s="4" t="inlineStr">
        <is>
          <t>Burn Rate = Cost to Date divided by elapsed days. Tells you how fast a job is consuming cash. Compare against EAC / total duration to spot jobs that are eating themselves.</t>
        </is>
      </c>
    </row>
    <row r="12" ht="32" customHeight="1">
      <c r="B12" s="4" t="inlineStr">
        <is>
          <t>Projected Margin % = (Adjusted Contract - Estimated Cost at Completion) / Adjusted Contract. Green &gt; 10%, yellow 0-10%, RED &lt; 0. A red row means you are losing money on that job - call your PM today.</t>
        </is>
      </c>
    </row>
    <row r="13" ht="32" customHeight="1">
      <c r="B13" s="4" t="inlineStr">
        <is>
          <t>% Complete = self-reported field assessment, dollar-weighted on the Dashboard. Use the field PM's number, not a calculated one - the gap between field % and earned % is a leading indicator of trouble.</t>
        </is>
      </c>
    </row>
    <row r="14" ht="32" customHeight="1">
      <c r="B14" s="4" t="inlineStr">
        <is>
          <t>Earned Value = Adjusted Contract * %Complete. This is what you SHOULD have billed by now if your schedule of values is honest.</t>
        </is>
      </c>
    </row>
    <row r="16" ht="22" customHeight="1">
      <c r="B16" s="3" t="inlineStr">
        <is>
          <t>How to use the Project Portfolio tab</t>
        </is>
      </c>
    </row>
    <row r="17" ht="32" customHeight="1">
      <c r="B17" s="4" t="inlineStr">
        <is>
          <t>One row per project. Pre-populated rows show diverse statuses (Active, Mobilizing, Substantial Completion, Awarded, Bidding) - replace them or add new rows below.</t>
        </is>
      </c>
    </row>
    <row r="18" ht="32" customHeight="1">
      <c r="B18" s="4" t="inlineStr">
        <is>
          <t>Dropdowns: Project Type, Primary CSI Division, State, Status. Pick from the list - typos break the Summary roll-up.</t>
        </is>
      </c>
    </row>
    <row r="19" ht="32" customHeight="1">
      <c r="B19" s="4" t="inlineStr">
        <is>
          <t>FORMULA columns (do NOT type into these - they calculate themselves): Adjusted Contract, Projected Gross Margin, Projected Margin %, Earned Value, Backlog.</t>
        </is>
      </c>
    </row>
    <row r="20" ht="32" customHeight="1">
      <c r="B20" s="4" t="inlineStr">
        <is>
          <t>Status colors: green for Active / Substantial Completion / Final, yellow for Mobilizing / Bidding, blue for Awarded, red for Lost. Closed shows as default.</t>
        </is>
      </c>
    </row>
    <row r="21" ht="18" customHeight="1">
      <c r="B21" s="4" t="inlineStr">
        <is>
          <t>% Complete column has a green data bar so you can scan progress visually down the column.</t>
        </is>
      </c>
    </row>
    <row r="23" ht="22" customHeight="1">
      <c r="B23" s="3" t="inlineStr">
        <is>
          <t>Company Info tab</t>
        </is>
      </c>
    </row>
    <row r="24" ht="64" customHeight="1">
      <c r="B24" s="4" t="inlineStr">
        <is>
          <t>One row with your company's metadata - Company Name, EIN, primary state of operation, and your insurance / bond carriers. The Dashboard does not pull from this tab, but downstream files (COI Tracker, Subcontractor Tracker) will reference the same fields - keep it current so a future ContrPro release can auto-fill those workbooks.</t>
        </is>
      </c>
    </row>
    <row r="26" ht="22" customHeight="1">
      <c r="B26" s="3" t="inlineStr">
        <is>
          <t>Portfolio Summary by Status (auto roll-up)</t>
        </is>
      </c>
    </row>
    <row r="27" ht="18" customHeight="1">
      <c r="B27" s="4" t="inlineStr">
        <is>
          <t>Reads Project Portfolio via COUNTIF/SUMIFS. Do not type into this tab.</t>
        </is>
      </c>
    </row>
    <row r="28" ht="48" customHeight="1">
      <c r="B28" s="4" t="inlineStr">
        <is>
          <t>Shows count, total contract, total earned, total cost-to-date, total backlog, and average margin % for every status bucket. If your active backlog drops while your closed-job count climbs, you have a sales pipeline problem - not a delivery problem.</t>
        </is>
      </c>
    </row>
    <row r="30" ht="22" customHeight="1">
      <c r="B30" s="3" t="inlineStr">
        <is>
          <t>Dashboard</t>
        </is>
      </c>
    </row>
    <row r="31" ht="32" customHeight="1">
      <c r="B31" s="4" t="inlineStr">
        <is>
          <t>Top panel = portfolio KPIs: Total Active Backlog, Total Cost to Date, Weighted Average Margin %, and Active Project Count.</t>
        </is>
      </c>
    </row>
    <row r="32" ht="32" customHeight="1">
      <c r="B32" s="4" t="inlineStr">
        <is>
          <t>Top 5 Largest Backlogs panel uses LARGE() so it always shows your biggest exposures, regardless of row order in the Portfolio tab.</t>
        </is>
      </c>
    </row>
    <row r="33" ht="32" customHeight="1">
      <c r="B33" s="4" t="inlineStr">
        <is>
          <t>Aged Projects panel flags any project where Target Completion is BEFORE today AND status is not yet Final / Closed. These are the jobs that need a hard conversation this week.</t>
        </is>
      </c>
    </row>
    <row r="35" ht="22" customHeight="1">
      <c r="B35" s="3" t="inlineStr">
        <is>
          <t>Weekly cadence (Monday review meeting)</t>
        </is>
      </c>
    </row>
    <row r="36" ht="32" customHeight="1">
      <c r="B36" s="4" t="inlineStr">
        <is>
          <t>Monday AM: open this file. Scan Dashboard KPIs first. Then scroll the Portfolio tab from top to bottom - any red margin gets a phone call before lunch.</t>
        </is>
      </c>
    </row>
    <row r="37" ht="32" customHeight="1">
      <c r="B37" s="4" t="inlineStr">
        <is>
          <t>Friday PM: PMs update % Complete, Cost to Date, and Estimated Cost at Completion on their rows. No row goes a week without an update; a stale row is a lying row.</t>
        </is>
      </c>
    </row>
    <row r="38" ht="32" customHeight="1">
      <c r="B38" s="4" t="inlineStr">
        <is>
          <t>End of month: archive a copy with a date stamp (Project_Tracker_2026-05-31.xlsx) for board reviews and lender packages.</t>
        </is>
      </c>
    </row>
    <row r="40" ht="22" customHeight="1">
      <c r="B40" s="3" t="inlineStr">
        <is>
          <t>Tabs in this workbook</t>
        </is>
      </c>
    </row>
    <row r="41" ht="18" customHeight="1">
      <c r="B41" s="4" t="inlineStr">
        <is>
          <t>Instructions  -  this tab</t>
        </is>
      </c>
    </row>
    <row r="42" ht="18" customHeight="1">
      <c r="B42" s="4" t="inlineStr">
        <is>
          <t>Company Info  -  one-row company metadata</t>
        </is>
      </c>
    </row>
    <row r="43" ht="18" customHeight="1">
      <c r="B43" s="4" t="inlineStr">
        <is>
          <t>Project Portfolio  -  main worksheet, one row per job</t>
        </is>
      </c>
    </row>
    <row r="44" ht="18" customHeight="1">
      <c r="B44" s="4" t="inlineStr">
        <is>
          <t>Portfolio Summary by Status  -  auto roll-up by status</t>
        </is>
      </c>
    </row>
    <row r="45" ht="18" customHeight="1">
      <c r="B45" s="4" t="inlineStr">
        <is>
          <t>Dashboard  -  portfolio KPIs, top-5 backlogs, aged projects</t>
        </is>
      </c>
    </row>
    <row r="46" ht="18" customHeight="1">
      <c r="B46" s="4" t="inlineStr">
        <is>
          <t>CSI Reference  -  canonical division + state lists (hidden, do not edit)</t>
        </is>
      </c>
    </row>
    <row r="49">
      <c r="B49" s="5" t="inlineStr">
        <is>
          <t>ContrPro - built for builders. Questions: support@contrpro.com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6" customWidth="1" min="4" max="4"/>
    <col width="26" customWidth="1" min="5" max="5"/>
    <col width="26" customWidth="1" min="6" max="6"/>
    <col width="45" customWidth="1" min="7" max="7"/>
  </cols>
  <sheetData>
    <row r="1" ht="30" customHeight="1">
      <c r="A1" s="1" t="inlineStr">
        <is>
          <t>Company Information</t>
        </is>
      </c>
    </row>
    <row r="2">
      <c r="A2" s="5" t="inlineStr">
        <is>
          <t>Shared metadata referenced by future ContrPro workbooks (COI, Subcontractor, etc.).</t>
        </is>
      </c>
    </row>
    <row r="3" ht="28" customHeight="1">
      <c r="A3" s="6" t="inlineStr">
        <is>
          <t>Company Name</t>
        </is>
      </c>
      <c r="B3" s="6" t="inlineStr">
        <is>
          <t>EIN</t>
        </is>
      </c>
      <c r="C3" s="6" t="inlineStr">
        <is>
          <t>Primary State</t>
        </is>
      </c>
      <c r="D3" s="6" t="inlineStr">
        <is>
          <t>Workers' Comp Carrier</t>
        </is>
      </c>
      <c r="E3" s="6" t="inlineStr">
        <is>
          <t>Bond Carrier</t>
        </is>
      </c>
      <c r="F3" s="6" t="inlineStr">
        <is>
          <t>GL Carrier</t>
        </is>
      </c>
      <c r="G3" s="6" t="inlineStr">
        <is>
          <t>Notes</t>
        </is>
      </c>
    </row>
    <row r="4" ht="24" customHeight="1">
      <c r="A4" s="7" t="inlineStr">
        <is>
          <t>EXAMPLE - Carolina Builders LLC</t>
        </is>
      </c>
      <c r="B4" s="7" t="inlineStr">
        <is>
          <t>00-0000000</t>
        </is>
      </c>
      <c r="C4" s="7" t="inlineStr">
        <is>
          <t>TN</t>
        </is>
      </c>
      <c r="D4" s="7" t="inlineStr">
        <is>
          <t>Travelers (WC)</t>
        </is>
      </c>
      <c r="E4" s="7" t="inlineStr">
        <is>
          <t>Liberty Mutual Surety</t>
        </is>
      </c>
      <c r="F4" s="7" t="inlineStr">
        <is>
          <t>The Hartford (GL)</t>
        </is>
      </c>
      <c r="G4" s="7" t="inlineStr">
        <is>
          <t>Example row - replace with your company info.</t>
        </is>
      </c>
    </row>
  </sheetData>
  <mergeCells count="2">
    <mergeCell ref="A2:G2"/>
    <mergeCell ref="A1:G1"/>
  </mergeCells>
  <dataValidations count="1">
    <dataValidation sqref="C4" showDropDown="0" showInputMessage="0" showErrorMessage="0" allowBlank="1" errorTitle="Invalid state" error="Pick a state from the dropdown." type="list">
      <formula1>=States_List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16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  <col width="16" customWidth="1" min="11" max="11"/>
    <col width="14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2" customWidth="1" min="18" max="18"/>
    <col width="11" customWidth="1" min="19" max="19"/>
    <col width="14" customWidth="1" min="20" max="20"/>
    <col width="14" customWidth="1" min="21" max="21"/>
    <col width="16" customWidth="1" min="22" max="22"/>
    <col width="32" customWidth="1" min="23" max="23"/>
  </cols>
  <sheetData>
    <row r="1" ht="28" customHeight="1">
      <c r="A1" s="1" t="inlineStr">
        <is>
          <t>Project Portfolio (one row per job)</t>
        </is>
      </c>
    </row>
    <row r="3" ht="28" customHeight="1">
      <c r="A3" s="6" t="inlineStr">
        <is>
          <t>Project Number</t>
        </is>
      </c>
      <c r="B3" s="6" t="inlineStr">
        <is>
          <t>Project Name</t>
        </is>
      </c>
      <c r="C3" s="6" t="inlineStr">
        <is>
          <t>Client</t>
        </is>
      </c>
      <c r="D3" s="6" t="inlineStr">
        <is>
          <t>Project Type</t>
        </is>
      </c>
      <c r="E3" s="6" t="inlineStr">
        <is>
          <t>Primary CSI Division</t>
        </is>
      </c>
      <c r="F3" s="6" t="inlineStr">
        <is>
          <t>State</t>
        </is>
      </c>
      <c r="G3" s="6" t="inlineStr">
        <is>
          <t>City</t>
        </is>
      </c>
      <c r="H3" s="6" t="inlineStr">
        <is>
          <t>Start Date</t>
        </is>
      </c>
      <c r="I3" s="6" t="inlineStr">
        <is>
          <t>Target Completion</t>
        </is>
      </c>
      <c r="J3" s="6" t="inlineStr">
        <is>
          <t>Actual Completion</t>
        </is>
      </c>
      <c r="K3" s="6" t="inlineStr">
        <is>
          <t>Status</t>
        </is>
      </c>
      <c r="L3" s="6" t="inlineStr">
        <is>
          <t>Contract Amount</t>
        </is>
      </c>
      <c r="M3" s="6" t="inlineStr">
        <is>
          <t>Approved CO Net</t>
        </is>
      </c>
      <c r="N3" s="6" t="inlineStr">
        <is>
          <t>Adjusted Contract</t>
        </is>
      </c>
      <c r="O3" s="6" t="inlineStr">
        <is>
          <t>Cost to Date</t>
        </is>
      </c>
      <c r="P3" s="6" t="inlineStr">
        <is>
          <t>Estimated Cost at Completion</t>
        </is>
      </c>
      <c r="Q3" s="6" t="inlineStr">
        <is>
          <t>Projected Gross Margin</t>
        </is>
      </c>
      <c r="R3" s="6" t="inlineStr">
        <is>
          <t>Projected Margin %</t>
        </is>
      </c>
      <c r="S3" s="6" t="inlineStr">
        <is>
          <t>% Complete</t>
        </is>
      </c>
      <c r="T3" s="6" t="inlineStr">
        <is>
          <t>Earned Value</t>
        </is>
      </c>
      <c r="U3" s="6" t="inlineStr">
        <is>
          <t>Backlog</t>
        </is>
      </c>
      <c r="V3" s="6" t="inlineStr">
        <is>
          <t>Project Manager</t>
        </is>
      </c>
      <c r="W3" s="6" t="inlineStr">
        <is>
          <t>Notes</t>
        </is>
      </c>
    </row>
    <row r="4" ht="30" customHeight="1">
      <c r="A4" s="8" t="inlineStr">
        <is>
          <t>2026-014</t>
        </is>
      </c>
      <c r="B4" s="9" t="inlineStr">
        <is>
          <t>Riverside Office Bldg</t>
        </is>
      </c>
      <c r="C4" s="9" t="inlineStr">
        <is>
          <t>Riverside Holdings LLC</t>
        </is>
      </c>
      <c r="D4" s="8" t="inlineStr">
        <is>
          <t>New Construction</t>
        </is>
      </c>
      <c r="E4" s="10" t="inlineStr">
        <is>
          <t>03</t>
        </is>
      </c>
      <c r="F4" s="10" t="inlineStr">
        <is>
          <t>TN</t>
        </is>
      </c>
      <c r="G4" s="8" t="inlineStr">
        <is>
          <t>Knoxville</t>
        </is>
      </c>
      <c r="H4" s="11" t="inlineStr">
        <is>
          <t>2026-03-01</t>
        </is>
      </c>
      <c r="I4" s="11" t="inlineStr">
        <is>
          <t>2026-11-30</t>
        </is>
      </c>
      <c r="J4" s="11" t="n"/>
      <c r="K4" s="8" t="inlineStr">
        <is>
          <t>Active</t>
        </is>
      </c>
      <c r="L4" s="12" t="n">
        <v>1850000</v>
      </c>
      <c r="M4" s="12" t="n">
        <v>22725</v>
      </c>
      <c r="N4" s="12">
        <f>IFERROR(L4+M4,0)</f>
        <v/>
      </c>
      <c r="O4" s="12" t="n">
        <v>540000</v>
      </c>
      <c r="P4" s="12" t="n">
        <v>1720000</v>
      </c>
      <c r="Q4" s="12">
        <f>IFERROR(N4-P4,0)</f>
        <v/>
      </c>
      <c r="R4" s="13">
        <f>IFERROR(Q4/N4,0)</f>
        <v/>
      </c>
      <c r="S4" s="14" t="n">
        <v>30</v>
      </c>
      <c r="T4" s="12">
        <f>IFERROR(N4*S4/100,0)</f>
        <v/>
      </c>
      <c r="U4" s="12">
        <f>IFERROR(N4-T4,0)</f>
        <v/>
      </c>
      <c r="V4" s="8" t="inlineStr">
        <is>
          <t>M. Reyes</t>
        </is>
      </c>
      <c r="W4" s="9" t="inlineStr">
        <is>
          <t>On schedule; concrete topping out next month.</t>
        </is>
      </c>
    </row>
    <row r="5" ht="30" customHeight="1">
      <c r="A5" s="8" t="inlineStr">
        <is>
          <t>2026-021</t>
        </is>
      </c>
      <c r="B5" s="9" t="inlineStr">
        <is>
          <t>Maple Plaza TI Buildout</t>
        </is>
      </c>
      <c r="C5" s="9" t="inlineStr">
        <is>
          <t>Maple Capital Partners</t>
        </is>
      </c>
      <c r="D5" s="8" t="inlineStr">
        <is>
          <t>Tenant Improvement</t>
        </is>
      </c>
      <c r="E5" s="10" t="inlineStr">
        <is>
          <t>09</t>
        </is>
      </c>
      <c r="F5" s="10" t="inlineStr">
        <is>
          <t>TN</t>
        </is>
      </c>
      <c r="G5" s="8" t="inlineStr">
        <is>
          <t>Nashville</t>
        </is>
      </c>
      <c r="H5" s="11" t="inlineStr">
        <is>
          <t>2026-04-15</t>
        </is>
      </c>
      <c r="I5" s="11" t="inlineStr">
        <is>
          <t>2026-09-15</t>
        </is>
      </c>
      <c r="J5" s="11" t="n"/>
      <c r="K5" s="8" t="inlineStr">
        <is>
          <t>Mobilizing</t>
        </is>
      </c>
      <c r="L5" s="12" t="n">
        <v>425000</v>
      </c>
      <c r="M5" s="12" t="n">
        <v>0</v>
      </c>
      <c r="N5" s="12">
        <f>IFERROR(L5+M5,0)</f>
        <v/>
      </c>
      <c r="O5" s="12" t="n">
        <v>18000</v>
      </c>
      <c r="P5" s="12" t="n">
        <v>390000</v>
      </c>
      <c r="Q5" s="12">
        <f>IFERROR(N5-P5,0)</f>
        <v/>
      </c>
      <c r="R5" s="13">
        <f>IFERROR(Q5/N5,0)</f>
        <v/>
      </c>
      <c r="S5" s="14" t="n">
        <v>5</v>
      </c>
      <c r="T5" s="12">
        <f>IFERROR(N5*S5/100,0)</f>
        <v/>
      </c>
      <c r="U5" s="12">
        <f>IFERROR(N5-T5,0)</f>
        <v/>
      </c>
      <c r="V5" s="8" t="inlineStr">
        <is>
          <t>M. Reyes</t>
        </is>
      </c>
      <c r="W5" s="9" t="inlineStr">
        <is>
          <t>Permits in hand; demo starts next week.</t>
        </is>
      </c>
    </row>
    <row r="6" ht="30" customHeight="1">
      <c r="A6" s="8" t="inlineStr">
        <is>
          <t>2026-009</t>
        </is>
      </c>
      <c r="B6" s="9" t="inlineStr">
        <is>
          <t>Hillcrest Medical Remodel</t>
        </is>
      </c>
      <c r="C6" s="9" t="inlineStr">
        <is>
          <t>Hillcrest Health System</t>
        </is>
      </c>
      <c r="D6" s="8" t="inlineStr">
        <is>
          <t>Remodel</t>
        </is>
      </c>
      <c r="E6" s="10" t="inlineStr">
        <is>
          <t>23</t>
        </is>
      </c>
      <c r="F6" s="10" t="inlineStr">
        <is>
          <t>GA</t>
        </is>
      </c>
      <c r="G6" s="8" t="inlineStr">
        <is>
          <t>Atlanta</t>
        </is>
      </c>
      <c r="H6" s="11" t="inlineStr">
        <is>
          <t>2026-01-10</t>
        </is>
      </c>
      <c r="I6" s="11" t="inlineStr">
        <is>
          <t>2026-04-30</t>
        </is>
      </c>
      <c r="J6" s="11" t="inlineStr">
        <is>
          <t>2026-05-08</t>
        </is>
      </c>
      <c r="K6" s="8" t="inlineStr">
        <is>
          <t>Substantial Completion</t>
        </is>
      </c>
      <c r="L6" s="12" t="n">
        <v>1240000</v>
      </c>
      <c r="M6" s="12" t="n">
        <v>41200</v>
      </c>
      <c r="N6" s="12">
        <f>IFERROR(L6+M6,0)</f>
        <v/>
      </c>
      <c r="O6" s="12" t="n">
        <v>1198000</v>
      </c>
      <c r="P6" s="12" t="n">
        <v>1215000</v>
      </c>
      <c r="Q6" s="12">
        <f>IFERROR(N6-P6,0)</f>
        <v/>
      </c>
      <c r="R6" s="13">
        <f>IFERROR(Q6/N6,0)</f>
        <v/>
      </c>
      <c r="S6" s="14" t="n">
        <v>98</v>
      </c>
      <c r="T6" s="12">
        <f>IFERROR(N6*S6/100,0)</f>
        <v/>
      </c>
      <c r="U6" s="12">
        <f>IFERROR(N6-T6,0)</f>
        <v/>
      </c>
      <c r="V6" s="8" t="inlineStr">
        <is>
          <t>S. Patel</t>
        </is>
      </c>
      <c r="W6" s="9" t="inlineStr">
        <is>
          <t>Punchlist in progress; final inspection scheduled.</t>
        </is>
      </c>
    </row>
    <row r="7" ht="30" customHeight="1">
      <c r="A7" s="8" t="inlineStr">
        <is>
          <t>2026-027</t>
        </is>
      </c>
      <c r="B7" s="9" t="inlineStr">
        <is>
          <t>Eastside Warehouse Roof Repair</t>
        </is>
      </c>
      <c r="C7" s="9" t="inlineStr">
        <is>
          <t>Eastside Logistics Inc</t>
        </is>
      </c>
      <c r="D7" s="8" t="inlineStr">
        <is>
          <t>Repair</t>
        </is>
      </c>
      <c r="E7" s="10" t="inlineStr">
        <is>
          <t>07</t>
        </is>
      </c>
      <c r="F7" s="10" t="inlineStr">
        <is>
          <t>AL</t>
        </is>
      </c>
      <c r="G7" s="8" t="inlineStr">
        <is>
          <t>Birmingham</t>
        </is>
      </c>
      <c r="H7" s="11" t="inlineStr">
        <is>
          <t>2026-05-05</t>
        </is>
      </c>
      <c r="I7" s="11" t="inlineStr">
        <is>
          <t>2026-05-20</t>
        </is>
      </c>
      <c r="J7" s="11" t="n"/>
      <c r="K7" s="8" t="inlineStr">
        <is>
          <t>Awarded</t>
        </is>
      </c>
      <c r="L7" s="12" t="n">
        <v>87500</v>
      </c>
      <c r="M7" s="12" t="n">
        <v>0</v>
      </c>
      <c r="N7" s="12">
        <f>IFERROR(L7+M7,0)</f>
        <v/>
      </c>
      <c r="O7" s="12" t="n">
        <v>0</v>
      </c>
      <c r="P7" s="12" t="n">
        <v>76000</v>
      </c>
      <c r="Q7" s="12">
        <f>IFERROR(N7-P7,0)</f>
        <v/>
      </c>
      <c r="R7" s="13">
        <f>IFERROR(Q7/N7,0)</f>
        <v/>
      </c>
      <c r="S7" s="14" t="n">
        <v>0</v>
      </c>
      <c r="T7" s="12">
        <f>IFERROR(N7*S7/100,0)</f>
        <v/>
      </c>
      <c r="U7" s="12">
        <f>IFERROR(N7-T7,0)</f>
        <v/>
      </c>
      <c r="V7" s="8" t="inlineStr">
        <is>
          <t>J. Cole</t>
        </is>
      </c>
      <c r="W7" s="9" t="inlineStr">
        <is>
          <t>Insurance claim cleared; mob next Monday.</t>
        </is>
      </c>
    </row>
    <row r="8" ht="30" customHeight="1">
      <c r="A8" s="8" t="inlineStr">
        <is>
          <t>2026-031</t>
        </is>
      </c>
      <c r="B8" s="9" t="inlineStr">
        <is>
          <t>Civic Center Expansion (BID)</t>
        </is>
      </c>
      <c r="C8" s="9" t="inlineStr">
        <is>
          <t>City of Greenville</t>
        </is>
      </c>
      <c r="D8" s="8" t="inlineStr">
        <is>
          <t>New Construction</t>
        </is>
      </c>
      <c r="E8" s="10" t="inlineStr">
        <is>
          <t>01</t>
        </is>
      </c>
      <c r="F8" s="10" t="inlineStr">
        <is>
          <t>SC</t>
        </is>
      </c>
      <c r="G8" s="8" t="inlineStr">
        <is>
          <t>Greenville</t>
        </is>
      </c>
      <c r="H8" s="11" t="n"/>
      <c r="I8" s="11" t="n"/>
      <c r="J8" s="11" t="n"/>
      <c r="K8" s="8" t="inlineStr">
        <is>
          <t>Bidding</t>
        </is>
      </c>
      <c r="L8" s="12" t="n">
        <v>0</v>
      </c>
      <c r="M8" s="12" t="n">
        <v>0</v>
      </c>
      <c r="N8" s="12">
        <f>IFERROR(L8+M8,0)</f>
        <v/>
      </c>
      <c r="O8" s="12" t="n">
        <v>0</v>
      </c>
      <c r="P8" s="12" t="n">
        <v>0</v>
      </c>
      <c r="Q8" s="12">
        <f>IFERROR(N8-P8,0)</f>
        <v/>
      </c>
      <c r="R8" s="13">
        <f>IFERROR(Q8/N8,0)</f>
        <v/>
      </c>
      <c r="S8" s="14" t="n">
        <v>0</v>
      </c>
      <c r="T8" s="12">
        <f>IFERROR(N8*S8/100,0)</f>
        <v/>
      </c>
      <c r="U8" s="12">
        <f>IFERROR(N8-T8,0)</f>
        <v/>
      </c>
      <c r="V8" s="8" t="inlineStr">
        <is>
          <t>M. Reyes</t>
        </is>
      </c>
      <c r="W8" s="9" t="inlineStr">
        <is>
          <t>Bid due 2026-06-02; preconstruction cost estimate $4.2M.</t>
        </is>
      </c>
    </row>
    <row r="9" ht="30" customHeight="1">
      <c r="A9" s="8" t="n"/>
      <c r="B9" s="9" t="n"/>
      <c r="C9" s="9" t="n"/>
      <c r="D9" s="8" t="n"/>
      <c r="E9" s="10" t="n"/>
      <c r="F9" s="10" t="n"/>
      <c r="G9" s="8" t="n"/>
      <c r="H9" s="11" t="n"/>
      <c r="I9" s="11" t="n"/>
      <c r="J9" s="11" t="n"/>
      <c r="K9" s="8" t="n"/>
      <c r="L9" s="12" t="n"/>
      <c r="M9" s="12" t="n"/>
      <c r="N9" s="12">
        <f>IFERROR(L9+M9,0)</f>
        <v/>
      </c>
      <c r="O9" s="12" t="n"/>
      <c r="P9" s="12" t="n"/>
      <c r="Q9" s="12">
        <f>IFERROR(N9-P9,0)</f>
        <v/>
      </c>
      <c r="R9" s="13">
        <f>IFERROR(Q9/N9,0)</f>
        <v/>
      </c>
      <c r="S9" s="14" t="n"/>
      <c r="T9" s="12">
        <f>IFERROR(N9*S9/100,0)</f>
        <v/>
      </c>
      <c r="U9" s="12">
        <f>IFERROR(N9-T9,0)</f>
        <v/>
      </c>
      <c r="V9" s="8" t="n"/>
      <c r="W9" s="9" t="n"/>
    </row>
    <row r="10" ht="30" customHeight="1">
      <c r="A10" s="8" t="n"/>
      <c r="B10" s="9" t="n"/>
      <c r="C10" s="9" t="n"/>
      <c r="D10" s="8" t="n"/>
      <c r="E10" s="10" t="n"/>
      <c r="F10" s="10" t="n"/>
      <c r="G10" s="8" t="n"/>
      <c r="H10" s="11" t="n"/>
      <c r="I10" s="11" t="n"/>
      <c r="J10" s="11" t="n"/>
      <c r="K10" s="8" t="n"/>
      <c r="L10" s="12" t="n"/>
      <c r="M10" s="12" t="n"/>
      <c r="N10" s="12">
        <f>IFERROR(L10+M10,0)</f>
        <v/>
      </c>
      <c r="O10" s="12" t="n"/>
      <c r="P10" s="12" t="n"/>
      <c r="Q10" s="12">
        <f>IFERROR(N10-P10,0)</f>
        <v/>
      </c>
      <c r="R10" s="13">
        <f>IFERROR(Q10/N10,0)</f>
        <v/>
      </c>
      <c r="S10" s="14" t="n"/>
      <c r="T10" s="12">
        <f>IFERROR(N10*S10/100,0)</f>
        <v/>
      </c>
      <c r="U10" s="12">
        <f>IFERROR(N10-T10,0)</f>
        <v/>
      </c>
      <c r="V10" s="8" t="n"/>
      <c r="W10" s="9" t="n"/>
    </row>
    <row r="11" ht="30" customHeight="1">
      <c r="A11" s="8" t="n"/>
      <c r="B11" s="9" t="n"/>
      <c r="C11" s="9" t="n"/>
      <c r="D11" s="8" t="n"/>
      <c r="E11" s="10" t="n"/>
      <c r="F11" s="10" t="n"/>
      <c r="G11" s="8" t="n"/>
      <c r="H11" s="11" t="n"/>
      <c r="I11" s="11" t="n"/>
      <c r="J11" s="11" t="n"/>
      <c r="K11" s="8" t="n"/>
      <c r="L11" s="12" t="n"/>
      <c r="M11" s="12" t="n"/>
      <c r="N11" s="12">
        <f>IFERROR(L11+M11,0)</f>
        <v/>
      </c>
      <c r="O11" s="12" t="n"/>
      <c r="P11" s="12" t="n"/>
      <c r="Q11" s="12">
        <f>IFERROR(N11-P11,0)</f>
        <v/>
      </c>
      <c r="R11" s="13">
        <f>IFERROR(Q11/N11,0)</f>
        <v/>
      </c>
      <c r="S11" s="14" t="n"/>
      <c r="T11" s="12">
        <f>IFERROR(N11*S11/100,0)</f>
        <v/>
      </c>
      <c r="U11" s="12">
        <f>IFERROR(N11-T11,0)</f>
        <v/>
      </c>
      <c r="V11" s="8" t="n"/>
      <c r="W11" s="9" t="n"/>
    </row>
    <row r="12" ht="30" customHeight="1">
      <c r="A12" s="8" t="n"/>
      <c r="B12" s="9" t="n"/>
      <c r="C12" s="9" t="n"/>
      <c r="D12" s="8" t="n"/>
      <c r="E12" s="10" t="n"/>
      <c r="F12" s="10" t="n"/>
      <c r="G12" s="8" t="n"/>
      <c r="H12" s="11" t="n"/>
      <c r="I12" s="11" t="n"/>
      <c r="J12" s="11" t="n"/>
      <c r="K12" s="8" t="n"/>
      <c r="L12" s="12" t="n"/>
      <c r="M12" s="12" t="n"/>
      <c r="N12" s="12">
        <f>IFERROR(L12+M12,0)</f>
        <v/>
      </c>
      <c r="O12" s="12" t="n"/>
      <c r="P12" s="12" t="n"/>
      <c r="Q12" s="12">
        <f>IFERROR(N12-P12,0)</f>
        <v/>
      </c>
      <c r="R12" s="13">
        <f>IFERROR(Q12/N12,0)</f>
        <v/>
      </c>
      <c r="S12" s="14" t="n"/>
      <c r="T12" s="12">
        <f>IFERROR(N12*S12/100,0)</f>
        <v/>
      </c>
      <c r="U12" s="12">
        <f>IFERROR(N12-T12,0)</f>
        <v/>
      </c>
      <c r="V12" s="8" t="n"/>
      <c r="W12" s="9" t="n"/>
    </row>
    <row r="13" ht="30" customHeight="1">
      <c r="A13" s="8" t="n"/>
      <c r="B13" s="9" t="n"/>
      <c r="C13" s="9" t="n"/>
      <c r="D13" s="8" t="n"/>
      <c r="E13" s="10" t="n"/>
      <c r="F13" s="10" t="n"/>
      <c r="G13" s="8" t="n"/>
      <c r="H13" s="11" t="n"/>
      <c r="I13" s="11" t="n"/>
      <c r="J13" s="11" t="n"/>
      <c r="K13" s="8" t="n"/>
      <c r="L13" s="12" t="n"/>
      <c r="M13" s="12" t="n"/>
      <c r="N13" s="12">
        <f>IFERROR(L13+M13,0)</f>
        <v/>
      </c>
      <c r="O13" s="12" t="n"/>
      <c r="P13" s="12" t="n"/>
      <c r="Q13" s="12">
        <f>IFERROR(N13-P13,0)</f>
        <v/>
      </c>
      <c r="R13" s="13">
        <f>IFERROR(Q13/N13,0)</f>
        <v/>
      </c>
      <c r="S13" s="14" t="n"/>
      <c r="T13" s="12">
        <f>IFERROR(N13*S13/100,0)</f>
        <v/>
      </c>
      <c r="U13" s="12">
        <f>IFERROR(N13-T13,0)</f>
        <v/>
      </c>
      <c r="V13" s="8" t="n"/>
      <c r="W13" s="9" t="n"/>
    </row>
    <row r="14" ht="30" customHeight="1">
      <c r="A14" s="8" t="n"/>
      <c r="B14" s="9" t="n"/>
      <c r="C14" s="9" t="n"/>
      <c r="D14" s="8" t="n"/>
      <c r="E14" s="10" t="n"/>
      <c r="F14" s="10" t="n"/>
      <c r="G14" s="8" t="n"/>
      <c r="H14" s="11" t="n"/>
      <c r="I14" s="11" t="n"/>
      <c r="J14" s="11" t="n"/>
      <c r="K14" s="8" t="n"/>
      <c r="L14" s="12" t="n"/>
      <c r="M14" s="12" t="n"/>
      <c r="N14" s="12">
        <f>IFERROR(L14+M14,0)</f>
        <v/>
      </c>
      <c r="O14" s="12" t="n"/>
      <c r="P14" s="12" t="n"/>
      <c r="Q14" s="12">
        <f>IFERROR(N14-P14,0)</f>
        <v/>
      </c>
      <c r="R14" s="13">
        <f>IFERROR(Q14/N14,0)</f>
        <v/>
      </c>
      <c r="S14" s="14" t="n"/>
      <c r="T14" s="12">
        <f>IFERROR(N14*S14/100,0)</f>
        <v/>
      </c>
      <c r="U14" s="12">
        <f>IFERROR(N14-T14,0)</f>
        <v/>
      </c>
      <c r="V14" s="8" t="n"/>
      <c r="W14" s="9" t="n"/>
    </row>
    <row r="15" ht="30" customHeight="1">
      <c r="A15" s="8" t="n"/>
      <c r="B15" s="9" t="n"/>
      <c r="C15" s="9" t="n"/>
      <c r="D15" s="8" t="n"/>
      <c r="E15" s="10" t="n"/>
      <c r="F15" s="10" t="n"/>
      <c r="G15" s="8" t="n"/>
      <c r="H15" s="11" t="n"/>
      <c r="I15" s="11" t="n"/>
      <c r="J15" s="11" t="n"/>
      <c r="K15" s="8" t="n"/>
      <c r="L15" s="12" t="n"/>
      <c r="M15" s="12" t="n"/>
      <c r="N15" s="12">
        <f>IFERROR(L15+M15,0)</f>
        <v/>
      </c>
      <c r="O15" s="12" t="n"/>
      <c r="P15" s="12" t="n"/>
      <c r="Q15" s="12">
        <f>IFERROR(N15-P15,0)</f>
        <v/>
      </c>
      <c r="R15" s="13">
        <f>IFERROR(Q15/N15,0)</f>
        <v/>
      </c>
      <c r="S15" s="14" t="n"/>
      <c r="T15" s="12">
        <f>IFERROR(N15*S15/100,0)</f>
        <v/>
      </c>
      <c r="U15" s="12">
        <f>IFERROR(N15-T15,0)</f>
        <v/>
      </c>
      <c r="V15" s="8" t="n"/>
      <c r="W15" s="9" t="n"/>
    </row>
    <row r="16" ht="30" customHeight="1">
      <c r="A16" s="8" t="n"/>
      <c r="B16" s="9" t="n"/>
      <c r="C16" s="9" t="n"/>
      <c r="D16" s="8" t="n"/>
      <c r="E16" s="10" t="n"/>
      <c r="F16" s="10" t="n"/>
      <c r="G16" s="8" t="n"/>
      <c r="H16" s="11" t="n"/>
      <c r="I16" s="11" t="n"/>
      <c r="J16" s="11" t="n"/>
      <c r="K16" s="8" t="n"/>
      <c r="L16" s="12" t="n"/>
      <c r="M16" s="12" t="n"/>
      <c r="N16" s="12">
        <f>IFERROR(L16+M16,0)</f>
        <v/>
      </c>
      <c r="O16" s="12" t="n"/>
      <c r="P16" s="12" t="n"/>
      <c r="Q16" s="12">
        <f>IFERROR(N16-P16,0)</f>
        <v/>
      </c>
      <c r="R16" s="13">
        <f>IFERROR(Q16/N16,0)</f>
        <v/>
      </c>
      <c r="S16" s="14" t="n"/>
      <c r="T16" s="12">
        <f>IFERROR(N16*S16/100,0)</f>
        <v/>
      </c>
      <c r="U16" s="12">
        <f>IFERROR(N16-T16,0)</f>
        <v/>
      </c>
      <c r="V16" s="8" t="n"/>
      <c r="W16" s="9" t="n"/>
    </row>
    <row r="17" ht="30" customHeight="1">
      <c r="A17" s="8" t="n"/>
      <c r="B17" s="9" t="n"/>
      <c r="C17" s="9" t="n"/>
      <c r="D17" s="8" t="n"/>
      <c r="E17" s="10" t="n"/>
      <c r="F17" s="10" t="n"/>
      <c r="G17" s="8" t="n"/>
      <c r="H17" s="11" t="n"/>
      <c r="I17" s="11" t="n"/>
      <c r="J17" s="11" t="n"/>
      <c r="K17" s="8" t="n"/>
      <c r="L17" s="12" t="n"/>
      <c r="M17" s="12" t="n"/>
      <c r="N17" s="12">
        <f>IFERROR(L17+M17,0)</f>
        <v/>
      </c>
      <c r="O17" s="12" t="n"/>
      <c r="P17" s="12" t="n"/>
      <c r="Q17" s="12">
        <f>IFERROR(N17-P17,0)</f>
        <v/>
      </c>
      <c r="R17" s="13">
        <f>IFERROR(Q17/N17,0)</f>
        <v/>
      </c>
      <c r="S17" s="14" t="n"/>
      <c r="T17" s="12">
        <f>IFERROR(N17*S17/100,0)</f>
        <v/>
      </c>
      <c r="U17" s="12">
        <f>IFERROR(N17-T17,0)</f>
        <v/>
      </c>
      <c r="V17" s="8" t="n"/>
      <c r="W17" s="9" t="n"/>
    </row>
    <row r="18" ht="30" customHeight="1">
      <c r="A18" s="8" t="n"/>
      <c r="B18" s="9" t="n"/>
      <c r="C18" s="9" t="n"/>
      <c r="D18" s="8" t="n"/>
      <c r="E18" s="10" t="n"/>
      <c r="F18" s="10" t="n"/>
      <c r="G18" s="8" t="n"/>
      <c r="H18" s="11" t="n"/>
      <c r="I18" s="11" t="n"/>
      <c r="J18" s="11" t="n"/>
      <c r="K18" s="8" t="n"/>
      <c r="L18" s="12" t="n"/>
      <c r="M18" s="12" t="n"/>
      <c r="N18" s="12">
        <f>IFERROR(L18+M18,0)</f>
        <v/>
      </c>
      <c r="O18" s="12" t="n"/>
      <c r="P18" s="12" t="n"/>
      <c r="Q18" s="12">
        <f>IFERROR(N18-P18,0)</f>
        <v/>
      </c>
      <c r="R18" s="13">
        <f>IFERROR(Q18/N18,0)</f>
        <v/>
      </c>
      <c r="S18" s="14" t="n"/>
      <c r="T18" s="12">
        <f>IFERROR(N18*S18/100,0)</f>
        <v/>
      </c>
      <c r="U18" s="12">
        <f>IFERROR(N18-T18,0)</f>
        <v/>
      </c>
      <c r="V18" s="8" t="n"/>
      <c r="W18" s="9" t="n"/>
    </row>
    <row r="19" ht="30" customHeight="1">
      <c r="A19" s="8" t="n"/>
      <c r="B19" s="9" t="n"/>
      <c r="C19" s="9" t="n"/>
      <c r="D19" s="8" t="n"/>
      <c r="E19" s="10" t="n"/>
      <c r="F19" s="10" t="n"/>
      <c r="G19" s="8" t="n"/>
      <c r="H19" s="11" t="n"/>
      <c r="I19" s="11" t="n"/>
      <c r="J19" s="11" t="n"/>
      <c r="K19" s="8" t="n"/>
      <c r="L19" s="12" t="n"/>
      <c r="M19" s="12" t="n"/>
      <c r="N19" s="12">
        <f>IFERROR(L19+M19,0)</f>
        <v/>
      </c>
      <c r="O19" s="12" t="n"/>
      <c r="P19" s="12" t="n"/>
      <c r="Q19" s="12">
        <f>IFERROR(N19-P19,0)</f>
        <v/>
      </c>
      <c r="R19" s="13">
        <f>IFERROR(Q19/N19,0)</f>
        <v/>
      </c>
      <c r="S19" s="14" t="n"/>
      <c r="T19" s="12">
        <f>IFERROR(N19*S19/100,0)</f>
        <v/>
      </c>
      <c r="U19" s="12">
        <f>IFERROR(N19-T19,0)</f>
        <v/>
      </c>
      <c r="V19" s="8" t="n"/>
      <c r="W19" s="9" t="n"/>
    </row>
    <row r="20" ht="30" customHeight="1">
      <c r="A20" s="8" t="n"/>
      <c r="B20" s="9" t="n"/>
      <c r="C20" s="9" t="n"/>
      <c r="D20" s="8" t="n"/>
      <c r="E20" s="10" t="n"/>
      <c r="F20" s="10" t="n"/>
      <c r="G20" s="8" t="n"/>
      <c r="H20" s="11" t="n"/>
      <c r="I20" s="11" t="n"/>
      <c r="J20" s="11" t="n"/>
      <c r="K20" s="8" t="n"/>
      <c r="L20" s="12" t="n"/>
      <c r="M20" s="12" t="n"/>
      <c r="N20" s="12">
        <f>IFERROR(L20+M20,0)</f>
        <v/>
      </c>
      <c r="O20" s="12" t="n"/>
      <c r="P20" s="12" t="n"/>
      <c r="Q20" s="12">
        <f>IFERROR(N20-P20,0)</f>
        <v/>
      </c>
      <c r="R20" s="13">
        <f>IFERROR(Q20/N20,0)</f>
        <v/>
      </c>
      <c r="S20" s="14" t="n"/>
      <c r="T20" s="12">
        <f>IFERROR(N20*S20/100,0)</f>
        <v/>
      </c>
      <c r="U20" s="12">
        <f>IFERROR(N20-T20,0)</f>
        <v/>
      </c>
      <c r="V20" s="8" t="n"/>
      <c r="W20" s="9" t="n"/>
    </row>
    <row r="21" ht="30" customHeight="1">
      <c r="A21" s="8" t="n"/>
      <c r="B21" s="9" t="n"/>
      <c r="C21" s="9" t="n"/>
      <c r="D21" s="8" t="n"/>
      <c r="E21" s="10" t="n"/>
      <c r="F21" s="10" t="n"/>
      <c r="G21" s="8" t="n"/>
      <c r="H21" s="11" t="n"/>
      <c r="I21" s="11" t="n"/>
      <c r="J21" s="11" t="n"/>
      <c r="K21" s="8" t="n"/>
      <c r="L21" s="12" t="n"/>
      <c r="M21" s="12" t="n"/>
      <c r="N21" s="12">
        <f>IFERROR(L21+M21,0)</f>
        <v/>
      </c>
      <c r="O21" s="12" t="n"/>
      <c r="P21" s="12" t="n"/>
      <c r="Q21" s="12">
        <f>IFERROR(N21-P21,0)</f>
        <v/>
      </c>
      <c r="R21" s="13">
        <f>IFERROR(Q21/N21,0)</f>
        <v/>
      </c>
      <c r="S21" s="14" t="n"/>
      <c r="T21" s="12">
        <f>IFERROR(N21*S21/100,0)</f>
        <v/>
      </c>
      <c r="U21" s="12">
        <f>IFERROR(N21-T21,0)</f>
        <v/>
      </c>
      <c r="V21" s="8" t="n"/>
      <c r="W21" s="9" t="n"/>
    </row>
    <row r="22" ht="30" customHeight="1">
      <c r="A22" s="8" t="n"/>
      <c r="B22" s="9" t="n"/>
      <c r="C22" s="9" t="n"/>
      <c r="D22" s="8" t="n"/>
      <c r="E22" s="10" t="n"/>
      <c r="F22" s="10" t="n"/>
      <c r="G22" s="8" t="n"/>
      <c r="H22" s="11" t="n"/>
      <c r="I22" s="11" t="n"/>
      <c r="J22" s="11" t="n"/>
      <c r="K22" s="8" t="n"/>
      <c r="L22" s="12" t="n"/>
      <c r="M22" s="12" t="n"/>
      <c r="N22" s="12">
        <f>IFERROR(L22+M22,0)</f>
        <v/>
      </c>
      <c r="O22" s="12" t="n"/>
      <c r="P22" s="12" t="n"/>
      <c r="Q22" s="12">
        <f>IFERROR(N22-P22,0)</f>
        <v/>
      </c>
      <c r="R22" s="13">
        <f>IFERROR(Q22/N22,0)</f>
        <v/>
      </c>
      <c r="S22" s="14" t="n"/>
      <c r="T22" s="12">
        <f>IFERROR(N22*S22/100,0)</f>
        <v/>
      </c>
      <c r="U22" s="12">
        <f>IFERROR(N22-T22,0)</f>
        <v/>
      </c>
      <c r="V22" s="8" t="n"/>
      <c r="W22" s="9" t="n"/>
    </row>
    <row r="23" ht="30" customHeight="1">
      <c r="A23" s="8" t="n"/>
      <c r="B23" s="9" t="n"/>
      <c r="C23" s="9" t="n"/>
      <c r="D23" s="8" t="n"/>
      <c r="E23" s="10" t="n"/>
      <c r="F23" s="10" t="n"/>
      <c r="G23" s="8" t="n"/>
      <c r="H23" s="11" t="n"/>
      <c r="I23" s="11" t="n"/>
      <c r="J23" s="11" t="n"/>
      <c r="K23" s="8" t="n"/>
      <c r="L23" s="12" t="n"/>
      <c r="M23" s="12" t="n"/>
      <c r="N23" s="12">
        <f>IFERROR(L23+M23,0)</f>
        <v/>
      </c>
      <c r="O23" s="12" t="n"/>
      <c r="P23" s="12" t="n"/>
      <c r="Q23" s="12">
        <f>IFERROR(N23-P23,0)</f>
        <v/>
      </c>
      <c r="R23" s="13">
        <f>IFERROR(Q23/N23,0)</f>
        <v/>
      </c>
      <c r="S23" s="14" t="n"/>
      <c r="T23" s="12">
        <f>IFERROR(N23*S23/100,0)</f>
        <v/>
      </c>
      <c r="U23" s="12">
        <f>IFERROR(N23-T23,0)</f>
        <v/>
      </c>
      <c r="V23" s="8" t="n"/>
      <c r="W23" s="9" t="n"/>
    </row>
    <row r="24" ht="30" customHeight="1">
      <c r="A24" s="8" t="n"/>
      <c r="B24" s="9" t="n"/>
      <c r="C24" s="9" t="n"/>
      <c r="D24" s="8" t="n"/>
      <c r="E24" s="10" t="n"/>
      <c r="F24" s="10" t="n"/>
      <c r="G24" s="8" t="n"/>
      <c r="H24" s="11" t="n"/>
      <c r="I24" s="11" t="n"/>
      <c r="J24" s="11" t="n"/>
      <c r="K24" s="8" t="n"/>
      <c r="L24" s="12" t="n"/>
      <c r="M24" s="12" t="n"/>
      <c r="N24" s="12">
        <f>IFERROR(L24+M24,0)</f>
        <v/>
      </c>
      <c r="O24" s="12" t="n"/>
      <c r="P24" s="12" t="n"/>
      <c r="Q24" s="12">
        <f>IFERROR(N24-P24,0)</f>
        <v/>
      </c>
      <c r="R24" s="13">
        <f>IFERROR(Q24/N24,0)</f>
        <v/>
      </c>
      <c r="S24" s="14" t="n"/>
      <c r="T24" s="12">
        <f>IFERROR(N24*S24/100,0)</f>
        <v/>
      </c>
      <c r="U24" s="12">
        <f>IFERROR(N24-T24,0)</f>
        <v/>
      </c>
      <c r="V24" s="8" t="n"/>
      <c r="W24" s="9" t="n"/>
    </row>
    <row r="25" ht="30" customHeight="1">
      <c r="A25" s="8" t="n"/>
      <c r="B25" s="9" t="n"/>
      <c r="C25" s="9" t="n"/>
      <c r="D25" s="8" t="n"/>
      <c r="E25" s="10" t="n"/>
      <c r="F25" s="10" t="n"/>
      <c r="G25" s="8" t="n"/>
      <c r="H25" s="11" t="n"/>
      <c r="I25" s="11" t="n"/>
      <c r="J25" s="11" t="n"/>
      <c r="K25" s="8" t="n"/>
      <c r="L25" s="12" t="n"/>
      <c r="M25" s="12" t="n"/>
      <c r="N25" s="12">
        <f>IFERROR(L25+M25,0)</f>
        <v/>
      </c>
      <c r="O25" s="12" t="n"/>
      <c r="P25" s="12" t="n"/>
      <c r="Q25" s="12">
        <f>IFERROR(N25-P25,0)</f>
        <v/>
      </c>
      <c r="R25" s="13">
        <f>IFERROR(Q25/N25,0)</f>
        <v/>
      </c>
      <c r="S25" s="14" t="n"/>
      <c r="T25" s="12">
        <f>IFERROR(N25*S25/100,0)</f>
        <v/>
      </c>
      <c r="U25" s="12">
        <f>IFERROR(N25-T25,0)</f>
        <v/>
      </c>
      <c r="V25" s="8" t="n"/>
      <c r="W25" s="9" t="n"/>
    </row>
    <row r="26" ht="30" customHeight="1">
      <c r="A26" s="8" t="n"/>
      <c r="B26" s="9" t="n"/>
      <c r="C26" s="9" t="n"/>
      <c r="D26" s="8" t="n"/>
      <c r="E26" s="10" t="n"/>
      <c r="F26" s="10" t="n"/>
      <c r="G26" s="8" t="n"/>
      <c r="H26" s="11" t="n"/>
      <c r="I26" s="11" t="n"/>
      <c r="J26" s="11" t="n"/>
      <c r="K26" s="8" t="n"/>
      <c r="L26" s="12" t="n"/>
      <c r="M26" s="12" t="n"/>
      <c r="N26" s="12">
        <f>IFERROR(L26+M26,0)</f>
        <v/>
      </c>
      <c r="O26" s="12" t="n"/>
      <c r="P26" s="12" t="n"/>
      <c r="Q26" s="12">
        <f>IFERROR(N26-P26,0)</f>
        <v/>
      </c>
      <c r="R26" s="13">
        <f>IFERROR(Q26/N26,0)</f>
        <v/>
      </c>
      <c r="S26" s="14" t="n"/>
      <c r="T26" s="12">
        <f>IFERROR(N26*S26/100,0)</f>
        <v/>
      </c>
      <c r="U26" s="12">
        <f>IFERROR(N26-T26,0)</f>
        <v/>
      </c>
      <c r="V26" s="8" t="n"/>
      <c r="W26" s="9" t="n"/>
    </row>
    <row r="27" ht="30" customHeight="1">
      <c r="A27" s="8" t="n"/>
      <c r="B27" s="9" t="n"/>
      <c r="C27" s="9" t="n"/>
      <c r="D27" s="8" t="n"/>
      <c r="E27" s="10" t="n"/>
      <c r="F27" s="10" t="n"/>
      <c r="G27" s="8" t="n"/>
      <c r="H27" s="11" t="n"/>
      <c r="I27" s="11" t="n"/>
      <c r="J27" s="11" t="n"/>
      <c r="K27" s="8" t="n"/>
      <c r="L27" s="12" t="n"/>
      <c r="M27" s="12" t="n"/>
      <c r="N27" s="12">
        <f>IFERROR(L27+M27,0)</f>
        <v/>
      </c>
      <c r="O27" s="12" t="n"/>
      <c r="P27" s="12" t="n"/>
      <c r="Q27" s="12">
        <f>IFERROR(N27-P27,0)</f>
        <v/>
      </c>
      <c r="R27" s="13">
        <f>IFERROR(Q27/N27,0)</f>
        <v/>
      </c>
      <c r="S27" s="14" t="n"/>
      <c r="T27" s="12">
        <f>IFERROR(N27*S27/100,0)</f>
        <v/>
      </c>
      <c r="U27" s="12">
        <f>IFERROR(N27-T27,0)</f>
        <v/>
      </c>
      <c r="V27" s="8" t="n"/>
      <c r="W27" s="9" t="n"/>
    </row>
    <row r="28" ht="30" customHeight="1">
      <c r="A28" s="8" t="n"/>
      <c r="B28" s="9" t="n"/>
      <c r="C28" s="9" t="n"/>
      <c r="D28" s="8" t="n"/>
      <c r="E28" s="10" t="n"/>
      <c r="F28" s="10" t="n"/>
      <c r="G28" s="8" t="n"/>
      <c r="H28" s="11" t="n"/>
      <c r="I28" s="11" t="n"/>
      <c r="J28" s="11" t="n"/>
      <c r="K28" s="8" t="n"/>
      <c r="L28" s="12" t="n"/>
      <c r="M28" s="12" t="n"/>
      <c r="N28" s="12">
        <f>IFERROR(L28+M28,0)</f>
        <v/>
      </c>
      <c r="O28" s="12" t="n"/>
      <c r="P28" s="12" t="n"/>
      <c r="Q28" s="12">
        <f>IFERROR(N28-P28,0)</f>
        <v/>
      </c>
      <c r="R28" s="13">
        <f>IFERROR(Q28/N28,0)</f>
        <v/>
      </c>
      <c r="S28" s="14" t="n"/>
      <c r="T28" s="12">
        <f>IFERROR(N28*S28/100,0)</f>
        <v/>
      </c>
      <c r="U28" s="12">
        <f>IFERROR(N28-T28,0)</f>
        <v/>
      </c>
      <c r="V28" s="8" t="n"/>
      <c r="W28" s="9" t="n"/>
    </row>
    <row r="30">
      <c r="K30" s="15" t="inlineStr">
        <is>
          <t>TOTALS</t>
        </is>
      </c>
      <c r="L30" s="16">
        <f>SUM(L4:L28)</f>
        <v/>
      </c>
      <c r="M30" s="16">
        <f>SUM(M4:M28)</f>
        <v/>
      </c>
      <c r="N30" s="16">
        <f>SUM(N4:N28)</f>
        <v/>
      </c>
      <c r="O30" s="16">
        <f>SUM(O4:O28)</f>
        <v/>
      </c>
      <c r="P30" s="16">
        <f>SUM(P4:P28)</f>
        <v/>
      </c>
      <c r="Q30" s="16">
        <f>SUM(Q4:Q28)</f>
        <v/>
      </c>
      <c r="R30" s="17">
        <f>IFERROR(SUM(Q4:Q28)/SUM(N4:N28),0)</f>
        <v/>
      </c>
      <c r="S30" s="18">
        <f>IFERROR(SUMPRODUCT(N4:N28,S4:S28)/SUM(N4:N28),0)</f>
        <v/>
      </c>
      <c r="T30" s="16">
        <f>SUM(T4:T28)</f>
        <v/>
      </c>
      <c r="U30" s="16">
        <f>SUM(U4:U28)</f>
        <v/>
      </c>
    </row>
  </sheetData>
  <mergeCells count="1">
    <mergeCell ref="A1:W1"/>
  </mergeCells>
  <conditionalFormatting sqref="K4:K28">
    <cfRule type="expression" priority="1" dxfId="0" stopIfTrue="0">
      <formula>$K4="Active"</formula>
    </cfRule>
    <cfRule type="expression" priority="2" dxfId="0" stopIfTrue="0">
      <formula>$K4="Substantial Completion"</formula>
    </cfRule>
    <cfRule type="expression" priority="3" dxfId="0" stopIfTrue="0">
      <formula>$K4="Final"</formula>
    </cfRule>
    <cfRule type="expression" priority="4" dxfId="1" stopIfTrue="0">
      <formula>$K4="Mobilizing"</formula>
    </cfRule>
    <cfRule type="expression" priority="5" dxfId="1" stopIfTrue="0">
      <formula>$K4="Bidding"</formula>
    </cfRule>
    <cfRule type="expression" priority="6" dxfId="2" stopIfTrue="0">
      <formula>$K4="Awarded"</formula>
    </cfRule>
    <cfRule type="expression" priority="7" dxfId="3" stopIfTrue="0">
      <formula>$K4="Lost"</formula>
    </cfRule>
  </conditionalFormatting>
  <conditionalFormatting sqref="R4:R28">
    <cfRule type="cellIs" priority="8" operator="lessThan" dxfId="3" stopIfTrue="1">
      <formula>0</formula>
    </cfRule>
    <cfRule type="cellIs" priority="9" operator="between" dxfId="1" stopIfTrue="1">
      <formula>0</formula>
      <formula>0.10</formula>
    </cfRule>
    <cfRule type="cellIs" priority="10" operator="greaterThan" dxfId="0" stopIfTrue="0">
      <formula>0.10</formula>
    </cfRule>
  </conditionalFormatting>
  <conditionalFormatting sqref="S4:S28">
    <cfRule type="dataBar" priority="11">
      <dataBar showValue="1">
        <cfvo type="num" val="0"/>
        <cfvo type="num" val="100"/>
        <color rgb="00006100"/>
      </dataBar>
    </cfRule>
  </conditionalFormatting>
  <dataValidations count="5">
    <dataValidation sqref="D4:D28" showDropDown="0" showInputMessage="0" showErrorMessage="0" allowBlank="1" errorTitle="Invalid project type" error="Pick a project type from the dropdown." type="list">
      <formula1>"New Construction,Remodel,Tenant Improvement,Repair,Service,Specialty"</formula1>
    </dataValidation>
    <dataValidation sqref="E4:E28" showDropDown="0" showInputMessage="0" showErrorMessage="0" allowBlank="1" errorTitle="Invalid CSI Division" error="Pick a CSI Division from the dropdown." type="list">
      <formula1>=CSI_Divisions</formula1>
    </dataValidation>
    <dataValidation sqref="F4:F28" showDropDown="0" showInputMessage="0" showErrorMessage="0" allowBlank="1" errorTitle="Invalid state" error="Pick a state from the dropdown." type="list">
      <formula1>=States_List</formula1>
    </dataValidation>
    <dataValidation sqref="K4:K28" showDropDown="0" showInputMessage="0" showErrorMessage="0" allowBlank="1" errorTitle="Invalid status" error="Pick a status from the dropdown." type="list">
      <formula1>"Bidding,Awarded,Mobilizing,Active,Substantial Completion,Final,Closed,Lost"</formula1>
    </dataValidation>
    <dataValidation sqref="S4:S28" showDropDown="0" showInputMessage="0" showErrorMessage="0" allowBlank="1" errorTitle="Out of range" error="Enter a value between 0 and 100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</cols>
  <sheetData>
    <row r="1" ht="28" customHeight="1">
      <c r="A1" s="1" t="inlineStr">
        <is>
          <t>Portfolio Summary by Status (auto roll-up)</t>
        </is>
      </c>
    </row>
    <row r="2">
      <c r="A2" s="5" t="inlineStr">
        <is>
          <t>Reads from Project Portfolio via COUNTIF/SUMIFS - do not edit. One row per status bucket.</t>
        </is>
      </c>
    </row>
    <row r="3" ht="28" customHeight="1">
      <c r="A3" s="6" t="inlineStr">
        <is>
          <t>Status</t>
        </is>
      </c>
      <c r="B3" s="6" t="inlineStr">
        <is>
          <t>Count</t>
        </is>
      </c>
      <c r="C3" s="6" t="inlineStr">
        <is>
          <t>Total Contract</t>
        </is>
      </c>
      <c r="D3" s="6" t="inlineStr">
        <is>
          <t>Total Earned Value</t>
        </is>
      </c>
      <c r="E3" s="6" t="inlineStr">
        <is>
          <t>Total Cost to Date</t>
        </is>
      </c>
      <c r="F3" s="6" t="inlineStr">
        <is>
          <t>Total Backlog</t>
        </is>
      </c>
      <c r="G3" s="6" t="inlineStr">
        <is>
          <t>Avg Margin %</t>
        </is>
      </c>
    </row>
    <row r="4" ht="22" customHeight="1">
      <c r="A4" s="19" t="inlineStr">
        <is>
          <t>Bidding</t>
        </is>
      </c>
      <c r="B4" s="20">
        <f>COUNTIF('Project Portfolio'!$K$4:$K$28,A4)</f>
        <v/>
      </c>
      <c r="C4" s="21">
        <f>SUMIFS('Project Portfolio'!$N$4:$N$28,'Project Portfolio'!$K$4:$K$28,A4)</f>
        <v/>
      </c>
      <c r="D4" s="21">
        <f>SUMIFS('Project Portfolio'!$T$4:$T$28,'Project Portfolio'!$K$4:$K$28,A4)</f>
        <v/>
      </c>
      <c r="E4" s="21">
        <f>SUMIFS('Project Portfolio'!$O$4:$O$28,'Project Portfolio'!$K$4:$K$28,A4)</f>
        <v/>
      </c>
      <c r="F4" s="21">
        <f>SUMIFS('Project Portfolio'!$U$4:$U$28,'Project Portfolio'!$K$4:$K$28,A4)</f>
        <v/>
      </c>
      <c r="G4" s="22">
        <f>IFERROR(AVERAGEIFS('Project Portfolio'!$R$4:$R$28,'Project Portfolio'!$K$4:$K$28,A4,'Project Portfolio'!$N$4:$N$28,"&gt;0"),0)</f>
        <v/>
      </c>
    </row>
    <row r="5" ht="22" customHeight="1">
      <c r="A5" s="23" t="inlineStr">
        <is>
          <t>Awarded</t>
        </is>
      </c>
      <c r="B5" s="20">
        <f>COUNTIF('Project Portfolio'!$K$4:$K$28,A5)</f>
        <v/>
      </c>
      <c r="C5" s="21">
        <f>SUMIFS('Project Portfolio'!$N$4:$N$28,'Project Portfolio'!$K$4:$K$28,A5)</f>
        <v/>
      </c>
      <c r="D5" s="21">
        <f>SUMIFS('Project Portfolio'!$T$4:$T$28,'Project Portfolio'!$K$4:$K$28,A5)</f>
        <v/>
      </c>
      <c r="E5" s="21">
        <f>SUMIFS('Project Portfolio'!$O$4:$O$28,'Project Portfolio'!$K$4:$K$28,A5)</f>
        <v/>
      </c>
      <c r="F5" s="21">
        <f>SUMIFS('Project Portfolio'!$U$4:$U$28,'Project Portfolio'!$K$4:$K$28,A5)</f>
        <v/>
      </c>
      <c r="G5" s="22">
        <f>IFERROR(AVERAGEIFS('Project Portfolio'!$R$4:$R$28,'Project Portfolio'!$K$4:$K$28,A5,'Project Portfolio'!$N$4:$N$28,"&gt;0"),0)</f>
        <v/>
      </c>
    </row>
    <row r="6" ht="22" customHeight="1">
      <c r="A6" s="19" t="inlineStr">
        <is>
          <t>Mobilizing</t>
        </is>
      </c>
      <c r="B6" s="20">
        <f>COUNTIF('Project Portfolio'!$K$4:$K$28,A6)</f>
        <v/>
      </c>
      <c r="C6" s="21">
        <f>SUMIFS('Project Portfolio'!$N$4:$N$28,'Project Portfolio'!$K$4:$K$28,A6)</f>
        <v/>
      </c>
      <c r="D6" s="21">
        <f>SUMIFS('Project Portfolio'!$T$4:$T$28,'Project Portfolio'!$K$4:$K$28,A6)</f>
        <v/>
      </c>
      <c r="E6" s="21">
        <f>SUMIFS('Project Portfolio'!$O$4:$O$28,'Project Portfolio'!$K$4:$K$28,A6)</f>
        <v/>
      </c>
      <c r="F6" s="21">
        <f>SUMIFS('Project Portfolio'!$U$4:$U$28,'Project Portfolio'!$K$4:$K$28,A6)</f>
        <v/>
      </c>
      <c r="G6" s="22">
        <f>IFERROR(AVERAGEIFS('Project Portfolio'!$R$4:$R$28,'Project Portfolio'!$K$4:$K$28,A6,'Project Portfolio'!$N$4:$N$28,"&gt;0"),0)</f>
        <v/>
      </c>
    </row>
    <row r="7" ht="22" customHeight="1">
      <c r="A7" s="24" t="inlineStr">
        <is>
          <t>Active</t>
        </is>
      </c>
      <c r="B7" s="20">
        <f>COUNTIF('Project Portfolio'!$K$4:$K$28,A7)</f>
        <v/>
      </c>
      <c r="C7" s="21">
        <f>SUMIFS('Project Portfolio'!$N$4:$N$28,'Project Portfolio'!$K$4:$K$28,A7)</f>
        <v/>
      </c>
      <c r="D7" s="21">
        <f>SUMIFS('Project Portfolio'!$T$4:$T$28,'Project Portfolio'!$K$4:$K$28,A7)</f>
        <v/>
      </c>
      <c r="E7" s="21">
        <f>SUMIFS('Project Portfolio'!$O$4:$O$28,'Project Portfolio'!$K$4:$K$28,A7)</f>
        <v/>
      </c>
      <c r="F7" s="21">
        <f>SUMIFS('Project Portfolio'!$U$4:$U$28,'Project Portfolio'!$K$4:$K$28,A7)</f>
        <v/>
      </c>
      <c r="G7" s="22">
        <f>IFERROR(AVERAGEIFS('Project Portfolio'!$R$4:$R$28,'Project Portfolio'!$K$4:$K$28,A7,'Project Portfolio'!$N$4:$N$28,"&gt;0"),0)</f>
        <v/>
      </c>
    </row>
    <row r="8" ht="22" customHeight="1">
      <c r="A8" s="24" t="inlineStr">
        <is>
          <t>Substantial Completion</t>
        </is>
      </c>
      <c r="B8" s="20">
        <f>COUNTIF('Project Portfolio'!$K$4:$K$28,A8)</f>
        <v/>
      </c>
      <c r="C8" s="21">
        <f>SUMIFS('Project Portfolio'!$N$4:$N$28,'Project Portfolio'!$K$4:$K$28,A8)</f>
        <v/>
      </c>
      <c r="D8" s="21">
        <f>SUMIFS('Project Portfolio'!$T$4:$T$28,'Project Portfolio'!$K$4:$K$28,A8)</f>
        <v/>
      </c>
      <c r="E8" s="21">
        <f>SUMIFS('Project Portfolio'!$O$4:$O$28,'Project Portfolio'!$K$4:$K$28,A8)</f>
        <v/>
      </c>
      <c r="F8" s="21">
        <f>SUMIFS('Project Portfolio'!$U$4:$U$28,'Project Portfolio'!$K$4:$K$28,A8)</f>
        <v/>
      </c>
      <c r="G8" s="22">
        <f>IFERROR(AVERAGEIFS('Project Portfolio'!$R$4:$R$28,'Project Portfolio'!$K$4:$K$28,A8,'Project Portfolio'!$N$4:$N$28,"&gt;0"),0)</f>
        <v/>
      </c>
    </row>
    <row r="9" ht="22" customHeight="1">
      <c r="A9" s="24" t="inlineStr">
        <is>
          <t>Final</t>
        </is>
      </c>
      <c r="B9" s="20">
        <f>COUNTIF('Project Portfolio'!$K$4:$K$28,A9)</f>
        <v/>
      </c>
      <c r="C9" s="21">
        <f>SUMIFS('Project Portfolio'!$N$4:$N$28,'Project Portfolio'!$K$4:$K$28,A9)</f>
        <v/>
      </c>
      <c r="D9" s="21">
        <f>SUMIFS('Project Portfolio'!$T$4:$T$28,'Project Portfolio'!$K$4:$K$28,A9)</f>
        <v/>
      </c>
      <c r="E9" s="21">
        <f>SUMIFS('Project Portfolio'!$O$4:$O$28,'Project Portfolio'!$K$4:$K$28,A9)</f>
        <v/>
      </c>
      <c r="F9" s="21">
        <f>SUMIFS('Project Portfolio'!$U$4:$U$28,'Project Portfolio'!$K$4:$K$28,A9)</f>
        <v/>
      </c>
      <c r="G9" s="22">
        <f>IFERROR(AVERAGEIFS('Project Portfolio'!$R$4:$R$28,'Project Portfolio'!$K$4:$K$28,A9,'Project Portfolio'!$N$4:$N$28,"&gt;0"),0)</f>
        <v/>
      </c>
    </row>
    <row r="10" ht="22" customHeight="1">
      <c r="A10" s="25" t="inlineStr">
        <is>
          <t>Closed</t>
        </is>
      </c>
      <c r="B10" s="20">
        <f>COUNTIF('Project Portfolio'!$K$4:$K$28,A10)</f>
        <v/>
      </c>
      <c r="C10" s="21">
        <f>SUMIFS('Project Portfolio'!$N$4:$N$28,'Project Portfolio'!$K$4:$K$28,A10)</f>
        <v/>
      </c>
      <c r="D10" s="21">
        <f>SUMIFS('Project Portfolio'!$T$4:$T$28,'Project Portfolio'!$K$4:$K$28,A10)</f>
        <v/>
      </c>
      <c r="E10" s="21">
        <f>SUMIFS('Project Portfolio'!$O$4:$O$28,'Project Portfolio'!$K$4:$K$28,A10)</f>
        <v/>
      </c>
      <c r="F10" s="21">
        <f>SUMIFS('Project Portfolio'!$U$4:$U$28,'Project Portfolio'!$K$4:$K$28,A10)</f>
        <v/>
      </c>
      <c r="G10" s="22">
        <f>IFERROR(AVERAGEIFS('Project Portfolio'!$R$4:$R$28,'Project Portfolio'!$K$4:$K$28,A10,'Project Portfolio'!$N$4:$N$28,"&gt;0"),0)</f>
        <v/>
      </c>
    </row>
    <row r="11" ht="22" customHeight="1">
      <c r="A11" s="26" t="inlineStr">
        <is>
          <t>Lost</t>
        </is>
      </c>
      <c r="B11" s="20">
        <f>COUNTIF('Project Portfolio'!$K$4:$K$28,A11)</f>
        <v/>
      </c>
      <c r="C11" s="21">
        <f>SUMIFS('Project Portfolio'!$N$4:$N$28,'Project Portfolio'!$K$4:$K$28,A11)</f>
        <v/>
      </c>
      <c r="D11" s="21">
        <f>SUMIFS('Project Portfolio'!$T$4:$T$28,'Project Portfolio'!$K$4:$K$28,A11)</f>
        <v/>
      </c>
      <c r="E11" s="21">
        <f>SUMIFS('Project Portfolio'!$O$4:$O$28,'Project Portfolio'!$K$4:$K$28,A11)</f>
        <v/>
      </c>
      <c r="F11" s="21">
        <f>SUMIFS('Project Portfolio'!$U$4:$U$28,'Project Portfolio'!$K$4:$K$28,A11)</f>
        <v/>
      </c>
      <c r="G11" s="22">
        <f>IFERROR(AVERAGEIFS('Project Portfolio'!$R$4:$R$28,'Project Portfolio'!$K$4:$K$28,A11,'Project Portfolio'!$N$4:$N$28,"&gt;0"),0)</f>
        <v/>
      </c>
    </row>
    <row r="13">
      <c r="A13" s="15" t="inlineStr">
        <is>
          <t>TOTALS</t>
        </is>
      </c>
      <c r="B13" s="27">
        <f>SUM(B4:B11)</f>
        <v/>
      </c>
      <c r="C13" s="16">
        <f>SUM(C4:C11)</f>
        <v/>
      </c>
      <c r="D13" s="16">
        <f>SUM(D4:D11)</f>
        <v/>
      </c>
      <c r="E13" s="16">
        <f>SUM(E4:E11)</f>
        <v/>
      </c>
      <c r="F13" s="16">
        <f>SUM(F4:F11)</f>
        <v/>
      </c>
      <c r="G13" s="17">
        <f>IFERROR(SUMPRODUCT(C4:C11,G4:G11)/SUM(C4:C11),0)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  <col width="16" customWidth="1" min="5" max="5"/>
    <col width="10" customWidth="1" min="6" max="6"/>
  </cols>
  <sheetData>
    <row r="1" ht="32" customHeight="1">
      <c r="A1" s="1" t="inlineStr">
        <is>
          <t>Portfolio Dashboard</t>
        </is>
      </c>
    </row>
    <row r="2">
      <c r="A2" s="5" t="inlineStr">
        <is>
          <t>Auto-calculated from Project Portfolio. Update that tab - this one stays in sync.</t>
        </is>
      </c>
    </row>
    <row r="4" ht="26" customHeight="1">
      <c r="A4" s="28" t="inlineStr">
        <is>
          <t>Portfolio KPIs</t>
        </is>
      </c>
    </row>
    <row r="5" ht="28" customHeight="1">
      <c r="A5" s="29" t="inlineStr">
        <is>
          <t>Total Active Backlog</t>
        </is>
      </c>
      <c r="B5" s="30" t="n"/>
      <c r="C5" s="31" t="n"/>
      <c r="D5" s="32">
        <f>SUMIFS('Project Portfolio'!$U$4:$U$28,'Project Portfolio'!$K$4:$K$28,"Active") + SUMIFS('Project Portfolio'!$U$4:$U$28,'Project Portfolio'!$K$4:$K$28,"Mobilizing") + SUMIFS('Project Portfolio'!$U$4:$U$28,'Project Portfolio'!$K$4:$K$28,"Substantial Completion") + SUMIFS('Project Portfolio'!$U$4:$U$28,'Project Portfolio'!$K$4:$K$28,"Awarded")</f>
        <v/>
      </c>
      <c r="E5" s="30" t="n"/>
      <c r="F5" s="31" t="n"/>
    </row>
    <row r="6" ht="28" customHeight="1">
      <c r="A6" s="29" t="inlineStr">
        <is>
          <t>Total Cost to Date (Active)</t>
        </is>
      </c>
      <c r="B6" s="30" t="n"/>
      <c r="C6" s="31" t="n"/>
      <c r="D6" s="32">
        <f>SUMIFS('Project Portfolio'!$O$4:$O$28,'Project Portfolio'!$K$4:$K$28,"Active") + SUMIFS('Project Portfolio'!$O$4:$O$28,'Project Portfolio'!$K$4:$K$28,"Mobilizing") + SUMIFS('Project Portfolio'!$O$4:$O$28,'Project Portfolio'!$K$4:$K$28,"Substantial Completion") + SUMIFS('Project Portfolio'!$O$4:$O$28,'Project Portfolio'!$K$4:$K$28,"Awarded")</f>
        <v/>
      </c>
      <c r="E6" s="30" t="n"/>
      <c r="F6" s="31" t="n"/>
    </row>
    <row r="7" ht="28" customHeight="1">
      <c r="A7" s="29" t="inlineStr">
        <is>
          <t>Weighted Avg Margin % (Active)</t>
        </is>
      </c>
      <c r="B7" s="30" t="n"/>
      <c r="C7" s="31" t="n"/>
      <c r="D7" s="33">
        <f>IFERROR((SUMIFS('Project Portfolio'!$Q$4:$Q$28,'Project Portfolio'!$K$4:$K$28,"Active") + SUMIFS('Project Portfolio'!$Q$4:$Q$28,'Project Portfolio'!$K$4:$K$28,"Mobilizing") + SUMIFS('Project Portfolio'!$Q$4:$Q$28,'Project Portfolio'!$K$4:$K$28,"Substantial Completion") + SUMIFS('Project Portfolio'!$Q$4:$Q$28,'Project Portfolio'!$K$4:$K$28,"Awarded"))/(SUMIFS('Project Portfolio'!$N$4:$N$28,'Project Portfolio'!$K$4:$K$28,"Active") + SUMIFS('Project Portfolio'!$N$4:$N$28,'Project Portfolio'!$K$4:$K$28,"Mobilizing") + SUMIFS('Project Portfolio'!$N$4:$N$28,'Project Portfolio'!$K$4:$K$28,"Substantial Completion") + SUMIFS('Project Portfolio'!$N$4:$N$28,'Project Portfolio'!$K$4:$K$28,"Awarded")),0)</f>
        <v/>
      </c>
      <c r="E7" s="30" t="n"/>
      <c r="F7" s="31" t="n"/>
    </row>
    <row r="8" ht="28" customHeight="1">
      <c r="A8" s="29" t="inlineStr">
        <is>
          <t>Active Project Count</t>
        </is>
      </c>
      <c r="B8" s="30" t="n"/>
      <c r="C8" s="31" t="n"/>
      <c r="D8" s="34">
        <f>COUNTIF('Project Portfolio'!$K$4:$K$28,"Active") + COUNTIF('Project Portfolio'!$K$4:$K$28,"Mobilizing") + COUNTIF('Project Portfolio'!$K$4:$K$28,"Substantial Completion") + COUNTIF('Project Portfolio'!$K$4:$K$28,"Awarded")</f>
        <v/>
      </c>
      <c r="E8" s="30" t="n"/>
      <c r="F8" s="31" t="n"/>
    </row>
    <row r="9" ht="28" customHeight="1">
      <c r="A9" s="29" t="inlineStr">
        <is>
          <t>All Statuses - Total Contract</t>
        </is>
      </c>
      <c r="B9" s="30" t="n"/>
      <c r="C9" s="31" t="n"/>
      <c r="D9" s="32">
        <f>SUM('Project Portfolio'!$N$4:$N$28)</f>
        <v/>
      </c>
      <c r="E9" s="30" t="n"/>
      <c r="F9" s="31" t="n"/>
    </row>
    <row r="10" ht="28" customHeight="1">
      <c r="A10" s="29" t="inlineStr">
        <is>
          <t>All Statuses - Total Backlog</t>
        </is>
      </c>
      <c r="B10" s="30" t="n"/>
      <c r="C10" s="31" t="n"/>
      <c r="D10" s="32">
        <f>SUM('Project Portfolio'!$U$4:$U$28)</f>
        <v/>
      </c>
      <c r="E10" s="30" t="n"/>
      <c r="F10" s="31" t="n"/>
    </row>
    <row r="13" ht="26" customHeight="1">
      <c r="A13" s="28" t="inlineStr">
        <is>
          <t>Top 5 Largest Backlogs</t>
        </is>
      </c>
    </row>
    <row r="14" ht="28" customHeight="1">
      <c r="A14" s="6" t="inlineStr">
        <is>
          <t>Rank</t>
        </is>
      </c>
      <c r="B14" s="6" t="inlineStr">
        <is>
          <t>Project Name</t>
        </is>
      </c>
      <c r="C14" s="6" t="n"/>
      <c r="D14" s="6" t="inlineStr">
        <is>
          <t>Backlog</t>
        </is>
      </c>
      <c r="E14" s="6" t="n"/>
      <c r="F14" s="6" t="n"/>
    </row>
    <row r="15" ht="24" customHeight="1">
      <c r="A15" s="35" t="n">
        <v>1</v>
      </c>
      <c r="B15" s="36">
        <f>IFERROR(INDEX('Project Portfolio'!$B$4:$B$28,MATCH(LARGE('Project Portfolio'!$U$4:$U$28,1),'Project Portfolio'!$U$4:$U$28,0)),"")</f>
        <v/>
      </c>
      <c r="C15" s="37" t="n"/>
      <c r="D15" s="38">
        <f>IFERROR(INDEX('Project Portfolio'!$K$4:$K$28,MATCH(LARGE('Project Portfolio'!$U$4:$U$28,1),'Project Portfolio'!$U$4:$U$28,0)),"")</f>
        <v/>
      </c>
      <c r="E15" s="39">
        <f>IFERROR(LARGE('Project Portfolio'!$U$4:$U$28,1),0)</f>
        <v/>
      </c>
      <c r="F15" s="37" t="n"/>
    </row>
    <row r="16" ht="24" customHeight="1">
      <c r="A16" s="35" t="n">
        <v>2</v>
      </c>
      <c r="B16" s="36">
        <f>IFERROR(INDEX('Project Portfolio'!$B$4:$B$28,MATCH(LARGE('Project Portfolio'!$U$4:$U$28,2),'Project Portfolio'!$U$4:$U$28,0)),"")</f>
        <v/>
      </c>
      <c r="C16" s="37" t="n"/>
      <c r="D16" s="38">
        <f>IFERROR(INDEX('Project Portfolio'!$K$4:$K$28,MATCH(LARGE('Project Portfolio'!$U$4:$U$28,2),'Project Portfolio'!$U$4:$U$28,0)),"")</f>
        <v/>
      </c>
      <c r="E16" s="39">
        <f>IFERROR(LARGE('Project Portfolio'!$U$4:$U$28,2),0)</f>
        <v/>
      </c>
      <c r="F16" s="37" t="n"/>
    </row>
    <row r="17" ht="24" customHeight="1">
      <c r="A17" s="35" t="n">
        <v>3</v>
      </c>
      <c r="B17" s="36">
        <f>IFERROR(INDEX('Project Portfolio'!$B$4:$B$28,MATCH(LARGE('Project Portfolio'!$U$4:$U$28,3),'Project Portfolio'!$U$4:$U$28,0)),"")</f>
        <v/>
      </c>
      <c r="C17" s="37" t="n"/>
      <c r="D17" s="38">
        <f>IFERROR(INDEX('Project Portfolio'!$K$4:$K$28,MATCH(LARGE('Project Portfolio'!$U$4:$U$28,3),'Project Portfolio'!$U$4:$U$28,0)),"")</f>
        <v/>
      </c>
      <c r="E17" s="39">
        <f>IFERROR(LARGE('Project Portfolio'!$U$4:$U$28,3),0)</f>
        <v/>
      </c>
      <c r="F17" s="37" t="n"/>
    </row>
    <row r="18" ht="24" customHeight="1">
      <c r="A18" s="35" t="n">
        <v>4</v>
      </c>
      <c r="B18" s="36">
        <f>IFERROR(INDEX('Project Portfolio'!$B$4:$B$28,MATCH(LARGE('Project Portfolio'!$U$4:$U$28,4),'Project Portfolio'!$U$4:$U$28,0)),"")</f>
        <v/>
      </c>
      <c r="C18" s="37" t="n"/>
      <c r="D18" s="38">
        <f>IFERROR(INDEX('Project Portfolio'!$K$4:$K$28,MATCH(LARGE('Project Portfolio'!$U$4:$U$28,4),'Project Portfolio'!$U$4:$U$28,0)),"")</f>
        <v/>
      </c>
      <c r="E18" s="39">
        <f>IFERROR(LARGE('Project Portfolio'!$U$4:$U$28,4),0)</f>
        <v/>
      </c>
      <c r="F18" s="37" t="n"/>
    </row>
    <row r="19" ht="24" customHeight="1">
      <c r="A19" s="35" t="n">
        <v>5</v>
      </c>
      <c r="B19" s="36">
        <f>IFERROR(INDEX('Project Portfolio'!$B$4:$B$28,MATCH(LARGE('Project Portfolio'!$U$4:$U$28,5),'Project Portfolio'!$U$4:$U$28,0)),"")</f>
        <v/>
      </c>
      <c r="C19" s="37" t="n"/>
      <c r="D19" s="38">
        <f>IFERROR(INDEX('Project Portfolio'!$K$4:$K$28,MATCH(LARGE('Project Portfolio'!$U$4:$U$28,5),'Project Portfolio'!$U$4:$U$28,0)),"")</f>
        <v/>
      </c>
      <c r="E19" s="39">
        <f>IFERROR(LARGE('Project Portfolio'!$U$4:$U$28,5),0)</f>
        <v/>
      </c>
      <c r="F19" s="37" t="n"/>
    </row>
    <row r="22" ht="26" customHeight="1">
      <c r="A22" s="28" t="inlineStr">
        <is>
          <t>Aged Projects (past Target Completion, not yet Final/Closed)</t>
        </is>
      </c>
    </row>
    <row r="23" ht="28" customHeight="1">
      <c r="A23" s="29" t="inlineStr">
        <is>
          <t>Count of aged projects</t>
        </is>
      </c>
      <c r="B23" s="30" t="n"/>
      <c r="C23" s="31" t="n"/>
      <c r="D23" s="34">
        <f>SUMPRODUCT(('Project Portfolio'!$I$4:$I$28&lt;TODAY())*('Project Portfolio'!$I$4:$I$28&lt;&gt;"")*('Project Portfolio'!$K$4:$K$28&lt;&gt;"Final")*('Project Portfolio'!$K$4:$K$28&lt;&gt;"Closed")*('Project Portfolio'!$K$4:$K$28&lt;&gt;"Lost")*('Project Portfolio'!$K$4:$K$28&lt;&gt;"Bidding"))</f>
        <v/>
      </c>
      <c r="E23" s="30" t="n"/>
      <c r="F23" s="31" t="n"/>
    </row>
    <row r="24" ht="28" customHeight="1">
      <c r="A24" s="29" t="inlineStr">
        <is>
          <t>Backlog tied up in aged projects</t>
        </is>
      </c>
      <c r="B24" s="30" t="n"/>
      <c r="C24" s="31" t="n"/>
      <c r="D24" s="32">
        <f>SUMPRODUCT(('Project Portfolio'!$I$4:$I$28&lt;TODAY())*('Project Portfolio'!$I$4:$I$28&lt;&gt;"")*('Project Portfolio'!$K$4:$K$28&lt;&gt;"Final")*('Project Portfolio'!$K$4:$K$28&lt;&gt;"Closed")*('Project Portfolio'!$K$4:$K$28&lt;&gt;"Lost")*('Project Portfolio'!$K$4:$K$28&lt;&gt;"Bidding")*'Project Portfolio'!$U$4:$U$28)</f>
        <v/>
      </c>
      <c r="E24" s="30" t="n"/>
      <c r="F24" s="31" t="n"/>
    </row>
    <row r="26" ht="20" customHeight="1">
      <c r="A26" s="5" t="inlineStr">
        <is>
          <t>To see which projects are aged: open Project Portfolio, filter Target Completion &lt; today and Status not Final/Closed/Lost/Bidding.</t>
        </is>
      </c>
    </row>
  </sheetData>
  <mergeCells count="34">
    <mergeCell ref="B16:C16"/>
    <mergeCell ref="E14:F14"/>
    <mergeCell ref="D7:F7"/>
    <mergeCell ref="E17:F17"/>
    <mergeCell ref="B18:C18"/>
    <mergeCell ref="A26:F26"/>
    <mergeCell ref="A2:F2"/>
    <mergeCell ref="A5:C5"/>
    <mergeCell ref="A23:C23"/>
    <mergeCell ref="A8:C8"/>
    <mergeCell ref="E19:F19"/>
    <mergeCell ref="D9:F9"/>
    <mergeCell ref="B14:C14"/>
    <mergeCell ref="A22:F22"/>
    <mergeCell ref="A4:F4"/>
    <mergeCell ref="B17:C17"/>
    <mergeCell ref="D8:F8"/>
    <mergeCell ref="D24:F24"/>
    <mergeCell ref="A10:C10"/>
    <mergeCell ref="D5:F5"/>
    <mergeCell ref="A13:F13"/>
    <mergeCell ref="E15:F15"/>
    <mergeCell ref="D23:F23"/>
    <mergeCell ref="B19:C19"/>
    <mergeCell ref="A9:C9"/>
    <mergeCell ref="A24:C24"/>
    <mergeCell ref="D10:F10"/>
    <mergeCell ref="B15:C15"/>
    <mergeCell ref="E16:F16"/>
    <mergeCell ref="E18:F18"/>
    <mergeCell ref="A1:F1"/>
    <mergeCell ref="A6:C6"/>
    <mergeCell ref="A7:C7"/>
    <mergeCell ref="D6:F6"/>
  </mergeCells>
  <conditionalFormatting sqref="D7">
    <cfRule type="cellIs" priority="1" operator="lessThan" dxfId="4" stopIfTrue="1">
      <formula>0</formula>
    </cfRule>
    <cfRule type="cellIs" priority="2" operator="between" dxfId="5" stopIfTrue="1">
      <formula>0</formula>
      <formula>0.10</formula>
    </cfRule>
    <cfRule type="cellIs" priority="3" operator="greaterThan" dxfId="6" stopIfTrue="0">
      <formula>0.10</formula>
    </cfRule>
  </conditionalFormatting>
  <conditionalFormatting sqref="D23">
    <cfRule type="cellIs" priority="4" operator="greaterThan" dxfId="4" stopIfTrue="0">
      <formula>0</formula>
    </cfRule>
  </conditionalFormatting>
  <conditionalFormatting sqref="D24">
    <cfRule type="cellIs" priority="5" operator="greaterThan" dxfId="4" stopIfTrue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" customWidth="1" min="3" max="3"/>
    <col width="10" customWidth="1" min="4" max="4"/>
  </cols>
  <sheetData>
    <row r="1" ht="28" customHeight="1">
      <c r="A1" s="1" t="inlineStr">
        <is>
          <t>CSI MasterFormat + Reference Lists</t>
        </is>
      </c>
    </row>
    <row r="2">
      <c r="A2" s="5" t="inlineStr">
        <is>
          <t>Pulled from the same canonical lists as ContrPro Job Costing and Change Order Log. Do not edit.</t>
        </is>
      </c>
    </row>
    <row r="3" ht="28" customHeight="1">
      <c r="A3" s="6" t="inlineStr">
        <is>
          <t>CSI Division</t>
        </is>
      </c>
      <c r="B3" s="6" t="inlineStr">
        <is>
          <t>Division Name</t>
        </is>
      </c>
      <c r="D3" s="40" t="inlineStr">
        <is>
          <t>State</t>
        </is>
      </c>
    </row>
    <row r="4">
      <c r="A4" s="41" t="inlineStr">
        <is>
          <t>01</t>
        </is>
      </c>
      <c r="B4" s="42" t="inlineStr">
        <is>
          <t>General Requirements</t>
        </is>
      </c>
      <c r="D4" s="41" t="inlineStr">
        <is>
          <t>AL</t>
        </is>
      </c>
    </row>
    <row r="5">
      <c r="A5" s="41" t="inlineStr">
        <is>
          <t>02</t>
        </is>
      </c>
      <c r="B5" s="42" t="inlineStr">
        <is>
          <t>Existing Conditions</t>
        </is>
      </c>
      <c r="D5" s="41" t="inlineStr">
        <is>
          <t>AK</t>
        </is>
      </c>
    </row>
    <row r="6">
      <c r="A6" s="41" t="inlineStr">
        <is>
          <t>03</t>
        </is>
      </c>
      <c r="B6" s="42" t="inlineStr">
        <is>
          <t>Concrete</t>
        </is>
      </c>
      <c r="D6" s="41" t="inlineStr">
        <is>
          <t>AZ</t>
        </is>
      </c>
    </row>
    <row r="7">
      <c r="A7" s="41" t="inlineStr">
        <is>
          <t>04</t>
        </is>
      </c>
      <c r="B7" s="42" t="inlineStr">
        <is>
          <t>Masonry</t>
        </is>
      </c>
      <c r="D7" s="41" t="inlineStr">
        <is>
          <t>AR</t>
        </is>
      </c>
    </row>
    <row r="8">
      <c r="A8" s="41" t="inlineStr">
        <is>
          <t>05</t>
        </is>
      </c>
      <c r="B8" s="42" t="inlineStr">
        <is>
          <t>Metals</t>
        </is>
      </c>
      <c r="D8" s="41" t="inlineStr">
        <is>
          <t>CA</t>
        </is>
      </c>
    </row>
    <row r="9">
      <c r="A9" s="41" t="inlineStr">
        <is>
          <t>06</t>
        </is>
      </c>
      <c r="B9" s="42" t="inlineStr">
        <is>
          <t>Wood, Plastics, and Composites</t>
        </is>
      </c>
      <c r="D9" s="41" t="inlineStr">
        <is>
          <t>CO</t>
        </is>
      </c>
    </row>
    <row r="10">
      <c r="A10" s="41" t="inlineStr">
        <is>
          <t>07</t>
        </is>
      </c>
      <c r="B10" s="42" t="inlineStr">
        <is>
          <t>Thermal and Moisture Protection</t>
        </is>
      </c>
      <c r="D10" s="41" t="inlineStr">
        <is>
          <t>CT</t>
        </is>
      </c>
    </row>
    <row r="11">
      <c r="A11" s="41" t="inlineStr">
        <is>
          <t>08</t>
        </is>
      </c>
      <c r="B11" s="42" t="inlineStr">
        <is>
          <t>Openings</t>
        </is>
      </c>
      <c r="D11" s="41" t="inlineStr">
        <is>
          <t>DE</t>
        </is>
      </c>
    </row>
    <row r="12">
      <c r="A12" s="41" t="inlineStr">
        <is>
          <t>09</t>
        </is>
      </c>
      <c r="B12" s="42" t="inlineStr">
        <is>
          <t>Finishes</t>
        </is>
      </c>
      <c r="D12" s="41" t="inlineStr">
        <is>
          <t>DC</t>
        </is>
      </c>
    </row>
    <row r="13">
      <c r="A13" s="41" t="inlineStr">
        <is>
          <t>10</t>
        </is>
      </c>
      <c r="B13" s="42" t="inlineStr">
        <is>
          <t>Specialties</t>
        </is>
      </c>
      <c r="D13" s="41" t="inlineStr">
        <is>
          <t>FL</t>
        </is>
      </c>
    </row>
    <row r="14">
      <c r="A14" s="41" t="inlineStr">
        <is>
          <t>11</t>
        </is>
      </c>
      <c r="B14" s="42" t="inlineStr">
        <is>
          <t>Equipment</t>
        </is>
      </c>
      <c r="D14" s="41" t="inlineStr">
        <is>
          <t>GA</t>
        </is>
      </c>
    </row>
    <row r="15">
      <c r="A15" s="41" t="inlineStr">
        <is>
          <t>12</t>
        </is>
      </c>
      <c r="B15" s="42" t="inlineStr">
        <is>
          <t>Furnishings</t>
        </is>
      </c>
      <c r="D15" s="41" t="inlineStr">
        <is>
          <t>HI</t>
        </is>
      </c>
    </row>
    <row r="16">
      <c r="A16" s="41" t="inlineStr">
        <is>
          <t>13</t>
        </is>
      </c>
      <c r="B16" s="42" t="inlineStr">
        <is>
          <t>Special Construction</t>
        </is>
      </c>
      <c r="D16" s="41" t="inlineStr">
        <is>
          <t>ID</t>
        </is>
      </c>
    </row>
    <row r="17">
      <c r="A17" s="41" t="inlineStr">
        <is>
          <t>14</t>
        </is>
      </c>
      <c r="B17" s="42" t="inlineStr">
        <is>
          <t>Conveying Equipment</t>
        </is>
      </c>
      <c r="D17" s="41" t="inlineStr">
        <is>
          <t>IL</t>
        </is>
      </c>
    </row>
    <row r="18">
      <c r="A18" s="41" t="inlineStr">
        <is>
          <t>21</t>
        </is>
      </c>
      <c r="B18" s="42" t="inlineStr">
        <is>
          <t>Fire Suppression</t>
        </is>
      </c>
      <c r="D18" s="41" t="inlineStr">
        <is>
          <t>IN</t>
        </is>
      </c>
    </row>
    <row r="19">
      <c r="A19" s="41" t="inlineStr">
        <is>
          <t>22</t>
        </is>
      </c>
      <c r="B19" s="42" t="inlineStr">
        <is>
          <t>Plumbing</t>
        </is>
      </c>
      <c r="D19" s="41" t="inlineStr">
        <is>
          <t>IA</t>
        </is>
      </c>
    </row>
    <row r="20">
      <c r="A20" s="41" t="inlineStr">
        <is>
          <t>23</t>
        </is>
      </c>
      <c r="B20" s="42" t="inlineStr">
        <is>
          <t>HVAC</t>
        </is>
      </c>
      <c r="D20" s="41" t="inlineStr">
        <is>
          <t>KS</t>
        </is>
      </c>
    </row>
    <row r="21">
      <c r="A21" s="41" t="inlineStr">
        <is>
          <t>25</t>
        </is>
      </c>
      <c r="B21" s="42" t="inlineStr">
        <is>
          <t>Integrated Automation</t>
        </is>
      </c>
      <c r="D21" s="41" t="inlineStr">
        <is>
          <t>KY</t>
        </is>
      </c>
    </row>
    <row r="22">
      <c r="A22" s="41" t="inlineStr">
        <is>
          <t>26</t>
        </is>
      </c>
      <c r="B22" s="42" t="inlineStr">
        <is>
          <t>Electrical</t>
        </is>
      </c>
      <c r="D22" s="41" t="inlineStr">
        <is>
          <t>LA</t>
        </is>
      </c>
    </row>
    <row r="23">
      <c r="A23" s="41" t="inlineStr">
        <is>
          <t>27</t>
        </is>
      </c>
      <c r="B23" s="42" t="inlineStr">
        <is>
          <t>Communications</t>
        </is>
      </c>
      <c r="D23" s="41" t="inlineStr">
        <is>
          <t>ME</t>
        </is>
      </c>
    </row>
    <row r="24">
      <c r="A24" s="41" t="inlineStr">
        <is>
          <t>28</t>
        </is>
      </c>
      <c r="B24" s="42" t="inlineStr">
        <is>
          <t>Electronic Safety and Security</t>
        </is>
      </c>
      <c r="D24" s="41" t="inlineStr">
        <is>
          <t>MD</t>
        </is>
      </c>
    </row>
    <row r="25">
      <c r="A25" s="41" t="inlineStr">
        <is>
          <t>31</t>
        </is>
      </c>
      <c r="B25" s="42" t="inlineStr">
        <is>
          <t>Earthwork</t>
        </is>
      </c>
      <c r="D25" s="41" t="inlineStr">
        <is>
          <t>MA</t>
        </is>
      </c>
    </row>
    <row r="26">
      <c r="A26" s="41" t="inlineStr">
        <is>
          <t>32</t>
        </is>
      </c>
      <c r="B26" s="42" t="inlineStr">
        <is>
          <t>Exterior Improvements</t>
        </is>
      </c>
      <c r="D26" s="41" t="inlineStr">
        <is>
          <t>MI</t>
        </is>
      </c>
    </row>
    <row r="27">
      <c r="A27" s="41" t="inlineStr">
        <is>
          <t>33</t>
        </is>
      </c>
      <c r="B27" s="42" t="inlineStr">
        <is>
          <t>Utilities</t>
        </is>
      </c>
      <c r="D27" s="41" t="inlineStr">
        <is>
          <t>MN</t>
        </is>
      </c>
    </row>
    <row r="28">
      <c r="A28" s="41" t="inlineStr">
        <is>
          <t>34</t>
        </is>
      </c>
      <c r="B28" s="42" t="inlineStr">
        <is>
          <t>Transportation</t>
        </is>
      </c>
      <c r="D28" s="41" t="inlineStr">
        <is>
          <t>MS</t>
        </is>
      </c>
    </row>
    <row r="29">
      <c r="A29" s="41" t="inlineStr">
        <is>
          <t>35</t>
        </is>
      </c>
      <c r="B29" s="42" t="inlineStr">
        <is>
          <t>Waterway and Marine Construction</t>
        </is>
      </c>
      <c r="D29" s="41" t="inlineStr">
        <is>
          <t>MO</t>
        </is>
      </c>
    </row>
    <row r="30">
      <c r="A30" s="41" t="inlineStr">
        <is>
          <t>40</t>
        </is>
      </c>
      <c r="B30" s="42" t="inlineStr">
        <is>
          <t>Process Interconnections</t>
        </is>
      </c>
      <c r="D30" s="41" t="inlineStr">
        <is>
          <t>MT</t>
        </is>
      </c>
    </row>
    <row r="31">
      <c r="A31" s="41" t="inlineStr">
        <is>
          <t>41</t>
        </is>
      </c>
      <c r="B31" s="42" t="inlineStr">
        <is>
          <t>Material Processing and Handling Equipment</t>
        </is>
      </c>
      <c r="D31" s="41" t="inlineStr">
        <is>
          <t>NE</t>
        </is>
      </c>
    </row>
    <row r="32">
      <c r="A32" s="41" t="inlineStr">
        <is>
          <t>42</t>
        </is>
      </c>
      <c r="B32" s="42" t="inlineStr">
        <is>
          <t>Process Heating, Cooling, and Drying Equipment</t>
        </is>
      </c>
      <c r="D32" s="41" t="inlineStr">
        <is>
          <t>NV</t>
        </is>
      </c>
    </row>
    <row r="33">
      <c r="A33" s="41" t="inlineStr">
        <is>
          <t>43</t>
        </is>
      </c>
      <c r="B33" s="42" t="inlineStr">
        <is>
          <t>Process Gas and Liquid Handling, Purification, and Storage Equipment</t>
        </is>
      </c>
      <c r="D33" s="41" t="inlineStr">
        <is>
          <t>NH</t>
        </is>
      </c>
    </row>
    <row r="34">
      <c r="A34" s="41" t="inlineStr">
        <is>
          <t>44</t>
        </is>
      </c>
      <c r="B34" s="42" t="inlineStr">
        <is>
          <t>Pollution and Waste Control Equipment</t>
        </is>
      </c>
      <c r="D34" s="41" t="inlineStr">
        <is>
          <t>NJ</t>
        </is>
      </c>
    </row>
    <row r="35">
      <c r="A35" s="41" t="inlineStr">
        <is>
          <t>45</t>
        </is>
      </c>
      <c r="B35" s="42" t="inlineStr">
        <is>
          <t>Industry-Specific Manufacturing Equipment</t>
        </is>
      </c>
      <c r="D35" s="41" t="inlineStr">
        <is>
          <t>NM</t>
        </is>
      </c>
    </row>
    <row r="36">
      <c r="A36" s="41" t="inlineStr">
        <is>
          <t>46</t>
        </is>
      </c>
      <c r="B36" s="42" t="inlineStr">
        <is>
          <t>Water and Wastewater Equipment</t>
        </is>
      </c>
      <c r="D36" s="41" t="inlineStr">
        <is>
          <t>NY</t>
        </is>
      </c>
    </row>
    <row r="37">
      <c r="A37" s="41" t="inlineStr">
        <is>
          <t>48</t>
        </is>
      </c>
      <c r="B37" s="42" t="inlineStr">
        <is>
          <t>Electrical Power Generation</t>
        </is>
      </c>
      <c r="D37" s="41" t="inlineStr">
        <is>
          <t>NC</t>
        </is>
      </c>
    </row>
    <row r="38">
      <c r="A38" s="41" t="inlineStr">
        <is>
          <t>49</t>
        </is>
      </c>
      <c r="B38" s="42" t="inlineStr">
        <is>
          <t>Reserved</t>
        </is>
      </c>
      <c r="D38" s="41" t="inlineStr">
        <is>
          <t>ND</t>
        </is>
      </c>
    </row>
    <row r="39">
      <c r="D39" s="41" t="inlineStr">
        <is>
          <t>OH</t>
        </is>
      </c>
    </row>
    <row r="40">
      <c r="D40" s="41" t="inlineStr">
        <is>
          <t>OK</t>
        </is>
      </c>
    </row>
    <row r="41">
      <c r="D41" s="41" t="inlineStr">
        <is>
          <t>OR</t>
        </is>
      </c>
    </row>
    <row r="42">
      <c r="D42" s="41" t="inlineStr">
        <is>
          <t>PA</t>
        </is>
      </c>
    </row>
    <row r="43">
      <c r="D43" s="41" t="inlineStr">
        <is>
          <t>RI</t>
        </is>
      </c>
    </row>
    <row r="44">
      <c r="D44" s="41" t="inlineStr">
        <is>
          <t>SC</t>
        </is>
      </c>
    </row>
    <row r="45">
      <c r="D45" s="41" t="inlineStr">
        <is>
          <t>SD</t>
        </is>
      </c>
    </row>
    <row r="46">
      <c r="D46" s="41" t="inlineStr">
        <is>
          <t>TN</t>
        </is>
      </c>
    </row>
    <row r="47">
      <c r="D47" s="41" t="inlineStr">
        <is>
          <t>TX</t>
        </is>
      </c>
    </row>
    <row r="48">
      <c r="D48" s="41" t="inlineStr">
        <is>
          <t>UT</t>
        </is>
      </c>
    </row>
    <row r="49">
      <c r="D49" s="41" t="inlineStr">
        <is>
          <t>VT</t>
        </is>
      </c>
    </row>
    <row r="50">
      <c r="D50" s="41" t="inlineStr">
        <is>
          <t>VA</t>
        </is>
      </c>
    </row>
    <row r="51">
      <c r="D51" s="41" t="inlineStr">
        <is>
          <t>WA</t>
        </is>
      </c>
    </row>
    <row r="52">
      <c r="D52" s="41" t="inlineStr">
        <is>
          <t>WV</t>
        </is>
      </c>
    </row>
    <row r="53">
      <c r="D53" s="41" t="inlineStr">
        <is>
          <t>WI</t>
        </is>
      </c>
    </row>
    <row r="54">
      <c r="D54" s="41" t="inlineStr">
        <is>
          <t>WY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2026-05-14T10:13:46Z</dcterms:created>
  <dcterms:modified xmlns:dcterms="http://purl.org/dc/terms/" xmlns:xsi="http://www.w3.org/2001/XMLSchema-instance" xsi:type="dcterms:W3CDTF">2026-05-14T10:13:46Z</dcterms:modified>
</cp:coreProperties>
</file>