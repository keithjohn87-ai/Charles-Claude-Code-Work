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ject Info" sheetId="2" state="visible" r:id="rId2"/>
    <sheet xmlns:r="http://schemas.openxmlformats.org/officeDocument/2006/relationships" name="SOV Setup" sheetId="3" state="visible" r:id="rId3"/>
    <sheet xmlns:r="http://schemas.openxmlformats.org/officeDocument/2006/relationships" name="Pay App - Current" sheetId="4" state="visible" r:id="rId4"/>
    <sheet xmlns:r="http://schemas.openxmlformats.org/officeDocument/2006/relationships" name="Pay App - History" sheetId="5" state="visible" r:id="rId5"/>
    <sheet xmlns:r="http://schemas.openxmlformats.org/officeDocument/2006/relationships" name="Stored Materials" sheetId="6" state="visible" r:id="rId6"/>
    <sheet xmlns:r="http://schemas.openxmlformats.org/officeDocument/2006/relationships" name="CSI Reference" sheetId="7" state="hidden" r:id="rId7"/>
  </sheets>
  <definedNames>
    <definedName name="ProjectName">'Project Info'!$C$3</definedName>
    <definedName name="SubContractSum">'Project Info'!$C$15</definedName>
    <definedName name="RetainageRate">'Project Info'!$C$16</definedName>
    <definedName name="RetainStored">'Project Info'!$C$17</definedName>
  </definedNames>
  <calcPr calcId="124519" fullCalcOnLoad="1"/>
</workbook>
</file>

<file path=xl/styles.xml><?xml version="1.0" encoding="utf-8"?>
<styleSheet xmlns="http://schemas.openxmlformats.org/spreadsheetml/2006/main">
  <numFmts count="3">
    <numFmt numFmtId="164" formatCode="_($* #,##0.00_);_($* (#,##0.00);_($* &quot;-&quot;??_);_(@_)"/>
    <numFmt numFmtId="165" formatCode="0.0%"/>
    <numFmt numFmtId="166" formatCode="yyyy-mm-dd"/>
  </numFmts>
  <fonts count="8">
    <font>
      <name val="Calibri"/>
      <family val="2"/>
      <color theme="1"/>
      <sz val="11"/>
      <scheme val="minor"/>
    </font>
    <font>
      <name val="Calibri"/>
      <b val="1"/>
      <color rgb="001E3A5F"/>
      <sz val="22"/>
    </font>
    <font>
      <name val="Calibri"/>
      <sz val="11"/>
    </font>
    <font>
      <name val="Calibri"/>
      <b val="1"/>
      <color rgb="001E3A5F"/>
      <sz val="12"/>
    </font>
    <font>
      <name val="Calibri"/>
      <b val="1"/>
      <sz val="11"/>
    </font>
    <font>
      <name val="Calibri"/>
      <b val="1"/>
      <color rgb="001E3A5F"/>
      <sz val="18"/>
    </font>
    <font>
      <name val="Calibri"/>
      <i val="1"/>
      <color rgb="00808080"/>
      <sz val="11"/>
    </font>
    <font>
      <name val="Calibri"/>
      <b val="1"/>
      <color rgb="00FFFFFF"/>
      <sz val="11"/>
    </font>
  </fonts>
  <fills count="4">
    <fill>
      <patternFill/>
    </fill>
    <fill>
      <patternFill patternType="gray125"/>
    </fill>
    <fill>
      <patternFill patternType="solid">
        <fgColor rgb="00D6E0EC"/>
      </patternFill>
    </fill>
    <fill>
      <patternFill patternType="solid">
        <fgColor rgb="001E3A5F"/>
      </patternFill>
    </fill>
  </fills>
  <borders count="2">
    <border>
      <left/>
      <right/>
      <top/>
      <bottom/>
      <diagonal/>
    </border>
    <border>
      <left style="thin">
        <color rgb="00B0B7BF"/>
      </left>
      <right style="thin">
        <color rgb="00B0B7BF"/>
      </right>
      <top style="thin">
        <color rgb="00B0B7BF"/>
      </top>
      <bottom style="thin">
        <color rgb="00B0B7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pivotButton="0" quotePrefix="0" xfId="0"/>
    <xf numFmtId="0" fontId="2" fillId="0" borderId="1" pivotButton="0" quotePrefix="0" xfId="0"/>
    <xf numFmtId="164" fontId="2" fillId="0" borderId="1" pivotButton="0" quotePrefix="0" xfId="0"/>
    <xf numFmtId="165" fontId="2" fillId="0" borderId="1" pivotButton="0" quotePrefix="0" xfId="0"/>
    <xf numFmtId="1" fontId="2" fillId="0" borderId="1" pivotButton="0" quotePrefix="0" xfId="0"/>
    <xf numFmtId="0" fontId="3" fillId="0" borderId="0" pivotButton="0" quotePrefix="0" xfId="0"/>
    <xf numFmtId="0" fontId="4" fillId="2" borderId="0" pivotButton="0" quotePrefix="0" xfId="0"/>
    <xf numFmtId="164" fontId="2" fillId="0" borderId="0" pivotButton="0" quotePrefix="0" xfId="0"/>
    <xf numFmtId="164" fontId="5" fillId="0" borderId="0" pivotButton="0" quotePrefix="0" xfId="0"/>
    <xf numFmtId="0" fontId="6" fillId="0" borderId="0" pivotButton="0" quotePrefix="0" xfId="0"/>
    <xf numFmtId="0" fontId="7" fillId="3" borderId="1" applyAlignment="1" pivotButton="0" quotePrefix="0" xfId="0">
      <alignment horizontal="center" vertical="center" wrapText="1"/>
    </xf>
    <xf numFmtId="0" fontId="2" fillId="0" borderId="1" applyAlignment="1" pivotButton="0" quotePrefix="0" xfId="0">
      <alignment vertical="center"/>
    </xf>
    <xf numFmtId="164" fontId="2" fillId="0" borderId="1" applyAlignment="1" pivotButton="0" quotePrefix="0" xfId="0">
      <alignment vertical="center"/>
    </xf>
    <xf numFmtId="165" fontId="2" fillId="0" borderId="1" applyAlignment="1" pivotButton="0" quotePrefix="0" xfId="0">
      <alignment vertical="center"/>
    </xf>
    <xf numFmtId="164" fontId="4" fillId="2" borderId="1" pivotButton="0" quotePrefix="0" xfId="0"/>
    <xf numFmtId="0" fontId="4" fillId="0" borderId="0" pivotButton="0" quotePrefix="0" xfId="0"/>
    <xf numFmtId="1" fontId="0" fillId="0" borderId="0" pivotButton="0" quotePrefix="0" xfId="0"/>
    <xf numFmtId="166" fontId="2" fillId="0" borderId="1" applyAlignment="1" pivotButton="0" quotePrefix="0" xfId="0">
      <alignment vertical="center"/>
    </xf>
    <xf numFmtId="0" fontId="7" fillId="3" borderId="1" applyAlignment="1" pivotButton="0" quotePrefix="0" xfId="0">
      <alignment horizontal="center"/>
    </xf>
  </cellXfs>
  <cellStyles count="1">
    <cellStyle name="Normal" xfId="0" builtinId="0" hidden="0"/>
  </cellStyles>
  <dxfs count="2">
    <dxf>
      <font>
        <color rgb="00006100"/>
      </font>
      <fill>
        <patternFill patternType="solid">
          <fgColor rgb="00C6EFCE"/>
        </patternFill>
      </fill>
    </dxf>
    <dxf>
      <font>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showGridLines="0" workbookViewId="0">
      <selection activeCell="A1" sqref="A1"/>
    </sheetView>
  </sheetViews>
  <sheetFormatPr baseColWidth="8" defaultRowHeight="15"/>
  <cols>
    <col width="100" customWidth="1" min="1" max="1"/>
  </cols>
  <sheetData>
    <row r="1" ht="36" customHeight="1">
      <c r="A1" s="1" t="inlineStr">
        <is>
          <t>SUB SCHEDULE OF VALUES — Instructions</t>
        </is>
      </c>
    </row>
    <row r="2">
      <c r="A2" s="2" t="inlineStr"/>
    </row>
    <row r="3">
      <c r="A3" s="3" t="inlineStr">
        <is>
          <t>WHAT THIS WORKBOOK IS</t>
        </is>
      </c>
    </row>
    <row r="4">
      <c r="A4" s="2" t="inlineStr">
        <is>
          <t>This is the sub-perspective companion to AIA G-703 (Continuation Sheet for an Application for Payment). It lets you (1) schedule your Subcontract Sum across line items in SOV Setup, (2) bill monthly progress against those line items on the Pay App — Current Period tab, and (3) maintain a 12-month rolling history of billings on the Pay App — History tab.</t>
        </is>
      </c>
    </row>
    <row r="5">
      <c r="A5" s="2" t="inlineStr"/>
    </row>
    <row r="6">
      <c r="A6" s="3" t="inlineStr">
        <is>
          <t>WHY A SUB NEEDS ITS OWN SOV</t>
        </is>
      </c>
    </row>
    <row r="7">
      <c r="A7" s="2" t="inlineStr">
        <is>
          <t>Even when the GC supplies a G-702 / G-703 to be returned with each pay app, the sub should maintain its own SOV ledger because: (a) the GC version is project-specific and will be filed with the GC's pay app, not yours; (b) retainage release tracking, lower-tier sub billings, and stored-materials values often diverge between what you submit to the GC and what your accounting actually tracks; and (c) if a dispute arises over partial payment or retainage, your own internal ledger is the evidentiary record.</t>
        </is>
      </c>
    </row>
    <row r="8">
      <c r="A8" s="2" t="inlineStr"/>
    </row>
    <row r="9">
      <c r="A9" s="3" t="inlineStr">
        <is>
          <t>WORKFLOW — MONTHLY PAY APP</t>
        </is>
      </c>
    </row>
    <row r="10">
      <c r="A10" s="2" t="inlineStr">
        <is>
          <t>1. Set up SOV Setup once at Subcontract execution. Each line item has a description, a CSI division/section, and a scheduled value. The scheduled values must sum to the Subcontract Sum on Project Info.</t>
        </is>
      </c>
    </row>
    <row r="11">
      <c r="A11" s="2" t="inlineStr">
        <is>
          <t>2. At the end of each billing period (typically the 25th of the month for billing on the 1st of the next month, but confirm against the Subcontract), open Pay App — Current Period.</t>
        </is>
      </c>
    </row>
    <row r="12">
      <c r="A12" s="2" t="inlineStr">
        <is>
          <t>3. For each line item, enter the % complete this period (column F). The workbook calculates this-period dollars, total-to-date dollars, retainage held, and net amount this period.</t>
        </is>
      </c>
    </row>
    <row r="13">
      <c r="A13" s="2" t="inlineStr">
        <is>
          <t>4. Add stored materials values from the Stored Materials Log to the appropriate line items.</t>
        </is>
      </c>
    </row>
    <row r="14">
      <c r="A14" s="2" t="inlineStr">
        <is>
          <t>5. Verify the totals against the GC's G-702 summary if the GC has issued one.</t>
        </is>
      </c>
    </row>
    <row r="15">
      <c r="A15" s="2" t="inlineStr">
        <is>
          <t>6. After the GC has accepted and paid the pay app, transfer the column G (total to date) values into the next month's column on Pay App — History.</t>
        </is>
      </c>
    </row>
    <row r="16">
      <c r="A16" s="2" t="inlineStr"/>
    </row>
    <row r="17">
      <c r="A17" s="3" t="inlineStr">
        <is>
          <t>RETAINAGE HANDLING</t>
        </is>
      </c>
    </row>
    <row r="18">
      <c r="A18" s="2" t="inlineStr">
        <is>
          <t>Default retainage rate is set on Project Info (5% or 10% — confirm against Subcontract). Retainage is held on completed-work value and (depending on state law and Subcontract language) on stored materials. The workbook supports either treatment: set 'Retain on stored materials?' on Project Info to Yes or No. If your state caps retainage at a lower rate (e.g., CA at 5%), update the rate before first pay app. If your Subcontract allows retainage reduction at 50% Substantial Completion (an industry-standard provision), keep the rate at the full 10% in this workbook and reduce it on the specific pay app where reduction is requested.</t>
        </is>
      </c>
    </row>
    <row r="19">
      <c r="A19" s="2" t="inlineStr"/>
    </row>
    <row r="20">
      <c r="A20" s="3" t="inlineStr">
        <is>
          <t>STORED MATERIALS</t>
        </is>
      </c>
    </row>
    <row r="21">
      <c r="A21" s="2" t="inlineStr">
        <is>
          <t>Stored materials are billable when (a) the Subcontract permits it, (b) the materials are stored at a location protected from theft and weather, (c) materials are dedicated to the Project (segregated and labeled, with title transferring to Owner when billed), and (d) insurance / bonding is in place per the Subcontract. Use the Stored Materials Log to document each item, location, insurance, and lien waiver from the supplier.</t>
        </is>
      </c>
    </row>
    <row r="22">
      <c r="A22" s="2" t="inlineStr"/>
    </row>
    <row r="23">
      <c r="A23" s="3" t="inlineStr">
        <is>
          <t>TIPS</t>
        </is>
      </c>
    </row>
    <row r="24">
      <c r="A24" s="2" t="inlineStr">
        <is>
          <t xml:space="preserve">  - Never bill more than is physically complete. Front-loading the SOV (overweighting early line items like mobilization or layout) is a flag the GC's PM will catch and creates compounding problems on Subcontract close-out.</t>
        </is>
      </c>
    </row>
    <row r="25">
      <c r="A25" s="2" t="inlineStr">
        <is>
          <t xml:space="preserve">  - Track every change order in a separate row on SOV Setup with a 'CO #' prefix; do not modify the scheduled value of base-bid line items.</t>
        </is>
      </c>
    </row>
    <row r="26">
      <c r="A26" s="2" t="inlineStr">
        <is>
          <t xml:space="preserve">  - The 'Variance' column on SOV Setup compares the billed-to-date amount to the scheduled value. A consistently negative variance late in the project is the early warning of either scope creep that should have been a change order or front-loading that is now catching up.</t>
        </is>
      </c>
    </row>
    <row r="27">
      <c r="A27" s="2" t="inlineStr">
        <is>
          <t xml:space="preserve">  - At Substantial Completion, the retainage held in column J should match the GC's accounting; reconcile before requesting retainage release.</t>
        </is>
      </c>
    </row>
    <row r="28">
      <c r="A28" s="2" t="inlineStr"/>
    </row>
    <row r="29">
      <c r="A29" s="3" t="inlineStr">
        <is>
          <t>ON CSI MASTERFORMAT</t>
        </is>
      </c>
    </row>
    <row r="30">
      <c r="A30" s="2" t="inlineStr">
        <is>
          <t>Each SOV line carries a CSI division and section. CSI MasterFormat is the industry standard for categorizing construction work — coding the SOV this way lets the GC's accounting system map your bills to its own job-cost ledger and lets you roll up totals by trade across projects.</t>
        </is>
      </c>
    </row>
    <row r="31">
      <c r="A31" s="2" t="inlineStr"/>
    </row>
    <row r="32">
      <c r="A32" s="3" t="inlineStr">
        <is>
          <t>TROUBLESHOOTING</t>
        </is>
      </c>
    </row>
    <row r="33">
      <c r="A33" s="2" t="inlineStr">
        <is>
          <t xml:space="preserve">  - 'Variance' column shows red: billed exceeds scheduled. Either bill less this period or add a change order on SOV Setup for the overage.</t>
        </is>
      </c>
    </row>
    <row r="34">
      <c r="A34" s="2" t="inlineStr">
        <is>
          <t xml:space="preserve">  - SOV Setup totals don't equal Subcontract Sum on Project Info: cross-check each line, and confirm no rows are blank or missing values. The cell C5 of Project Info validates this.</t>
        </is>
      </c>
    </row>
    <row r="35">
      <c r="A35" s="2" t="inlineStr">
        <is>
          <t xml:space="preserve">  - Retainage on Pay App doesn't match GC's: confirm Project Info retainage rate matches Subcontract and confirm 'Retain on stored materials?' setting matches the GC's practice.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27"/>
  <sheetViews>
    <sheetView showGridLines="0" workbookViewId="0">
      <selection activeCell="A1" sqref="A1"/>
    </sheetView>
  </sheetViews>
  <sheetFormatPr baseColWidth="8" defaultRowHeight="15"/>
  <cols>
    <col width="4" customWidth="1" min="1" max="1"/>
    <col width="36" customWidth="1" min="2" max="2"/>
    <col width="40" customWidth="1" min="3" max="3"/>
  </cols>
  <sheetData>
    <row r="1" ht="32" customHeight="1">
      <c r="B1" s="1" t="inlineStr">
        <is>
          <t>PROJECT INFORMATION</t>
        </is>
      </c>
    </row>
    <row r="3">
      <c r="B3" s="4" t="inlineStr">
        <is>
          <t>Project Name</t>
        </is>
      </c>
      <c r="C3" s="5" t="inlineStr"/>
    </row>
    <row r="4">
      <c r="B4" s="4" t="inlineStr">
        <is>
          <t>Project No. (GC's)</t>
        </is>
      </c>
      <c r="C4" s="5" t="inlineStr"/>
    </row>
    <row r="5">
      <c r="B5" s="4" t="inlineStr">
        <is>
          <t>Subcontract No.</t>
        </is>
      </c>
      <c r="C5" s="5" t="inlineStr"/>
    </row>
    <row r="6">
      <c r="B6" s="4" t="inlineStr">
        <is>
          <t>Subcontractor (legal name)</t>
        </is>
      </c>
      <c r="C6" s="5" t="inlineStr"/>
    </row>
    <row r="7">
      <c r="B7" s="4" t="inlineStr">
        <is>
          <t>General Contractor (legal name)</t>
        </is>
      </c>
      <c r="C7" s="5" t="inlineStr"/>
    </row>
    <row r="8">
      <c r="B8" s="4" t="inlineStr">
        <is>
          <t>Owner</t>
        </is>
      </c>
      <c r="C8" s="5" t="inlineStr"/>
    </row>
    <row r="9">
      <c r="B9" s="4" t="inlineStr">
        <is>
          <t>Project Address</t>
        </is>
      </c>
      <c r="C9" s="5" t="inlineStr"/>
    </row>
    <row r="10">
      <c r="B10" s="4" t="inlineStr">
        <is>
          <t>Trade / Scope</t>
        </is>
      </c>
      <c r="C10" s="5" t="inlineStr"/>
    </row>
    <row r="11">
      <c r="B11" s="4" t="inlineStr">
        <is>
          <t>CSI Division (primary)</t>
        </is>
      </c>
      <c r="C11" s="5" t="inlineStr"/>
    </row>
    <row r="12">
      <c r="B12" s="4" t="inlineStr">
        <is>
          <t>Subcontract Date</t>
        </is>
      </c>
      <c r="C12" s="5" t="inlineStr"/>
    </row>
    <row r="13">
      <c r="B13" s="4" t="inlineStr">
        <is>
          <t>Original Subcontract Sum</t>
        </is>
      </c>
      <c r="C13" s="6" t="n">
        <v>0</v>
      </c>
    </row>
    <row r="14">
      <c r="B14" s="4" t="inlineStr">
        <is>
          <t>Approved Change Orders to date</t>
        </is>
      </c>
      <c r="C14" s="6" t="n">
        <v>0</v>
      </c>
    </row>
    <row r="15">
      <c r="B15" s="4" t="inlineStr">
        <is>
          <t>Current Subcontract Sum (Orig + COs)</t>
        </is>
      </c>
      <c r="C15" s="6">
        <f>C13+C14</f>
        <v/>
      </c>
    </row>
    <row r="16">
      <c r="B16" s="4" t="inlineStr">
        <is>
          <t>Retainage Rate (%) — confirm Subcontract</t>
        </is>
      </c>
      <c r="C16" s="7" t="n">
        <v>0.1</v>
      </c>
    </row>
    <row r="17">
      <c r="B17" s="4" t="inlineStr">
        <is>
          <t>Retain on stored materials?</t>
        </is>
      </c>
      <c r="C17" s="5" t="inlineStr">
        <is>
          <t>No</t>
        </is>
      </c>
    </row>
    <row r="18">
      <c r="B18" s="4" t="inlineStr">
        <is>
          <t>Pay App Submission Deadline (day of month)</t>
        </is>
      </c>
      <c r="C18" s="8" t="n">
        <v>25</v>
      </c>
    </row>
    <row r="19">
      <c r="B19" s="4" t="inlineStr">
        <is>
          <t>Pay App Payment Due (days after GC acceptance)</t>
        </is>
      </c>
      <c r="C19" s="8" t="n">
        <v>30</v>
      </c>
    </row>
    <row r="20">
      <c r="B20" s="4" t="inlineStr">
        <is>
          <t>Project Manager (Sub)</t>
        </is>
      </c>
      <c r="C20" s="5" t="inlineStr"/>
    </row>
    <row r="21">
      <c r="B21" s="4" t="inlineStr">
        <is>
          <t>Project Manager (GC)</t>
        </is>
      </c>
      <c r="C21" s="5" t="inlineStr"/>
    </row>
    <row r="24">
      <c r="B24" s="9" t="inlineStr">
        <is>
          <t>SOV TOTAL VALIDATION</t>
        </is>
      </c>
    </row>
    <row r="25">
      <c r="B25" s="10" t="inlineStr">
        <is>
          <t>SOV Setup line-item total:</t>
        </is>
      </c>
      <c r="C25" s="11">
        <f>SUM('SOV Setup'!E:E)</f>
        <v/>
      </c>
    </row>
    <row r="26">
      <c r="B26" s="10" t="inlineStr">
        <is>
          <t>Current Subcontract Sum:</t>
        </is>
      </c>
      <c r="C26" s="11">
        <f>C15</f>
        <v/>
      </c>
    </row>
    <row r="27">
      <c r="B27" s="10" t="inlineStr">
        <is>
          <t>Variance (should be $0):</t>
        </is>
      </c>
      <c r="C27" s="12">
        <f>C25-C26</f>
        <v/>
      </c>
    </row>
  </sheetData>
  <mergeCells count="1">
    <mergeCell ref="B1:C1"/>
  </mergeCells>
  <conditionalFormatting sqref="C27">
    <cfRule type="expression" priority="1" dxfId="0">
      <formula>ABS(C27)&lt;0.01</formula>
    </cfRule>
    <cfRule type="expression" priority="2" dxfId="1">
      <formula>ABS(C27)&gt;=0.01</formula>
    </cfRule>
  </conditionalFormatting>
  <dataValidations count="1">
    <dataValidation sqref="C17"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6"/>
  <sheetViews>
    <sheetView showGridLines="0" workbookViewId="0">
      <selection activeCell="A1" sqref="A1"/>
    </sheetView>
  </sheetViews>
  <sheetFormatPr baseColWidth="8" defaultRowHeight="15"/>
  <cols>
    <col width="8" customWidth="1" min="1" max="1"/>
    <col width="38" customWidth="1" min="2" max="2"/>
    <col width="9" customWidth="1" min="3" max="3"/>
    <col width="14" customWidth="1" min="4" max="4"/>
    <col width="18" customWidth="1" min="5" max="5"/>
    <col width="14" customWidth="1" min="6" max="6"/>
    <col width="18" customWidth="1" min="7" max="7"/>
    <col width="18" customWidth="1" min="8" max="8"/>
    <col width="14" customWidth="1" min="9" max="9"/>
    <col width="14" customWidth="1" min="10" max="10"/>
    <col width="30" customWidth="1" min="11" max="11"/>
  </cols>
  <sheetData>
    <row r="1" ht="32" customHeight="1">
      <c r="A1" s="1" t="inlineStr">
        <is>
          <t>SOV SETUP — Line Items</t>
        </is>
      </c>
    </row>
    <row r="2" ht="28" customHeight="1">
      <c r="A2" s="13" t="inlineStr">
        <is>
          <t>Set up one row per Subcontract line item. Scheduled Value must sum to Current Subcontract Sum on Project Info. Add change orders as separate rows prefixed 'CO #'.</t>
        </is>
      </c>
    </row>
    <row r="4" ht="30" customHeight="1">
      <c r="A4" s="14" t="inlineStr">
        <is>
          <t>Line #</t>
        </is>
      </c>
      <c r="B4" s="14" t="inlineStr">
        <is>
          <t>Description</t>
        </is>
      </c>
      <c r="C4" s="14" t="inlineStr">
        <is>
          <t>CSI Div</t>
        </is>
      </c>
      <c r="D4" s="14" t="inlineStr">
        <is>
          <t>CSI Section</t>
        </is>
      </c>
      <c r="E4" s="14" t="inlineStr">
        <is>
          <t>Scheduled Value ($)</t>
        </is>
      </c>
      <c r="F4" s="14" t="inlineStr">
        <is>
          <t>% of Subcontract</t>
        </is>
      </c>
      <c r="G4" s="14" t="inlineStr">
        <is>
          <t>Billed To Date ($)</t>
        </is>
      </c>
      <c r="H4" s="14" t="inlineStr">
        <is>
          <t>Balance to Finish ($)</t>
        </is>
      </c>
      <c r="I4" s="14" t="inlineStr">
        <is>
          <t>Variance</t>
        </is>
      </c>
      <c r="J4" s="14" t="inlineStr">
        <is>
          <t>Type</t>
        </is>
      </c>
      <c r="K4" s="14" t="inlineStr">
        <is>
          <t>Notes</t>
        </is>
      </c>
    </row>
    <row r="5">
      <c r="A5" s="15">
        <f>IF(B5="","",ROW()-4)</f>
        <v/>
      </c>
      <c r="B5" s="15" t="n"/>
      <c r="C5" s="15" t="n"/>
      <c r="D5" s="15" t="n"/>
      <c r="E5" s="16" t="n"/>
      <c r="F5" s="17">
        <f>IF(E5="","",E5/SubContractSum)</f>
        <v/>
      </c>
      <c r="G5" s="16">
        <f>IFERROR(VLOOKUP(B5,'Pay App - Current'!$B$5:$H$54,7,FALSE),0)</f>
        <v/>
      </c>
      <c r="H5" s="16">
        <f>IF(E5="","",E5-G5)</f>
        <v/>
      </c>
      <c r="I5" s="16">
        <f>IF(E5="","",G5-E5)</f>
        <v/>
      </c>
      <c r="J5" s="15" t="n"/>
      <c r="K5" s="15" t="n"/>
    </row>
    <row r="6">
      <c r="A6" s="15">
        <f>IF(B6="","",ROW()-4)</f>
        <v/>
      </c>
      <c r="B6" s="15" t="n"/>
      <c r="C6" s="15" t="n"/>
      <c r="D6" s="15" t="n"/>
      <c r="E6" s="16" t="n"/>
      <c r="F6" s="17">
        <f>IF(E6="","",E6/SubContractSum)</f>
        <v/>
      </c>
      <c r="G6" s="16">
        <f>IFERROR(VLOOKUP(B6,'Pay App - Current'!$B$5:$H$54,7,FALSE),0)</f>
        <v/>
      </c>
      <c r="H6" s="16">
        <f>IF(E6="","",E6-G6)</f>
        <v/>
      </c>
      <c r="I6" s="16">
        <f>IF(E6="","",G6-E6)</f>
        <v/>
      </c>
      <c r="J6" s="15" t="n"/>
      <c r="K6" s="15" t="n"/>
    </row>
    <row r="7">
      <c r="A7" s="15">
        <f>IF(B7="","",ROW()-4)</f>
        <v/>
      </c>
      <c r="B7" s="15" t="n"/>
      <c r="C7" s="15" t="n"/>
      <c r="D7" s="15" t="n"/>
      <c r="E7" s="16" t="n"/>
      <c r="F7" s="17">
        <f>IF(E7="","",E7/SubContractSum)</f>
        <v/>
      </c>
      <c r="G7" s="16">
        <f>IFERROR(VLOOKUP(B7,'Pay App - Current'!$B$5:$H$54,7,FALSE),0)</f>
        <v/>
      </c>
      <c r="H7" s="16">
        <f>IF(E7="","",E7-G7)</f>
        <v/>
      </c>
      <c r="I7" s="16">
        <f>IF(E7="","",G7-E7)</f>
        <v/>
      </c>
      <c r="J7" s="15" t="n"/>
      <c r="K7" s="15" t="n"/>
    </row>
    <row r="8">
      <c r="A8" s="15">
        <f>IF(B8="","",ROW()-4)</f>
        <v/>
      </c>
      <c r="B8" s="15" t="n"/>
      <c r="C8" s="15" t="n"/>
      <c r="D8" s="15" t="n"/>
      <c r="E8" s="16" t="n"/>
      <c r="F8" s="17">
        <f>IF(E8="","",E8/SubContractSum)</f>
        <v/>
      </c>
      <c r="G8" s="16">
        <f>IFERROR(VLOOKUP(B8,'Pay App - Current'!$B$5:$H$54,7,FALSE),0)</f>
        <v/>
      </c>
      <c r="H8" s="16">
        <f>IF(E8="","",E8-G8)</f>
        <v/>
      </c>
      <c r="I8" s="16">
        <f>IF(E8="","",G8-E8)</f>
        <v/>
      </c>
      <c r="J8" s="15" t="n"/>
      <c r="K8" s="15" t="n"/>
    </row>
    <row r="9">
      <c r="A9" s="15">
        <f>IF(B9="","",ROW()-4)</f>
        <v/>
      </c>
      <c r="B9" s="15" t="n"/>
      <c r="C9" s="15" t="n"/>
      <c r="D9" s="15" t="n"/>
      <c r="E9" s="16" t="n"/>
      <c r="F9" s="17">
        <f>IF(E9="","",E9/SubContractSum)</f>
        <v/>
      </c>
      <c r="G9" s="16">
        <f>IFERROR(VLOOKUP(B9,'Pay App - Current'!$B$5:$H$54,7,FALSE),0)</f>
        <v/>
      </c>
      <c r="H9" s="16">
        <f>IF(E9="","",E9-G9)</f>
        <v/>
      </c>
      <c r="I9" s="16">
        <f>IF(E9="","",G9-E9)</f>
        <v/>
      </c>
      <c r="J9" s="15" t="n"/>
      <c r="K9" s="15" t="n"/>
    </row>
    <row r="10">
      <c r="A10" s="15">
        <f>IF(B10="","",ROW()-4)</f>
        <v/>
      </c>
      <c r="B10" s="15" t="n"/>
      <c r="C10" s="15" t="n"/>
      <c r="D10" s="15" t="n"/>
      <c r="E10" s="16" t="n"/>
      <c r="F10" s="17">
        <f>IF(E10="","",E10/SubContractSum)</f>
        <v/>
      </c>
      <c r="G10" s="16">
        <f>IFERROR(VLOOKUP(B10,'Pay App - Current'!$B$5:$H$54,7,FALSE),0)</f>
        <v/>
      </c>
      <c r="H10" s="16">
        <f>IF(E10="","",E10-G10)</f>
        <v/>
      </c>
      <c r="I10" s="16">
        <f>IF(E10="","",G10-E10)</f>
        <v/>
      </c>
      <c r="J10" s="15" t="n"/>
      <c r="K10" s="15" t="n"/>
    </row>
    <row r="11">
      <c r="A11" s="15">
        <f>IF(B11="","",ROW()-4)</f>
        <v/>
      </c>
      <c r="B11" s="15" t="n"/>
      <c r="C11" s="15" t="n"/>
      <c r="D11" s="15" t="n"/>
      <c r="E11" s="16" t="n"/>
      <c r="F11" s="17">
        <f>IF(E11="","",E11/SubContractSum)</f>
        <v/>
      </c>
      <c r="G11" s="16">
        <f>IFERROR(VLOOKUP(B11,'Pay App - Current'!$B$5:$H$54,7,FALSE),0)</f>
        <v/>
      </c>
      <c r="H11" s="16">
        <f>IF(E11="","",E11-G11)</f>
        <v/>
      </c>
      <c r="I11" s="16">
        <f>IF(E11="","",G11-E11)</f>
        <v/>
      </c>
      <c r="J11" s="15" t="n"/>
      <c r="K11" s="15" t="n"/>
    </row>
    <row r="12">
      <c r="A12" s="15">
        <f>IF(B12="","",ROW()-4)</f>
        <v/>
      </c>
      <c r="B12" s="15" t="n"/>
      <c r="C12" s="15" t="n"/>
      <c r="D12" s="15" t="n"/>
      <c r="E12" s="16" t="n"/>
      <c r="F12" s="17">
        <f>IF(E12="","",E12/SubContractSum)</f>
        <v/>
      </c>
      <c r="G12" s="16">
        <f>IFERROR(VLOOKUP(B12,'Pay App - Current'!$B$5:$H$54,7,FALSE),0)</f>
        <v/>
      </c>
      <c r="H12" s="16">
        <f>IF(E12="","",E12-G12)</f>
        <v/>
      </c>
      <c r="I12" s="16">
        <f>IF(E12="","",G12-E12)</f>
        <v/>
      </c>
      <c r="J12" s="15" t="n"/>
      <c r="K12" s="15" t="n"/>
    </row>
    <row r="13">
      <c r="A13" s="15">
        <f>IF(B13="","",ROW()-4)</f>
        <v/>
      </c>
      <c r="B13" s="15" t="n"/>
      <c r="C13" s="15" t="n"/>
      <c r="D13" s="15" t="n"/>
      <c r="E13" s="16" t="n"/>
      <c r="F13" s="17">
        <f>IF(E13="","",E13/SubContractSum)</f>
        <v/>
      </c>
      <c r="G13" s="16">
        <f>IFERROR(VLOOKUP(B13,'Pay App - Current'!$B$5:$H$54,7,FALSE),0)</f>
        <v/>
      </c>
      <c r="H13" s="16">
        <f>IF(E13="","",E13-G13)</f>
        <v/>
      </c>
      <c r="I13" s="16">
        <f>IF(E13="","",G13-E13)</f>
        <v/>
      </c>
      <c r="J13" s="15" t="n"/>
      <c r="K13" s="15" t="n"/>
    </row>
    <row r="14">
      <c r="A14" s="15">
        <f>IF(B14="","",ROW()-4)</f>
        <v/>
      </c>
      <c r="B14" s="15" t="n"/>
      <c r="C14" s="15" t="n"/>
      <c r="D14" s="15" t="n"/>
      <c r="E14" s="16" t="n"/>
      <c r="F14" s="17">
        <f>IF(E14="","",E14/SubContractSum)</f>
        <v/>
      </c>
      <c r="G14" s="16">
        <f>IFERROR(VLOOKUP(B14,'Pay App - Current'!$B$5:$H$54,7,FALSE),0)</f>
        <v/>
      </c>
      <c r="H14" s="16">
        <f>IF(E14="","",E14-G14)</f>
        <v/>
      </c>
      <c r="I14" s="16">
        <f>IF(E14="","",G14-E14)</f>
        <v/>
      </c>
      <c r="J14" s="15" t="n"/>
      <c r="K14" s="15" t="n"/>
    </row>
    <row r="15">
      <c r="A15" s="15">
        <f>IF(B15="","",ROW()-4)</f>
        <v/>
      </c>
      <c r="B15" s="15" t="n"/>
      <c r="C15" s="15" t="n"/>
      <c r="D15" s="15" t="n"/>
      <c r="E15" s="16" t="n"/>
      <c r="F15" s="17">
        <f>IF(E15="","",E15/SubContractSum)</f>
        <v/>
      </c>
      <c r="G15" s="16">
        <f>IFERROR(VLOOKUP(B15,'Pay App - Current'!$B$5:$H$54,7,FALSE),0)</f>
        <v/>
      </c>
      <c r="H15" s="16">
        <f>IF(E15="","",E15-G15)</f>
        <v/>
      </c>
      <c r="I15" s="16">
        <f>IF(E15="","",G15-E15)</f>
        <v/>
      </c>
      <c r="J15" s="15" t="n"/>
      <c r="K15" s="15" t="n"/>
    </row>
    <row r="16">
      <c r="A16" s="15">
        <f>IF(B16="","",ROW()-4)</f>
        <v/>
      </c>
      <c r="B16" s="15" t="n"/>
      <c r="C16" s="15" t="n"/>
      <c r="D16" s="15" t="n"/>
      <c r="E16" s="16" t="n"/>
      <c r="F16" s="17">
        <f>IF(E16="","",E16/SubContractSum)</f>
        <v/>
      </c>
      <c r="G16" s="16">
        <f>IFERROR(VLOOKUP(B16,'Pay App - Current'!$B$5:$H$54,7,FALSE),0)</f>
        <v/>
      </c>
      <c r="H16" s="16">
        <f>IF(E16="","",E16-G16)</f>
        <v/>
      </c>
      <c r="I16" s="16">
        <f>IF(E16="","",G16-E16)</f>
        <v/>
      </c>
      <c r="J16" s="15" t="n"/>
      <c r="K16" s="15" t="n"/>
    </row>
    <row r="17">
      <c r="A17" s="15">
        <f>IF(B17="","",ROW()-4)</f>
        <v/>
      </c>
      <c r="B17" s="15" t="n"/>
      <c r="C17" s="15" t="n"/>
      <c r="D17" s="15" t="n"/>
      <c r="E17" s="16" t="n"/>
      <c r="F17" s="17">
        <f>IF(E17="","",E17/SubContractSum)</f>
        <v/>
      </c>
      <c r="G17" s="16">
        <f>IFERROR(VLOOKUP(B17,'Pay App - Current'!$B$5:$H$54,7,FALSE),0)</f>
        <v/>
      </c>
      <c r="H17" s="16">
        <f>IF(E17="","",E17-G17)</f>
        <v/>
      </c>
      <c r="I17" s="16">
        <f>IF(E17="","",G17-E17)</f>
        <v/>
      </c>
      <c r="J17" s="15" t="n"/>
      <c r="K17" s="15" t="n"/>
    </row>
    <row r="18">
      <c r="A18" s="15">
        <f>IF(B18="","",ROW()-4)</f>
        <v/>
      </c>
      <c r="B18" s="15" t="n"/>
      <c r="C18" s="15" t="n"/>
      <c r="D18" s="15" t="n"/>
      <c r="E18" s="16" t="n"/>
      <c r="F18" s="17">
        <f>IF(E18="","",E18/SubContractSum)</f>
        <v/>
      </c>
      <c r="G18" s="16">
        <f>IFERROR(VLOOKUP(B18,'Pay App - Current'!$B$5:$H$54,7,FALSE),0)</f>
        <v/>
      </c>
      <c r="H18" s="16">
        <f>IF(E18="","",E18-G18)</f>
        <v/>
      </c>
      <c r="I18" s="16">
        <f>IF(E18="","",G18-E18)</f>
        <v/>
      </c>
      <c r="J18" s="15" t="n"/>
      <c r="K18" s="15" t="n"/>
    </row>
    <row r="19">
      <c r="A19" s="15">
        <f>IF(B19="","",ROW()-4)</f>
        <v/>
      </c>
      <c r="B19" s="15" t="n"/>
      <c r="C19" s="15" t="n"/>
      <c r="D19" s="15" t="n"/>
      <c r="E19" s="16" t="n"/>
      <c r="F19" s="17">
        <f>IF(E19="","",E19/SubContractSum)</f>
        <v/>
      </c>
      <c r="G19" s="16">
        <f>IFERROR(VLOOKUP(B19,'Pay App - Current'!$B$5:$H$54,7,FALSE),0)</f>
        <v/>
      </c>
      <c r="H19" s="16">
        <f>IF(E19="","",E19-G19)</f>
        <v/>
      </c>
      <c r="I19" s="16">
        <f>IF(E19="","",G19-E19)</f>
        <v/>
      </c>
      <c r="J19" s="15" t="n"/>
      <c r="K19" s="15" t="n"/>
    </row>
    <row r="20">
      <c r="A20" s="15">
        <f>IF(B20="","",ROW()-4)</f>
        <v/>
      </c>
      <c r="B20" s="15" t="n"/>
      <c r="C20" s="15" t="n"/>
      <c r="D20" s="15" t="n"/>
      <c r="E20" s="16" t="n"/>
      <c r="F20" s="17">
        <f>IF(E20="","",E20/SubContractSum)</f>
        <v/>
      </c>
      <c r="G20" s="16">
        <f>IFERROR(VLOOKUP(B20,'Pay App - Current'!$B$5:$H$54,7,FALSE),0)</f>
        <v/>
      </c>
      <c r="H20" s="16">
        <f>IF(E20="","",E20-G20)</f>
        <v/>
      </c>
      <c r="I20" s="16">
        <f>IF(E20="","",G20-E20)</f>
        <v/>
      </c>
      <c r="J20" s="15" t="n"/>
      <c r="K20" s="15" t="n"/>
    </row>
    <row r="21">
      <c r="A21" s="15">
        <f>IF(B21="","",ROW()-4)</f>
        <v/>
      </c>
      <c r="B21" s="15" t="n"/>
      <c r="C21" s="15" t="n"/>
      <c r="D21" s="15" t="n"/>
      <c r="E21" s="16" t="n"/>
      <c r="F21" s="17">
        <f>IF(E21="","",E21/SubContractSum)</f>
        <v/>
      </c>
      <c r="G21" s="16">
        <f>IFERROR(VLOOKUP(B21,'Pay App - Current'!$B$5:$H$54,7,FALSE),0)</f>
        <v/>
      </c>
      <c r="H21" s="16">
        <f>IF(E21="","",E21-G21)</f>
        <v/>
      </c>
      <c r="I21" s="16">
        <f>IF(E21="","",G21-E21)</f>
        <v/>
      </c>
      <c r="J21" s="15" t="n"/>
      <c r="K21" s="15" t="n"/>
    </row>
    <row r="22">
      <c r="A22" s="15">
        <f>IF(B22="","",ROW()-4)</f>
        <v/>
      </c>
      <c r="B22" s="15" t="n"/>
      <c r="C22" s="15" t="n"/>
      <c r="D22" s="15" t="n"/>
      <c r="E22" s="16" t="n"/>
      <c r="F22" s="17">
        <f>IF(E22="","",E22/SubContractSum)</f>
        <v/>
      </c>
      <c r="G22" s="16">
        <f>IFERROR(VLOOKUP(B22,'Pay App - Current'!$B$5:$H$54,7,FALSE),0)</f>
        <v/>
      </c>
      <c r="H22" s="16">
        <f>IF(E22="","",E22-G22)</f>
        <v/>
      </c>
      <c r="I22" s="16">
        <f>IF(E22="","",G22-E22)</f>
        <v/>
      </c>
      <c r="J22" s="15" t="n"/>
      <c r="K22" s="15" t="n"/>
    </row>
    <row r="23">
      <c r="A23" s="15">
        <f>IF(B23="","",ROW()-4)</f>
        <v/>
      </c>
      <c r="B23" s="15" t="n"/>
      <c r="C23" s="15" t="n"/>
      <c r="D23" s="15" t="n"/>
      <c r="E23" s="16" t="n"/>
      <c r="F23" s="17">
        <f>IF(E23="","",E23/SubContractSum)</f>
        <v/>
      </c>
      <c r="G23" s="16">
        <f>IFERROR(VLOOKUP(B23,'Pay App - Current'!$B$5:$H$54,7,FALSE),0)</f>
        <v/>
      </c>
      <c r="H23" s="16">
        <f>IF(E23="","",E23-G23)</f>
        <v/>
      </c>
      <c r="I23" s="16">
        <f>IF(E23="","",G23-E23)</f>
        <v/>
      </c>
      <c r="J23" s="15" t="n"/>
      <c r="K23" s="15" t="n"/>
    </row>
    <row r="24">
      <c r="A24" s="15">
        <f>IF(B24="","",ROW()-4)</f>
        <v/>
      </c>
      <c r="B24" s="15" t="n"/>
      <c r="C24" s="15" t="n"/>
      <c r="D24" s="15" t="n"/>
      <c r="E24" s="16" t="n"/>
      <c r="F24" s="17">
        <f>IF(E24="","",E24/SubContractSum)</f>
        <v/>
      </c>
      <c r="G24" s="16">
        <f>IFERROR(VLOOKUP(B24,'Pay App - Current'!$B$5:$H$54,7,FALSE),0)</f>
        <v/>
      </c>
      <c r="H24" s="16">
        <f>IF(E24="","",E24-G24)</f>
        <v/>
      </c>
      <c r="I24" s="16">
        <f>IF(E24="","",G24-E24)</f>
        <v/>
      </c>
      <c r="J24" s="15" t="n"/>
      <c r="K24" s="15" t="n"/>
    </row>
    <row r="25">
      <c r="A25" s="15">
        <f>IF(B25="","",ROW()-4)</f>
        <v/>
      </c>
      <c r="B25" s="15" t="n"/>
      <c r="C25" s="15" t="n"/>
      <c r="D25" s="15" t="n"/>
      <c r="E25" s="16" t="n"/>
      <c r="F25" s="17">
        <f>IF(E25="","",E25/SubContractSum)</f>
        <v/>
      </c>
      <c r="G25" s="16">
        <f>IFERROR(VLOOKUP(B25,'Pay App - Current'!$B$5:$H$54,7,FALSE),0)</f>
        <v/>
      </c>
      <c r="H25" s="16">
        <f>IF(E25="","",E25-G25)</f>
        <v/>
      </c>
      <c r="I25" s="16">
        <f>IF(E25="","",G25-E25)</f>
        <v/>
      </c>
      <c r="J25" s="15" t="n"/>
      <c r="K25" s="15" t="n"/>
    </row>
    <row r="26">
      <c r="A26" s="15">
        <f>IF(B26="","",ROW()-4)</f>
        <v/>
      </c>
      <c r="B26" s="15" t="n"/>
      <c r="C26" s="15" t="n"/>
      <c r="D26" s="15" t="n"/>
      <c r="E26" s="16" t="n"/>
      <c r="F26" s="17">
        <f>IF(E26="","",E26/SubContractSum)</f>
        <v/>
      </c>
      <c r="G26" s="16">
        <f>IFERROR(VLOOKUP(B26,'Pay App - Current'!$B$5:$H$54,7,FALSE),0)</f>
        <v/>
      </c>
      <c r="H26" s="16">
        <f>IF(E26="","",E26-G26)</f>
        <v/>
      </c>
      <c r="I26" s="16">
        <f>IF(E26="","",G26-E26)</f>
        <v/>
      </c>
      <c r="J26" s="15" t="n"/>
      <c r="K26" s="15" t="n"/>
    </row>
    <row r="27">
      <c r="A27" s="15">
        <f>IF(B27="","",ROW()-4)</f>
        <v/>
      </c>
      <c r="B27" s="15" t="n"/>
      <c r="C27" s="15" t="n"/>
      <c r="D27" s="15" t="n"/>
      <c r="E27" s="16" t="n"/>
      <c r="F27" s="17">
        <f>IF(E27="","",E27/SubContractSum)</f>
        <v/>
      </c>
      <c r="G27" s="16">
        <f>IFERROR(VLOOKUP(B27,'Pay App - Current'!$B$5:$H$54,7,FALSE),0)</f>
        <v/>
      </c>
      <c r="H27" s="16">
        <f>IF(E27="","",E27-G27)</f>
        <v/>
      </c>
      <c r="I27" s="16">
        <f>IF(E27="","",G27-E27)</f>
        <v/>
      </c>
      <c r="J27" s="15" t="n"/>
      <c r="K27" s="15" t="n"/>
    </row>
    <row r="28">
      <c r="A28" s="15">
        <f>IF(B28="","",ROW()-4)</f>
        <v/>
      </c>
      <c r="B28" s="15" t="n"/>
      <c r="C28" s="15" t="n"/>
      <c r="D28" s="15" t="n"/>
      <c r="E28" s="16" t="n"/>
      <c r="F28" s="17">
        <f>IF(E28="","",E28/SubContractSum)</f>
        <v/>
      </c>
      <c r="G28" s="16">
        <f>IFERROR(VLOOKUP(B28,'Pay App - Current'!$B$5:$H$54,7,FALSE),0)</f>
        <v/>
      </c>
      <c r="H28" s="16">
        <f>IF(E28="","",E28-G28)</f>
        <v/>
      </c>
      <c r="I28" s="16">
        <f>IF(E28="","",G28-E28)</f>
        <v/>
      </c>
      <c r="J28" s="15" t="n"/>
      <c r="K28" s="15" t="n"/>
    </row>
    <row r="29">
      <c r="A29" s="15">
        <f>IF(B29="","",ROW()-4)</f>
        <v/>
      </c>
      <c r="B29" s="15" t="n"/>
      <c r="C29" s="15" t="n"/>
      <c r="D29" s="15" t="n"/>
      <c r="E29" s="16" t="n"/>
      <c r="F29" s="17">
        <f>IF(E29="","",E29/SubContractSum)</f>
        <v/>
      </c>
      <c r="G29" s="16">
        <f>IFERROR(VLOOKUP(B29,'Pay App - Current'!$B$5:$H$54,7,FALSE),0)</f>
        <v/>
      </c>
      <c r="H29" s="16">
        <f>IF(E29="","",E29-G29)</f>
        <v/>
      </c>
      <c r="I29" s="16">
        <f>IF(E29="","",G29-E29)</f>
        <v/>
      </c>
      <c r="J29" s="15" t="n"/>
      <c r="K29" s="15" t="n"/>
    </row>
    <row r="30">
      <c r="A30" s="15">
        <f>IF(B30="","",ROW()-4)</f>
        <v/>
      </c>
      <c r="B30" s="15" t="n"/>
      <c r="C30" s="15" t="n"/>
      <c r="D30" s="15" t="n"/>
      <c r="E30" s="16" t="n"/>
      <c r="F30" s="17">
        <f>IF(E30="","",E30/SubContractSum)</f>
        <v/>
      </c>
      <c r="G30" s="16">
        <f>IFERROR(VLOOKUP(B30,'Pay App - Current'!$B$5:$H$54,7,FALSE),0)</f>
        <v/>
      </c>
      <c r="H30" s="16">
        <f>IF(E30="","",E30-G30)</f>
        <v/>
      </c>
      <c r="I30" s="16">
        <f>IF(E30="","",G30-E30)</f>
        <v/>
      </c>
      <c r="J30" s="15" t="n"/>
      <c r="K30" s="15" t="n"/>
    </row>
    <row r="31">
      <c r="A31" s="15">
        <f>IF(B31="","",ROW()-4)</f>
        <v/>
      </c>
      <c r="B31" s="15" t="n"/>
      <c r="C31" s="15" t="n"/>
      <c r="D31" s="15" t="n"/>
      <c r="E31" s="16" t="n"/>
      <c r="F31" s="17">
        <f>IF(E31="","",E31/SubContractSum)</f>
        <v/>
      </c>
      <c r="G31" s="16">
        <f>IFERROR(VLOOKUP(B31,'Pay App - Current'!$B$5:$H$54,7,FALSE),0)</f>
        <v/>
      </c>
      <c r="H31" s="16">
        <f>IF(E31="","",E31-G31)</f>
        <v/>
      </c>
      <c r="I31" s="16">
        <f>IF(E31="","",G31-E31)</f>
        <v/>
      </c>
      <c r="J31" s="15" t="n"/>
      <c r="K31" s="15" t="n"/>
    </row>
    <row r="32">
      <c r="A32" s="15">
        <f>IF(B32="","",ROW()-4)</f>
        <v/>
      </c>
      <c r="B32" s="15" t="n"/>
      <c r="C32" s="15" t="n"/>
      <c r="D32" s="15" t="n"/>
      <c r="E32" s="16" t="n"/>
      <c r="F32" s="17">
        <f>IF(E32="","",E32/SubContractSum)</f>
        <v/>
      </c>
      <c r="G32" s="16">
        <f>IFERROR(VLOOKUP(B32,'Pay App - Current'!$B$5:$H$54,7,FALSE),0)</f>
        <v/>
      </c>
      <c r="H32" s="16">
        <f>IF(E32="","",E32-G32)</f>
        <v/>
      </c>
      <c r="I32" s="16">
        <f>IF(E32="","",G32-E32)</f>
        <v/>
      </c>
      <c r="J32" s="15" t="n"/>
      <c r="K32" s="15" t="n"/>
    </row>
    <row r="33">
      <c r="A33" s="15">
        <f>IF(B33="","",ROW()-4)</f>
        <v/>
      </c>
      <c r="B33" s="15" t="n"/>
      <c r="C33" s="15" t="n"/>
      <c r="D33" s="15" t="n"/>
      <c r="E33" s="16" t="n"/>
      <c r="F33" s="17">
        <f>IF(E33="","",E33/SubContractSum)</f>
        <v/>
      </c>
      <c r="G33" s="16">
        <f>IFERROR(VLOOKUP(B33,'Pay App - Current'!$B$5:$H$54,7,FALSE),0)</f>
        <v/>
      </c>
      <c r="H33" s="16">
        <f>IF(E33="","",E33-G33)</f>
        <v/>
      </c>
      <c r="I33" s="16">
        <f>IF(E33="","",G33-E33)</f>
        <v/>
      </c>
      <c r="J33" s="15" t="n"/>
      <c r="K33" s="15" t="n"/>
    </row>
    <row r="34">
      <c r="A34" s="15">
        <f>IF(B34="","",ROW()-4)</f>
        <v/>
      </c>
      <c r="B34" s="15" t="n"/>
      <c r="C34" s="15" t="n"/>
      <c r="D34" s="15" t="n"/>
      <c r="E34" s="16" t="n"/>
      <c r="F34" s="17">
        <f>IF(E34="","",E34/SubContractSum)</f>
        <v/>
      </c>
      <c r="G34" s="16">
        <f>IFERROR(VLOOKUP(B34,'Pay App - Current'!$B$5:$H$54,7,FALSE),0)</f>
        <v/>
      </c>
      <c r="H34" s="16">
        <f>IF(E34="","",E34-G34)</f>
        <v/>
      </c>
      <c r="I34" s="16">
        <f>IF(E34="","",G34-E34)</f>
        <v/>
      </c>
      <c r="J34" s="15" t="n"/>
      <c r="K34" s="15" t="n"/>
    </row>
    <row r="35">
      <c r="A35" s="15">
        <f>IF(B35="","",ROW()-4)</f>
        <v/>
      </c>
      <c r="B35" s="15" t="n"/>
      <c r="C35" s="15" t="n"/>
      <c r="D35" s="15" t="n"/>
      <c r="E35" s="16" t="n"/>
      <c r="F35" s="17">
        <f>IF(E35="","",E35/SubContractSum)</f>
        <v/>
      </c>
      <c r="G35" s="16">
        <f>IFERROR(VLOOKUP(B35,'Pay App - Current'!$B$5:$H$54,7,FALSE),0)</f>
        <v/>
      </c>
      <c r="H35" s="16">
        <f>IF(E35="","",E35-G35)</f>
        <v/>
      </c>
      <c r="I35" s="16">
        <f>IF(E35="","",G35-E35)</f>
        <v/>
      </c>
      <c r="J35" s="15" t="n"/>
      <c r="K35" s="15" t="n"/>
    </row>
    <row r="36">
      <c r="A36" s="15">
        <f>IF(B36="","",ROW()-4)</f>
        <v/>
      </c>
      <c r="B36" s="15" t="n"/>
      <c r="C36" s="15" t="n"/>
      <c r="D36" s="15" t="n"/>
      <c r="E36" s="16" t="n"/>
      <c r="F36" s="17">
        <f>IF(E36="","",E36/SubContractSum)</f>
        <v/>
      </c>
      <c r="G36" s="16">
        <f>IFERROR(VLOOKUP(B36,'Pay App - Current'!$B$5:$H$54,7,FALSE),0)</f>
        <v/>
      </c>
      <c r="H36" s="16">
        <f>IF(E36="","",E36-G36)</f>
        <v/>
      </c>
      <c r="I36" s="16">
        <f>IF(E36="","",G36-E36)</f>
        <v/>
      </c>
      <c r="J36" s="15" t="n"/>
      <c r="K36" s="15" t="n"/>
    </row>
    <row r="37">
      <c r="A37" s="15">
        <f>IF(B37="","",ROW()-4)</f>
        <v/>
      </c>
      <c r="B37" s="15" t="n"/>
      <c r="C37" s="15" t="n"/>
      <c r="D37" s="15" t="n"/>
      <c r="E37" s="16" t="n"/>
      <c r="F37" s="17">
        <f>IF(E37="","",E37/SubContractSum)</f>
        <v/>
      </c>
      <c r="G37" s="16">
        <f>IFERROR(VLOOKUP(B37,'Pay App - Current'!$B$5:$H$54,7,FALSE),0)</f>
        <v/>
      </c>
      <c r="H37" s="16">
        <f>IF(E37="","",E37-G37)</f>
        <v/>
      </c>
      <c r="I37" s="16">
        <f>IF(E37="","",G37-E37)</f>
        <v/>
      </c>
      <c r="J37" s="15" t="n"/>
      <c r="K37" s="15" t="n"/>
    </row>
    <row r="38">
      <c r="A38" s="15">
        <f>IF(B38="","",ROW()-4)</f>
        <v/>
      </c>
      <c r="B38" s="15" t="n"/>
      <c r="C38" s="15" t="n"/>
      <c r="D38" s="15" t="n"/>
      <c r="E38" s="16" t="n"/>
      <c r="F38" s="17">
        <f>IF(E38="","",E38/SubContractSum)</f>
        <v/>
      </c>
      <c r="G38" s="16">
        <f>IFERROR(VLOOKUP(B38,'Pay App - Current'!$B$5:$H$54,7,FALSE),0)</f>
        <v/>
      </c>
      <c r="H38" s="16">
        <f>IF(E38="","",E38-G38)</f>
        <v/>
      </c>
      <c r="I38" s="16">
        <f>IF(E38="","",G38-E38)</f>
        <v/>
      </c>
      <c r="J38" s="15" t="n"/>
      <c r="K38" s="15" t="n"/>
    </row>
    <row r="39">
      <c r="A39" s="15">
        <f>IF(B39="","",ROW()-4)</f>
        <v/>
      </c>
      <c r="B39" s="15" t="n"/>
      <c r="C39" s="15" t="n"/>
      <c r="D39" s="15" t="n"/>
      <c r="E39" s="16" t="n"/>
      <c r="F39" s="17">
        <f>IF(E39="","",E39/SubContractSum)</f>
        <v/>
      </c>
      <c r="G39" s="16">
        <f>IFERROR(VLOOKUP(B39,'Pay App - Current'!$B$5:$H$54,7,FALSE),0)</f>
        <v/>
      </c>
      <c r="H39" s="16">
        <f>IF(E39="","",E39-G39)</f>
        <v/>
      </c>
      <c r="I39" s="16">
        <f>IF(E39="","",G39-E39)</f>
        <v/>
      </c>
      <c r="J39" s="15" t="n"/>
      <c r="K39" s="15" t="n"/>
    </row>
    <row r="40">
      <c r="A40" s="15">
        <f>IF(B40="","",ROW()-4)</f>
        <v/>
      </c>
      <c r="B40" s="15" t="n"/>
      <c r="C40" s="15" t="n"/>
      <c r="D40" s="15" t="n"/>
      <c r="E40" s="16" t="n"/>
      <c r="F40" s="17">
        <f>IF(E40="","",E40/SubContractSum)</f>
        <v/>
      </c>
      <c r="G40" s="16">
        <f>IFERROR(VLOOKUP(B40,'Pay App - Current'!$B$5:$H$54,7,FALSE),0)</f>
        <v/>
      </c>
      <c r="H40" s="16">
        <f>IF(E40="","",E40-G40)</f>
        <v/>
      </c>
      <c r="I40" s="16">
        <f>IF(E40="","",G40-E40)</f>
        <v/>
      </c>
      <c r="J40" s="15" t="n"/>
      <c r="K40" s="15" t="n"/>
    </row>
    <row r="41">
      <c r="A41" s="15">
        <f>IF(B41="","",ROW()-4)</f>
        <v/>
      </c>
      <c r="B41" s="15" t="n"/>
      <c r="C41" s="15" t="n"/>
      <c r="D41" s="15" t="n"/>
      <c r="E41" s="16" t="n"/>
      <c r="F41" s="17">
        <f>IF(E41="","",E41/SubContractSum)</f>
        <v/>
      </c>
      <c r="G41" s="16">
        <f>IFERROR(VLOOKUP(B41,'Pay App - Current'!$B$5:$H$54,7,FALSE),0)</f>
        <v/>
      </c>
      <c r="H41" s="16">
        <f>IF(E41="","",E41-G41)</f>
        <v/>
      </c>
      <c r="I41" s="16">
        <f>IF(E41="","",G41-E41)</f>
        <v/>
      </c>
      <c r="J41" s="15" t="n"/>
      <c r="K41" s="15" t="n"/>
    </row>
    <row r="42">
      <c r="A42" s="15">
        <f>IF(B42="","",ROW()-4)</f>
        <v/>
      </c>
      <c r="B42" s="15" t="n"/>
      <c r="C42" s="15" t="n"/>
      <c r="D42" s="15" t="n"/>
      <c r="E42" s="16" t="n"/>
      <c r="F42" s="17">
        <f>IF(E42="","",E42/SubContractSum)</f>
        <v/>
      </c>
      <c r="G42" s="16">
        <f>IFERROR(VLOOKUP(B42,'Pay App - Current'!$B$5:$H$54,7,FALSE),0)</f>
        <v/>
      </c>
      <c r="H42" s="16">
        <f>IF(E42="","",E42-G42)</f>
        <v/>
      </c>
      <c r="I42" s="16">
        <f>IF(E42="","",G42-E42)</f>
        <v/>
      </c>
      <c r="J42" s="15" t="n"/>
      <c r="K42" s="15" t="n"/>
    </row>
    <row r="43">
      <c r="A43" s="15">
        <f>IF(B43="","",ROW()-4)</f>
        <v/>
      </c>
      <c r="B43" s="15" t="n"/>
      <c r="C43" s="15" t="n"/>
      <c r="D43" s="15" t="n"/>
      <c r="E43" s="16" t="n"/>
      <c r="F43" s="17">
        <f>IF(E43="","",E43/SubContractSum)</f>
        <v/>
      </c>
      <c r="G43" s="16">
        <f>IFERROR(VLOOKUP(B43,'Pay App - Current'!$B$5:$H$54,7,FALSE),0)</f>
        <v/>
      </c>
      <c r="H43" s="16">
        <f>IF(E43="","",E43-G43)</f>
        <v/>
      </c>
      <c r="I43" s="16">
        <f>IF(E43="","",G43-E43)</f>
        <v/>
      </c>
      <c r="J43" s="15" t="n"/>
      <c r="K43" s="15" t="n"/>
    </row>
    <row r="44">
      <c r="A44" s="15">
        <f>IF(B44="","",ROW()-4)</f>
        <v/>
      </c>
      <c r="B44" s="15" t="n"/>
      <c r="C44" s="15" t="n"/>
      <c r="D44" s="15" t="n"/>
      <c r="E44" s="16" t="n"/>
      <c r="F44" s="17">
        <f>IF(E44="","",E44/SubContractSum)</f>
        <v/>
      </c>
      <c r="G44" s="16">
        <f>IFERROR(VLOOKUP(B44,'Pay App - Current'!$B$5:$H$54,7,FALSE),0)</f>
        <v/>
      </c>
      <c r="H44" s="16">
        <f>IF(E44="","",E44-G44)</f>
        <v/>
      </c>
      <c r="I44" s="16">
        <f>IF(E44="","",G44-E44)</f>
        <v/>
      </c>
      <c r="J44" s="15" t="n"/>
      <c r="K44" s="15" t="n"/>
    </row>
    <row r="45">
      <c r="A45" s="15">
        <f>IF(B45="","",ROW()-4)</f>
        <v/>
      </c>
      <c r="B45" s="15" t="n"/>
      <c r="C45" s="15" t="n"/>
      <c r="D45" s="15" t="n"/>
      <c r="E45" s="16" t="n"/>
      <c r="F45" s="17">
        <f>IF(E45="","",E45/SubContractSum)</f>
        <v/>
      </c>
      <c r="G45" s="16">
        <f>IFERROR(VLOOKUP(B45,'Pay App - Current'!$B$5:$H$54,7,FALSE),0)</f>
        <v/>
      </c>
      <c r="H45" s="16">
        <f>IF(E45="","",E45-G45)</f>
        <v/>
      </c>
      <c r="I45" s="16">
        <f>IF(E45="","",G45-E45)</f>
        <v/>
      </c>
      <c r="J45" s="15" t="n"/>
      <c r="K45" s="15" t="n"/>
    </row>
    <row r="46">
      <c r="A46" s="15">
        <f>IF(B46="","",ROW()-4)</f>
        <v/>
      </c>
      <c r="B46" s="15" t="n"/>
      <c r="C46" s="15" t="n"/>
      <c r="D46" s="15" t="n"/>
      <c r="E46" s="16" t="n"/>
      <c r="F46" s="17">
        <f>IF(E46="","",E46/SubContractSum)</f>
        <v/>
      </c>
      <c r="G46" s="16">
        <f>IFERROR(VLOOKUP(B46,'Pay App - Current'!$B$5:$H$54,7,FALSE),0)</f>
        <v/>
      </c>
      <c r="H46" s="16">
        <f>IF(E46="","",E46-G46)</f>
        <v/>
      </c>
      <c r="I46" s="16">
        <f>IF(E46="","",G46-E46)</f>
        <v/>
      </c>
      <c r="J46" s="15" t="n"/>
      <c r="K46" s="15" t="n"/>
    </row>
    <row r="47">
      <c r="A47" s="15">
        <f>IF(B47="","",ROW()-4)</f>
        <v/>
      </c>
      <c r="B47" s="15" t="n"/>
      <c r="C47" s="15" t="n"/>
      <c r="D47" s="15" t="n"/>
      <c r="E47" s="16" t="n"/>
      <c r="F47" s="17">
        <f>IF(E47="","",E47/SubContractSum)</f>
        <v/>
      </c>
      <c r="G47" s="16">
        <f>IFERROR(VLOOKUP(B47,'Pay App - Current'!$B$5:$H$54,7,FALSE),0)</f>
        <v/>
      </c>
      <c r="H47" s="16">
        <f>IF(E47="","",E47-G47)</f>
        <v/>
      </c>
      <c r="I47" s="16">
        <f>IF(E47="","",G47-E47)</f>
        <v/>
      </c>
      <c r="J47" s="15" t="n"/>
      <c r="K47" s="15" t="n"/>
    </row>
    <row r="48">
      <c r="A48" s="15">
        <f>IF(B48="","",ROW()-4)</f>
        <v/>
      </c>
      <c r="B48" s="15" t="n"/>
      <c r="C48" s="15" t="n"/>
      <c r="D48" s="15" t="n"/>
      <c r="E48" s="16" t="n"/>
      <c r="F48" s="17">
        <f>IF(E48="","",E48/SubContractSum)</f>
        <v/>
      </c>
      <c r="G48" s="16">
        <f>IFERROR(VLOOKUP(B48,'Pay App - Current'!$B$5:$H$54,7,FALSE),0)</f>
        <v/>
      </c>
      <c r="H48" s="16">
        <f>IF(E48="","",E48-G48)</f>
        <v/>
      </c>
      <c r="I48" s="16">
        <f>IF(E48="","",G48-E48)</f>
        <v/>
      </c>
      <c r="J48" s="15" t="n"/>
      <c r="K48" s="15" t="n"/>
    </row>
    <row r="49">
      <c r="A49" s="15">
        <f>IF(B49="","",ROW()-4)</f>
        <v/>
      </c>
      <c r="B49" s="15" t="n"/>
      <c r="C49" s="15" t="n"/>
      <c r="D49" s="15" t="n"/>
      <c r="E49" s="16" t="n"/>
      <c r="F49" s="17">
        <f>IF(E49="","",E49/SubContractSum)</f>
        <v/>
      </c>
      <c r="G49" s="16">
        <f>IFERROR(VLOOKUP(B49,'Pay App - Current'!$B$5:$H$54,7,FALSE),0)</f>
        <v/>
      </c>
      <c r="H49" s="16">
        <f>IF(E49="","",E49-G49)</f>
        <v/>
      </c>
      <c r="I49" s="16">
        <f>IF(E49="","",G49-E49)</f>
        <v/>
      </c>
      <c r="J49" s="15" t="n"/>
      <c r="K49" s="15" t="n"/>
    </row>
    <row r="50">
      <c r="A50" s="15">
        <f>IF(B50="","",ROW()-4)</f>
        <v/>
      </c>
      <c r="B50" s="15" t="n"/>
      <c r="C50" s="15" t="n"/>
      <c r="D50" s="15" t="n"/>
      <c r="E50" s="16" t="n"/>
      <c r="F50" s="17">
        <f>IF(E50="","",E50/SubContractSum)</f>
        <v/>
      </c>
      <c r="G50" s="16">
        <f>IFERROR(VLOOKUP(B50,'Pay App - Current'!$B$5:$H$54,7,FALSE),0)</f>
        <v/>
      </c>
      <c r="H50" s="16">
        <f>IF(E50="","",E50-G50)</f>
        <v/>
      </c>
      <c r="I50" s="16">
        <f>IF(E50="","",G50-E50)</f>
        <v/>
      </c>
      <c r="J50" s="15" t="n"/>
      <c r="K50" s="15" t="n"/>
    </row>
    <row r="51">
      <c r="A51" s="15">
        <f>IF(B51="","",ROW()-4)</f>
        <v/>
      </c>
      <c r="B51" s="15" t="n"/>
      <c r="C51" s="15" t="n"/>
      <c r="D51" s="15" t="n"/>
      <c r="E51" s="16" t="n"/>
      <c r="F51" s="17">
        <f>IF(E51="","",E51/SubContractSum)</f>
        <v/>
      </c>
      <c r="G51" s="16">
        <f>IFERROR(VLOOKUP(B51,'Pay App - Current'!$B$5:$H$54,7,FALSE),0)</f>
        <v/>
      </c>
      <c r="H51" s="16">
        <f>IF(E51="","",E51-G51)</f>
        <v/>
      </c>
      <c r="I51" s="16">
        <f>IF(E51="","",G51-E51)</f>
        <v/>
      </c>
      <c r="J51" s="15" t="n"/>
      <c r="K51" s="15" t="n"/>
    </row>
    <row r="52">
      <c r="A52" s="15">
        <f>IF(B52="","",ROW()-4)</f>
        <v/>
      </c>
      <c r="B52" s="15" t="n"/>
      <c r="C52" s="15" t="n"/>
      <c r="D52" s="15" t="n"/>
      <c r="E52" s="16" t="n"/>
      <c r="F52" s="17">
        <f>IF(E52="","",E52/SubContractSum)</f>
        <v/>
      </c>
      <c r="G52" s="16">
        <f>IFERROR(VLOOKUP(B52,'Pay App - Current'!$B$5:$H$54,7,FALSE),0)</f>
        <v/>
      </c>
      <c r="H52" s="16">
        <f>IF(E52="","",E52-G52)</f>
        <v/>
      </c>
      <c r="I52" s="16">
        <f>IF(E52="","",G52-E52)</f>
        <v/>
      </c>
      <c r="J52" s="15" t="n"/>
      <c r="K52" s="15" t="n"/>
    </row>
    <row r="53">
      <c r="A53" s="15">
        <f>IF(B53="","",ROW()-4)</f>
        <v/>
      </c>
      <c r="B53" s="15" t="n"/>
      <c r="C53" s="15" t="n"/>
      <c r="D53" s="15" t="n"/>
      <c r="E53" s="16" t="n"/>
      <c r="F53" s="17">
        <f>IF(E53="","",E53/SubContractSum)</f>
        <v/>
      </c>
      <c r="G53" s="16">
        <f>IFERROR(VLOOKUP(B53,'Pay App - Current'!$B$5:$H$54,7,FALSE),0)</f>
        <v/>
      </c>
      <c r="H53" s="16">
        <f>IF(E53="","",E53-G53)</f>
        <v/>
      </c>
      <c r="I53" s="16">
        <f>IF(E53="","",G53-E53)</f>
        <v/>
      </c>
      <c r="J53" s="15" t="n"/>
      <c r="K53" s="15" t="n"/>
    </row>
    <row r="54">
      <c r="A54" s="15">
        <f>IF(B54="","",ROW()-4)</f>
        <v/>
      </c>
      <c r="B54" s="15" t="n"/>
      <c r="C54" s="15" t="n"/>
      <c r="D54" s="15" t="n"/>
      <c r="E54" s="16" t="n"/>
      <c r="F54" s="17">
        <f>IF(E54="","",E54/SubContractSum)</f>
        <v/>
      </c>
      <c r="G54" s="16">
        <f>IFERROR(VLOOKUP(B54,'Pay App - Current'!$B$5:$H$54,7,FALSE),0)</f>
        <v/>
      </c>
      <c r="H54" s="16">
        <f>IF(E54="","",E54-G54)</f>
        <v/>
      </c>
      <c r="I54" s="16">
        <f>IF(E54="","",G54-E54)</f>
        <v/>
      </c>
      <c r="J54" s="15" t="n"/>
      <c r="K54" s="15" t="n"/>
    </row>
    <row r="56">
      <c r="B56" s="10" t="inlineStr">
        <is>
          <t>TOTAL</t>
        </is>
      </c>
      <c r="E56" s="18">
        <f>SUM(E5:E54)</f>
        <v/>
      </c>
      <c r="G56" s="18">
        <f>SUM(G5:G54)</f>
        <v/>
      </c>
      <c r="H56" s="18">
        <f>SUM(H5:H54)</f>
        <v/>
      </c>
      <c r="I56" s="18">
        <f>SUM(I5:I54)</f>
        <v/>
      </c>
    </row>
  </sheetData>
  <mergeCells count="2">
    <mergeCell ref="A2:K2"/>
    <mergeCell ref="A1:K1"/>
  </mergeCells>
  <conditionalFormatting sqref="I5:I54">
    <cfRule type="cellIs" priority="1" operator="greaterThan" dxfId="1">
      <formula>0</formula>
    </cfRule>
  </conditionalFormatting>
  <conditionalFormatting sqref="H5:H54">
    <cfRule type="expression" priority="2" dxfId="0">
      <formula>AND(E5&lt;&gt;"",H5=0)</formula>
    </cfRule>
  </conditionalFormatting>
  <dataValidations count="2">
    <dataValidation sqref="C5:C54" showDropDown="0" showInputMessage="0" showErrorMessage="0" allowBlank="1" type="list">
      <formula1>"01,02,03,04,05,06,07,08,09,10,11,12,13,14,21,22,23,25,26,27,28,31,32,33,34,35,40,41,42,43,44,45,46,48,49"</formula1>
    </dataValidation>
    <dataValidation sqref="J5:J54" showDropDown="0" showInputMessage="0" showErrorMessage="0" allowBlank="1" type="list">
      <formula1>"Base Bid,Change Order,Allowance,Bond,Insurance,Other"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6"/>
  <sheetViews>
    <sheetView showGridLines="0" workbookViewId="0">
      <selection activeCell="A1" sqref="A1"/>
    </sheetView>
  </sheetViews>
  <sheetFormatPr baseColWidth="8" defaultRowHeight="15"/>
  <cols>
    <col width="8" customWidth="1" min="1" max="1"/>
    <col width="36" customWidth="1" min="2" max="2"/>
    <col width="9" customWidth="1" min="3" max="3"/>
    <col width="16" customWidth="1" min="4" max="4"/>
    <col width="18" customWidth="1" min="5" max="5"/>
    <col width="14" customWidth="1" min="6" max="6"/>
    <col width="18" customWidth="1" min="7" max="7"/>
    <col width="14" customWidth="1" min="8" max="8"/>
    <col width="16" customWidth="1" min="9" max="9"/>
    <col width="12" customWidth="1" min="10" max="10"/>
    <col width="13" customWidth="1" min="11" max="11"/>
    <col width="16" customWidth="1" min="12" max="12"/>
    <col width="16" customWidth="1" min="13" max="13"/>
  </cols>
  <sheetData>
    <row r="1" ht="32" customHeight="1">
      <c r="A1" s="1" t="inlineStr">
        <is>
          <t>PAY APPLICATION — Current Period</t>
        </is>
      </c>
    </row>
    <row r="2">
      <c r="A2" s="19" t="inlineStr">
        <is>
          <t>Project: =ProjectName</t>
        </is>
      </c>
      <c r="G2" s="19" t="inlineStr">
        <is>
          <t xml:space="preserve">Period: </t>
        </is>
      </c>
      <c r="H2" t="inlineStr"/>
      <c r="I2" s="19" t="inlineStr">
        <is>
          <t>Pay App #:</t>
        </is>
      </c>
      <c r="J2" s="20" t="n">
        <v>1</v>
      </c>
    </row>
    <row r="4" ht="30" customHeight="1">
      <c r="A4" s="14" t="inlineStr">
        <is>
          <t>Line #</t>
        </is>
      </c>
      <c r="B4" s="14" t="inlineStr">
        <is>
          <t>Description</t>
        </is>
      </c>
      <c r="C4" s="14" t="inlineStr">
        <is>
          <t>CSI Div</t>
        </is>
      </c>
      <c r="D4" s="14" t="inlineStr">
        <is>
          <t>Scheduled Value</t>
        </is>
      </c>
      <c r="E4" s="14" t="inlineStr">
        <is>
          <t>Work Completed Previous ($)</t>
        </is>
      </c>
      <c r="F4" s="14" t="inlineStr">
        <is>
          <t>% Complete This Period</t>
        </is>
      </c>
      <c r="G4" s="14" t="inlineStr">
        <is>
          <t>Work Completed To Date ($)</t>
        </is>
      </c>
      <c r="H4" s="14" t="inlineStr">
        <is>
          <t>Materials Stored ($)</t>
        </is>
      </c>
      <c r="I4" s="14" t="inlineStr">
        <is>
          <t>Total To Date ($)</t>
        </is>
      </c>
      <c r="J4" s="14" t="inlineStr">
        <is>
          <t>% Complete</t>
        </is>
      </c>
      <c r="K4" s="14" t="inlineStr">
        <is>
          <t>Retainage ($)</t>
        </is>
      </c>
      <c r="L4" s="14" t="inlineStr">
        <is>
          <t>Balance to Finish ($)</t>
        </is>
      </c>
      <c r="M4" s="14" t="inlineStr">
        <is>
          <t>This Period Net ($)</t>
        </is>
      </c>
    </row>
    <row r="5">
      <c r="A5" s="15">
        <f>IF('SOV Setup'!A5="","",'SOV Setup'!A5)</f>
        <v/>
      </c>
      <c r="B5" s="15">
        <f>'SOV Setup'!B5</f>
        <v/>
      </c>
      <c r="C5" s="15">
        <f>'SOV Setup'!C5</f>
        <v/>
      </c>
      <c r="D5" s="16">
        <f>IF('SOV Setup'!E5="","",'SOV Setup'!E5)</f>
        <v/>
      </c>
      <c r="E5" s="16" t="n">
        <v>0</v>
      </c>
      <c r="F5" s="17" t="n">
        <v>0</v>
      </c>
      <c r="G5" s="16">
        <f>IF(D5="","",E5+(D5*F5))</f>
        <v/>
      </c>
      <c r="H5" s="16" t="n">
        <v>0</v>
      </c>
      <c r="I5" s="16">
        <f>IF(D5="","",G5+H5)</f>
        <v/>
      </c>
      <c r="J5" s="17">
        <f>IF(OR(D5="",D5=0),"",I5/D5)</f>
        <v/>
      </c>
      <c r="K5" s="16">
        <f>IF(D5="","",IF(RetainStored="Yes",I5*RetainageRate,G5*RetainageRate))</f>
        <v/>
      </c>
      <c r="L5" s="16">
        <f>IF(D5="","",D5-I5)</f>
        <v/>
      </c>
      <c r="M5" s="16">
        <f>IF(D5="","",(I5-E5)-(K5-E5*RetainageRate))</f>
        <v/>
      </c>
    </row>
    <row r="6">
      <c r="A6" s="15">
        <f>IF('SOV Setup'!A6="","",'SOV Setup'!A6)</f>
        <v/>
      </c>
      <c r="B6" s="15">
        <f>'SOV Setup'!B6</f>
        <v/>
      </c>
      <c r="C6" s="15">
        <f>'SOV Setup'!C6</f>
        <v/>
      </c>
      <c r="D6" s="16">
        <f>IF('SOV Setup'!E6="","",'SOV Setup'!E6)</f>
        <v/>
      </c>
      <c r="E6" s="16" t="n">
        <v>0</v>
      </c>
      <c r="F6" s="17" t="n">
        <v>0</v>
      </c>
      <c r="G6" s="16">
        <f>IF(D6="","",E6+(D6*F6))</f>
        <v/>
      </c>
      <c r="H6" s="16" t="n">
        <v>0</v>
      </c>
      <c r="I6" s="16">
        <f>IF(D6="","",G6+H6)</f>
        <v/>
      </c>
      <c r="J6" s="17">
        <f>IF(OR(D6="",D6=0),"",I6/D6)</f>
        <v/>
      </c>
      <c r="K6" s="16">
        <f>IF(D6="","",IF(RetainStored="Yes",I6*RetainageRate,G6*RetainageRate))</f>
        <v/>
      </c>
      <c r="L6" s="16">
        <f>IF(D6="","",D6-I6)</f>
        <v/>
      </c>
      <c r="M6" s="16">
        <f>IF(D6="","",(I6-E6)-(K6-E6*RetainageRate))</f>
        <v/>
      </c>
    </row>
    <row r="7">
      <c r="A7" s="15">
        <f>IF('SOV Setup'!A7="","",'SOV Setup'!A7)</f>
        <v/>
      </c>
      <c r="B7" s="15">
        <f>'SOV Setup'!B7</f>
        <v/>
      </c>
      <c r="C7" s="15">
        <f>'SOV Setup'!C7</f>
        <v/>
      </c>
      <c r="D7" s="16">
        <f>IF('SOV Setup'!E7="","",'SOV Setup'!E7)</f>
        <v/>
      </c>
      <c r="E7" s="16" t="n">
        <v>0</v>
      </c>
      <c r="F7" s="17" t="n">
        <v>0</v>
      </c>
      <c r="G7" s="16">
        <f>IF(D7="","",E7+(D7*F7))</f>
        <v/>
      </c>
      <c r="H7" s="16" t="n">
        <v>0</v>
      </c>
      <c r="I7" s="16">
        <f>IF(D7="","",G7+H7)</f>
        <v/>
      </c>
      <c r="J7" s="17">
        <f>IF(OR(D7="",D7=0),"",I7/D7)</f>
        <v/>
      </c>
      <c r="K7" s="16">
        <f>IF(D7="","",IF(RetainStored="Yes",I7*RetainageRate,G7*RetainageRate))</f>
        <v/>
      </c>
      <c r="L7" s="16">
        <f>IF(D7="","",D7-I7)</f>
        <v/>
      </c>
      <c r="M7" s="16">
        <f>IF(D7="","",(I7-E7)-(K7-E7*RetainageRate))</f>
        <v/>
      </c>
    </row>
    <row r="8">
      <c r="A8" s="15">
        <f>IF('SOV Setup'!A8="","",'SOV Setup'!A8)</f>
        <v/>
      </c>
      <c r="B8" s="15">
        <f>'SOV Setup'!B8</f>
        <v/>
      </c>
      <c r="C8" s="15">
        <f>'SOV Setup'!C8</f>
        <v/>
      </c>
      <c r="D8" s="16">
        <f>IF('SOV Setup'!E8="","",'SOV Setup'!E8)</f>
        <v/>
      </c>
      <c r="E8" s="16" t="n">
        <v>0</v>
      </c>
      <c r="F8" s="17" t="n">
        <v>0</v>
      </c>
      <c r="G8" s="16">
        <f>IF(D8="","",E8+(D8*F8))</f>
        <v/>
      </c>
      <c r="H8" s="16" t="n">
        <v>0</v>
      </c>
      <c r="I8" s="16">
        <f>IF(D8="","",G8+H8)</f>
        <v/>
      </c>
      <c r="J8" s="17">
        <f>IF(OR(D8="",D8=0),"",I8/D8)</f>
        <v/>
      </c>
      <c r="K8" s="16">
        <f>IF(D8="","",IF(RetainStored="Yes",I8*RetainageRate,G8*RetainageRate))</f>
        <v/>
      </c>
      <c r="L8" s="16">
        <f>IF(D8="","",D8-I8)</f>
        <v/>
      </c>
      <c r="M8" s="16">
        <f>IF(D8="","",(I8-E8)-(K8-E8*RetainageRate))</f>
        <v/>
      </c>
    </row>
    <row r="9">
      <c r="A9" s="15">
        <f>IF('SOV Setup'!A9="","",'SOV Setup'!A9)</f>
        <v/>
      </c>
      <c r="B9" s="15">
        <f>'SOV Setup'!B9</f>
        <v/>
      </c>
      <c r="C9" s="15">
        <f>'SOV Setup'!C9</f>
        <v/>
      </c>
      <c r="D9" s="16">
        <f>IF('SOV Setup'!E9="","",'SOV Setup'!E9)</f>
        <v/>
      </c>
      <c r="E9" s="16" t="n">
        <v>0</v>
      </c>
      <c r="F9" s="17" t="n">
        <v>0</v>
      </c>
      <c r="G9" s="16">
        <f>IF(D9="","",E9+(D9*F9))</f>
        <v/>
      </c>
      <c r="H9" s="16" t="n">
        <v>0</v>
      </c>
      <c r="I9" s="16">
        <f>IF(D9="","",G9+H9)</f>
        <v/>
      </c>
      <c r="J9" s="17">
        <f>IF(OR(D9="",D9=0),"",I9/D9)</f>
        <v/>
      </c>
      <c r="K9" s="16">
        <f>IF(D9="","",IF(RetainStored="Yes",I9*RetainageRate,G9*RetainageRate))</f>
        <v/>
      </c>
      <c r="L9" s="16">
        <f>IF(D9="","",D9-I9)</f>
        <v/>
      </c>
      <c r="M9" s="16">
        <f>IF(D9="","",(I9-E9)-(K9-E9*RetainageRate))</f>
        <v/>
      </c>
    </row>
    <row r="10">
      <c r="A10" s="15">
        <f>IF('SOV Setup'!A10="","",'SOV Setup'!A10)</f>
        <v/>
      </c>
      <c r="B10" s="15">
        <f>'SOV Setup'!B10</f>
        <v/>
      </c>
      <c r="C10" s="15">
        <f>'SOV Setup'!C10</f>
        <v/>
      </c>
      <c r="D10" s="16">
        <f>IF('SOV Setup'!E10="","",'SOV Setup'!E10)</f>
        <v/>
      </c>
      <c r="E10" s="16" t="n">
        <v>0</v>
      </c>
      <c r="F10" s="17" t="n">
        <v>0</v>
      </c>
      <c r="G10" s="16">
        <f>IF(D10="","",E10+(D10*F10))</f>
        <v/>
      </c>
      <c r="H10" s="16" t="n">
        <v>0</v>
      </c>
      <c r="I10" s="16">
        <f>IF(D10="","",G10+H10)</f>
        <v/>
      </c>
      <c r="J10" s="17">
        <f>IF(OR(D10="",D10=0),"",I10/D10)</f>
        <v/>
      </c>
      <c r="K10" s="16">
        <f>IF(D10="","",IF(RetainStored="Yes",I10*RetainageRate,G10*RetainageRate))</f>
        <v/>
      </c>
      <c r="L10" s="16">
        <f>IF(D10="","",D10-I10)</f>
        <v/>
      </c>
      <c r="M10" s="16">
        <f>IF(D10="","",(I10-E10)-(K10-E10*RetainageRate))</f>
        <v/>
      </c>
    </row>
    <row r="11">
      <c r="A11" s="15">
        <f>IF('SOV Setup'!A11="","",'SOV Setup'!A11)</f>
        <v/>
      </c>
      <c r="B11" s="15">
        <f>'SOV Setup'!B11</f>
        <v/>
      </c>
      <c r="C11" s="15">
        <f>'SOV Setup'!C11</f>
        <v/>
      </c>
      <c r="D11" s="16">
        <f>IF('SOV Setup'!E11="","",'SOV Setup'!E11)</f>
        <v/>
      </c>
      <c r="E11" s="16" t="n">
        <v>0</v>
      </c>
      <c r="F11" s="17" t="n">
        <v>0</v>
      </c>
      <c r="G11" s="16">
        <f>IF(D11="","",E11+(D11*F11))</f>
        <v/>
      </c>
      <c r="H11" s="16" t="n">
        <v>0</v>
      </c>
      <c r="I11" s="16">
        <f>IF(D11="","",G11+H11)</f>
        <v/>
      </c>
      <c r="J11" s="17">
        <f>IF(OR(D11="",D11=0),"",I11/D11)</f>
        <v/>
      </c>
      <c r="K11" s="16">
        <f>IF(D11="","",IF(RetainStored="Yes",I11*RetainageRate,G11*RetainageRate))</f>
        <v/>
      </c>
      <c r="L11" s="16">
        <f>IF(D11="","",D11-I11)</f>
        <v/>
      </c>
      <c r="M11" s="16">
        <f>IF(D11="","",(I11-E11)-(K11-E11*RetainageRate))</f>
        <v/>
      </c>
    </row>
    <row r="12">
      <c r="A12" s="15">
        <f>IF('SOV Setup'!A12="","",'SOV Setup'!A12)</f>
        <v/>
      </c>
      <c r="B12" s="15">
        <f>'SOV Setup'!B12</f>
        <v/>
      </c>
      <c r="C12" s="15">
        <f>'SOV Setup'!C12</f>
        <v/>
      </c>
      <c r="D12" s="16">
        <f>IF('SOV Setup'!E12="","",'SOV Setup'!E12)</f>
        <v/>
      </c>
      <c r="E12" s="16" t="n">
        <v>0</v>
      </c>
      <c r="F12" s="17" t="n">
        <v>0</v>
      </c>
      <c r="G12" s="16">
        <f>IF(D12="","",E12+(D12*F12))</f>
        <v/>
      </c>
      <c r="H12" s="16" t="n">
        <v>0</v>
      </c>
      <c r="I12" s="16">
        <f>IF(D12="","",G12+H12)</f>
        <v/>
      </c>
      <c r="J12" s="17">
        <f>IF(OR(D12="",D12=0),"",I12/D12)</f>
        <v/>
      </c>
      <c r="K12" s="16">
        <f>IF(D12="","",IF(RetainStored="Yes",I12*RetainageRate,G12*RetainageRate))</f>
        <v/>
      </c>
      <c r="L12" s="16">
        <f>IF(D12="","",D12-I12)</f>
        <v/>
      </c>
      <c r="M12" s="16">
        <f>IF(D12="","",(I12-E12)-(K12-E12*RetainageRate))</f>
        <v/>
      </c>
    </row>
    <row r="13">
      <c r="A13" s="15">
        <f>IF('SOV Setup'!A13="","",'SOV Setup'!A13)</f>
        <v/>
      </c>
      <c r="B13" s="15">
        <f>'SOV Setup'!B13</f>
        <v/>
      </c>
      <c r="C13" s="15">
        <f>'SOV Setup'!C13</f>
        <v/>
      </c>
      <c r="D13" s="16">
        <f>IF('SOV Setup'!E13="","",'SOV Setup'!E13)</f>
        <v/>
      </c>
      <c r="E13" s="16" t="n">
        <v>0</v>
      </c>
      <c r="F13" s="17" t="n">
        <v>0</v>
      </c>
      <c r="G13" s="16">
        <f>IF(D13="","",E13+(D13*F13))</f>
        <v/>
      </c>
      <c r="H13" s="16" t="n">
        <v>0</v>
      </c>
      <c r="I13" s="16">
        <f>IF(D13="","",G13+H13)</f>
        <v/>
      </c>
      <c r="J13" s="17">
        <f>IF(OR(D13="",D13=0),"",I13/D13)</f>
        <v/>
      </c>
      <c r="K13" s="16">
        <f>IF(D13="","",IF(RetainStored="Yes",I13*RetainageRate,G13*RetainageRate))</f>
        <v/>
      </c>
      <c r="L13" s="16">
        <f>IF(D13="","",D13-I13)</f>
        <v/>
      </c>
      <c r="M13" s="16">
        <f>IF(D13="","",(I13-E13)-(K13-E13*RetainageRate))</f>
        <v/>
      </c>
    </row>
    <row r="14">
      <c r="A14" s="15">
        <f>IF('SOV Setup'!A14="","",'SOV Setup'!A14)</f>
        <v/>
      </c>
      <c r="B14" s="15">
        <f>'SOV Setup'!B14</f>
        <v/>
      </c>
      <c r="C14" s="15">
        <f>'SOV Setup'!C14</f>
        <v/>
      </c>
      <c r="D14" s="16">
        <f>IF('SOV Setup'!E14="","",'SOV Setup'!E14)</f>
        <v/>
      </c>
      <c r="E14" s="16" t="n">
        <v>0</v>
      </c>
      <c r="F14" s="17" t="n">
        <v>0</v>
      </c>
      <c r="G14" s="16">
        <f>IF(D14="","",E14+(D14*F14))</f>
        <v/>
      </c>
      <c r="H14" s="16" t="n">
        <v>0</v>
      </c>
      <c r="I14" s="16">
        <f>IF(D14="","",G14+H14)</f>
        <v/>
      </c>
      <c r="J14" s="17">
        <f>IF(OR(D14="",D14=0),"",I14/D14)</f>
        <v/>
      </c>
      <c r="K14" s="16">
        <f>IF(D14="","",IF(RetainStored="Yes",I14*RetainageRate,G14*RetainageRate))</f>
        <v/>
      </c>
      <c r="L14" s="16">
        <f>IF(D14="","",D14-I14)</f>
        <v/>
      </c>
      <c r="M14" s="16">
        <f>IF(D14="","",(I14-E14)-(K14-E14*RetainageRate))</f>
        <v/>
      </c>
    </row>
    <row r="15">
      <c r="A15" s="15">
        <f>IF('SOV Setup'!A15="","",'SOV Setup'!A15)</f>
        <v/>
      </c>
      <c r="B15" s="15">
        <f>'SOV Setup'!B15</f>
        <v/>
      </c>
      <c r="C15" s="15">
        <f>'SOV Setup'!C15</f>
        <v/>
      </c>
      <c r="D15" s="16">
        <f>IF('SOV Setup'!E15="","",'SOV Setup'!E15)</f>
        <v/>
      </c>
      <c r="E15" s="16" t="n">
        <v>0</v>
      </c>
      <c r="F15" s="17" t="n">
        <v>0</v>
      </c>
      <c r="G15" s="16">
        <f>IF(D15="","",E15+(D15*F15))</f>
        <v/>
      </c>
      <c r="H15" s="16" t="n">
        <v>0</v>
      </c>
      <c r="I15" s="16">
        <f>IF(D15="","",G15+H15)</f>
        <v/>
      </c>
      <c r="J15" s="17">
        <f>IF(OR(D15="",D15=0),"",I15/D15)</f>
        <v/>
      </c>
      <c r="K15" s="16">
        <f>IF(D15="","",IF(RetainStored="Yes",I15*RetainageRate,G15*RetainageRate))</f>
        <v/>
      </c>
      <c r="L15" s="16">
        <f>IF(D15="","",D15-I15)</f>
        <v/>
      </c>
      <c r="M15" s="16">
        <f>IF(D15="","",(I15-E15)-(K15-E15*RetainageRate))</f>
        <v/>
      </c>
    </row>
    <row r="16">
      <c r="A16" s="15">
        <f>IF('SOV Setup'!A16="","",'SOV Setup'!A16)</f>
        <v/>
      </c>
      <c r="B16" s="15">
        <f>'SOV Setup'!B16</f>
        <v/>
      </c>
      <c r="C16" s="15">
        <f>'SOV Setup'!C16</f>
        <v/>
      </c>
      <c r="D16" s="16">
        <f>IF('SOV Setup'!E16="","",'SOV Setup'!E16)</f>
        <v/>
      </c>
      <c r="E16" s="16" t="n">
        <v>0</v>
      </c>
      <c r="F16" s="17" t="n">
        <v>0</v>
      </c>
      <c r="G16" s="16">
        <f>IF(D16="","",E16+(D16*F16))</f>
        <v/>
      </c>
      <c r="H16" s="16" t="n">
        <v>0</v>
      </c>
      <c r="I16" s="16">
        <f>IF(D16="","",G16+H16)</f>
        <v/>
      </c>
      <c r="J16" s="17">
        <f>IF(OR(D16="",D16=0),"",I16/D16)</f>
        <v/>
      </c>
      <c r="K16" s="16">
        <f>IF(D16="","",IF(RetainStored="Yes",I16*RetainageRate,G16*RetainageRate))</f>
        <v/>
      </c>
      <c r="L16" s="16">
        <f>IF(D16="","",D16-I16)</f>
        <v/>
      </c>
      <c r="M16" s="16">
        <f>IF(D16="","",(I16-E16)-(K16-E16*RetainageRate))</f>
        <v/>
      </c>
    </row>
    <row r="17">
      <c r="A17" s="15">
        <f>IF('SOV Setup'!A17="","",'SOV Setup'!A17)</f>
        <v/>
      </c>
      <c r="B17" s="15">
        <f>'SOV Setup'!B17</f>
        <v/>
      </c>
      <c r="C17" s="15">
        <f>'SOV Setup'!C17</f>
        <v/>
      </c>
      <c r="D17" s="16">
        <f>IF('SOV Setup'!E17="","",'SOV Setup'!E17)</f>
        <v/>
      </c>
      <c r="E17" s="16" t="n">
        <v>0</v>
      </c>
      <c r="F17" s="17" t="n">
        <v>0</v>
      </c>
      <c r="G17" s="16">
        <f>IF(D17="","",E17+(D17*F17))</f>
        <v/>
      </c>
      <c r="H17" s="16" t="n">
        <v>0</v>
      </c>
      <c r="I17" s="16">
        <f>IF(D17="","",G17+H17)</f>
        <v/>
      </c>
      <c r="J17" s="17">
        <f>IF(OR(D17="",D17=0),"",I17/D17)</f>
        <v/>
      </c>
      <c r="K17" s="16">
        <f>IF(D17="","",IF(RetainStored="Yes",I17*RetainageRate,G17*RetainageRate))</f>
        <v/>
      </c>
      <c r="L17" s="16">
        <f>IF(D17="","",D17-I17)</f>
        <v/>
      </c>
      <c r="M17" s="16">
        <f>IF(D17="","",(I17-E17)-(K17-E17*RetainageRate))</f>
        <v/>
      </c>
    </row>
    <row r="18">
      <c r="A18" s="15">
        <f>IF('SOV Setup'!A18="","",'SOV Setup'!A18)</f>
        <v/>
      </c>
      <c r="B18" s="15">
        <f>'SOV Setup'!B18</f>
        <v/>
      </c>
      <c r="C18" s="15">
        <f>'SOV Setup'!C18</f>
        <v/>
      </c>
      <c r="D18" s="16">
        <f>IF('SOV Setup'!E18="","",'SOV Setup'!E18)</f>
        <v/>
      </c>
      <c r="E18" s="16" t="n">
        <v>0</v>
      </c>
      <c r="F18" s="17" t="n">
        <v>0</v>
      </c>
      <c r="G18" s="16">
        <f>IF(D18="","",E18+(D18*F18))</f>
        <v/>
      </c>
      <c r="H18" s="16" t="n">
        <v>0</v>
      </c>
      <c r="I18" s="16">
        <f>IF(D18="","",G18+H18)</f>
        <v/>
      </c>
      <c r="J18" s="17">
        <f>IF(OR(D18="",D18=0),"",I18/D18)</f>
        <v/>
      </c>
      <c r="K18" s="16">
        <f>IF(D18="","",IF(RetainStored="Yes",I18*RetainageRate,G18*RetainageRate))</f>
        <v/>
      </c>
      <c r="L18" s="16">
        <f>IF(D18="","",D18-I18)</f>
        <v/>
      </c>
      <c r="M18" s="16">
        <f>IF(D18="","",(I18-E18)-(K18-E18*RetainageRate))</f>
        <v/>
      </c>
    </row>
    <row r="19">
      <c r="A19" s="15">
        <f>IF('SOV Setup'!A19="","",'SOV Setup'!A19)</f>
        <v/>
      </c>
      <c r="B19" s="15">
        <f>'SOV Setup'!B19</f>
        <v/>
      </c>
      <c r="C19" s="15">
        <f>'SOV Setup'!C19</f>
        <v/>
      </c>
      <c r="D19" s="16">
        <f>IF('SOV Setup'!E19="","",'SOV Setup'!E19)</f>
        <v/>
      </c>
      <c r="E19" s="16" t="n">
        <v>0</v>
      </c>
      <c r="F19" s="17" t="n">
        <v>0</v>
      </c>
      <c r="G19" s="16">
        <f>IF(D19="","",E19+(D19*F19))</f>
        <v/>
      </c>
      <c r="H19" s="16" t="n">
        <v>0</v>
      </c>
      <c r="I19" s="16">
        <f>IF(D19="","",G19+H19)</f>
        <v/>
      </c>
      <c r="J19" s="17">
        <f>IF(OR(D19="",D19=0),"",I19/D19)</f>
        <v/>
      </c>
      <c r="K19" s="16">
        <f>IF(D19="","",IF(RetainStored="Yes",I19*RetainageRate,G19*RetainageRate))</f>
        <v/>
      </c>
      <c r="L19" s="16">
        <f>IF(D19="","",D19-I19)</f>
        <v/>
      </c>
      <c r="M19" s="16">
        <f>IF(D19="","",(I19-E19)-(K19-E19*RetainageRate))</f>
        <v/>
      </c>
    </row>
    <row r="20">
      <c r="A20" s="15">
        <f>IF('SOV Setup'!A20="","",'SOV Setup'!A20)</f>
        <v/>
      </c>
      <c r="B20" s="15">
        <f>'SOV Setup'!B20</f>
        <v/>
      </c>
      <c r="C20" s="15">
        <f>'SOV Setup'!C20</f>
        <v/>
      </c>
      <c r="D20" s="16">
        <f>IF('SOV Setup'!E20="","",'SOV Setup'!E20)</f>
        <v/>
      </c>
      <c r="E20" s="16" t="n">
        <v>0</v>
      </c>
      <c r="F20" s="17" t="n">
        <v>0</v>
      </c>
      <c r="G20" s="16">
        <f>IF(D20="","",E20+(D20*F20))</f>
        <v/>
      </c>
      <c r="H20" s="16" t="n">
        <v>0</v>
      </c>
      <c r="I20" s="16">
        <f>IF(D20="","",G20+H20)</f>
        <v/>
      </c>
      <c r="J20" s="17">
        <f>IF(OR(D20="",D20=0),"",I20/D20)</f>
        <v/>
      </c>
      <c r="K20" s="16">
        <f>IF(D20="","",IF(RetainStored="Yes",I20*RetainageRate,G20*RetainageRate))</f>
        <v/>
      </c>
      <c r="L20" s="16">
        <f>IF(D20="","",D20-I20)</f>
        <v/>
      </c>
      <c r="M20" s="16">
        <f>IF(D20="","",(I20-E20)-(K20-E20*RetainageRate))</f>
        <v/>
      </c>
    </row>
    <row r="21">
      <c r="A21" s="15">
        <f>IF('SOV Setup'!A21="","",'SOV Setup'!A21)</f>
        <v/>
      </c>
      <c r="B21" s="15">
        <f>'SOV Setup'!B21</f>
        <v/>
      </c>
      <c r="C21" s="15">
        <f>'SOV Setup'!C21</f>
        <v/>
      </c>
      <c r="D21" s="16">
        <f>IF('SOV Setup'!E21="","",'SOV Setup'!E21)</f>
        <v/>
      </c>
      <c r="E21" s="16" t="n">
        <v>0</v>
      </c>
      <c r="F21" s="17" t="n">
        <v>0</v>
      </c>
      <c r="G21" s="16">
        <f>IF(D21="","",E21+(D21*F21))</f>
        <v/>
      </c>
      <c r="H21" s="16" t="n">
        <v>0</v>
      </c>
      <c r="I21" s="16">
        <f>IF(D21="","",G21+H21)</f>
        <v/>
      </c>
      <c r="J21" s="17">
        <f>IF(OR(D21="",D21=0),"",I21/D21)</f>
        <v/>
      </c>
      <c r="K21" s="16">
        <f>IF(D21="","",IF(RetainStored="Yes",I21*RetainageRate,G21*RetainageRate))</f>
        <v/>
      </c>
      <c r="L21" s="16">
        <f>IF(D21="","",D21-I21)</f>
        <v/>
      </c>
      <c r="M21" s="16">
        <f>IF(D21="","",(I21-E21)-(K21-E21*RetainageRate))</f>
        <v/>
      </c>
    </row>
    <row r="22">
      <c r="A22" s="15">
        <f>IF('SOV Setup'!A22="","",'SOV Setup'!A22)</f>
        <v/>
      </c>
      <c r="B22" s="15">
        <f>'SOV Setup'!B22</f>
        <v/>
      </c>
      <c r="C22" s="15">
        <f>'SOV Setup'!C22</f>
        <v/>
      </c>
      <c r="D22" s="16">
        <f>IF('SOV Setup'!E22="","",'SOV Setup'!E22)</f>
        <v/>
      </c>
      <c r="E22" s="16" t="n">
        <v>0</v>
      </c>
      <c r="F22" s="17" t="n">
        <v>0</v>
      </c>
      <c r="G22" s="16">
        <f>IF(D22="","",E22+(D22*F22))</f>
        <v/>
      </c>
      <c r="H22" s="16" t="n">
        <v>0</v>
      </c>
      <c r="I22" s="16">
        <f>IF(D22="","",G22+H22)</f>
        <v/>
      </c>
      <c r="J22" s="17">
        <f>IF(OR(D22="",D22=0),"",I22/D22)</f>
        <v/>
      </c>
      <c r="K22" s="16">
        <f>IF(D22="","",IF(RetainStored="Yes",I22*RetainageRate,G22*RetainageRate))</f>
        <v/>
      </c>
      <c r="L22" s="16">
        <f>IF(D22="","",D22-I22)</f>
        <v/>
      </c>
      <c r="M22" s="16">
        <f>IF(D22="","",(I22-E22)-(K22-E22*RetainageRate))</f>
        <v/>
      </c>
    </row>
    <row r="23">
      <c r="A23" s="15">
        <f>IF('SOV Setup'!A23="","",'SOV Setup'!A23)</f>
        <v/>
      </c>
      <c r="B23" s="15">
        <f>'SOV Setup'!B23</f>
        <v/>
      </c>
      <c r="C23" s="15">
        <f>'SOV Setup'!C23</f>
        <v/>
      </c>
      <c r="D23" s="16">
        <f>IF('SOV Setup'!E23="","",'SOV Setup'!E23)</f>
        <v/>
      </c>
      <c r="E23" s="16" t="n">
        <v>0</v>
      </c>
      <c r="F23" s="17" t="n">
        <v>0</v>
      </c>
      <c r="G23" s="16">
        <f>IF(D23="","",E23+(D23*F23))</f>
        <v/>
      </c>
      <c r="H23" s="16" t="n">
        <v>0</v>
      </c>
      <c r="I23" s="16">
        <f>IF(D23="","",G23+H23)</f>
        <v/>
      </c>
      <c r="J23" s="17">
        <f>IF(OR(D23="",D23=0),"",I23/D23)</f>
        <v/>
      </c>
      <c r="K23" s="16">
        <f>IF(D23="","",IF(RetainStored="Yes",I23*RetainageRate,G23*RetainageRate))</f>
        <v/>
      </c>
      <c r="L23" s="16">
        <f>IF(D23="","",D23-I23)</f>
        <v/>
      </c>
      <c r="M23" s="16">
        <f>IF(D23="","",(I23-E23)-(K23-E23*RetainageRate))</f>
        <v/>
      </c>
    </row>
    <row r="24">
      <c r="A24" s="15">
        <f>IF('SOV Setup'!A24="","",'SOV Setup'!A24)</f>
        <v/>
      </c>
      <c r="B24" s="15">
        <f>'SOV Setup'!B24</f>
        <v/>
      </c>
      <c r="C24" s="15">
        <f>'SOV Setup'!C24</f>
        <v/>
      </c>
      <c r="D24" s="16">
        <f>IF('SOV Setup'!E24="","",'SOV Setup'!E24)</f>
        <v/>
      </c>
      <c r="E24" s="16" t="n">
        <v>0</v>
      </c>
      <c r="F24" s="17" t="n">
        <v>0</v>
      </c>
      <c r="G24" s="16">
        <f>IF(D24="","",E24+(D24*F24))</f>
        <v/>
      </c>
      <c r="H24" s="16" t="n">
        <v>0</v>
      </c>
      <c r="I24" s="16">
        <f>IF(D24="","",G24+H24)</f>
        <v/>
      </c>
      <c r="J24" s="17">
        <f>IF(OR(D24="",D24=0),"",I24/D24)</f>
        <v/>
      </c>
      <c r="K24" s="16">
        <f>IF(D24="","",IF(RetainStored="Yes",I24*RetainageRate,G24*RetainageRate))</f>
        <v/>
      </c>
      <c r="L24" s="16">
        <f>IF(D24="","",D24-I24)</f>
        <v/>
      </c>
      <c r="M24" s="16">
        <f>IF(D24="","",(I24-E24)-(K24-E24*RetainageRate))</f>
        <v/>
      </c>
    </row>
    <row r="25">
      <c r="A25" s="15">
        <f>IF('SOV Setup'!A25="","",'SOV Setup'!A25)</f>
        <v/>
      </c>
      <c r="B25" s="15">
        <f>'SOV Setup'!B25</f>
        <v/>
      </c>
      <c r="C25" s="15">
        <f>'SOV Setup'!C25</f>
        <v/>
      </c>
      <c r="D25" s="16">
        <f>IF('SOV Setup'!E25="","",'SOV Setup'!E25)</f>
        <v/>
      </c>
      <c r="E25" s="16" t="n">
        <v>0</v>
      </c>
      <c r="F25" s="17" t="n">
        <v>0</v>
      </c>
      <c r="G25" s="16">
        <f>IF(D25="","",E25+(D25*F25))</f>
        <v/>
      </c>
      <c r="H25" s="16" t="n">
        <v>0</v>
      </c>
      <c r="I25" s="16">
        <f>IF(D25="","",G25+H25)</f>
        <v/>
      </c>
      <c r="J25" s="17">
        <f>IF(OR(D25="",D25=0),"",I25/D25)</f>
        <v/>
      </c>
      <c r="K25" s="16">
        <f>IF(D25="","",IF(RetainStored="Yes",I25*RetainageRate,G25*RetainageRate))</f>
        <v/>
      </c>
      <c r="L25" s="16">
        <f>IF(D25="","",D25-I25)</f>
        <v/>
      </c>
      <c r="M25" s="16">
        <f>IF(D25="","",(I25-E25)-(K25-E25*RetainageRate))</f>
        <v/>
      </c>
    </row>
    <row r="26">
      <c r="A26" s="15">
        <f>IF('SOV Setup'!A26="","",'SOV Setup'!A26)</f>
        <v/>
      </c>
      <c r="B26" s="15">
        <f>'SOV Setup'!B26</f>
        <v/>
      </c>
      <c r="C26" s="15">
        <f>'SOV Setup'!C26</f>
        <v/>
      </c>
      <c r="D26" s="16">
        <f>IF('SOV Setup'!E26="","",'SOV Setup'!E26)</f>
        <v/>
      </c>
      <c r="E26" s="16" t="n">
        <v>0</v>
      </c>
      <c r="F26" s="17" t="n">
        <v>0</v>
      </c>
      <c r="G26" s="16">
        <f>IF(D26="","",E26+(D26*F26))</f>
        <v/>
      </c>
      <c r="H26" s="16" t="n">
        <v>0</v>
      </c>
      <c r="I26" s="16">
        <f>IF(D26="","",G26+H26)</f>
        <v/>
      </c>
      <c r="J26" s="17">
        <f>IF(OR(D26="",D26=0),"",I26/D26)</f>
        <v/>
      </c>
      <c r="K26" s="16">
        <f>IF(D26="","",IF(RetainStored="Yes",I26*RetainageRate,G26*RetainageRate))</f>
        <v/>
      </c>
      <c r="L26" s="16">
        <f>IF(D26="","",D26-I26)</f>
        <v/>
      </c>
      <c r="M26" s="16">
        <f>IF(D26="","",(I26-E26)-(K26-E26*RetainageRate))</f>
        <v/>
      </c>
    </row>
    <row r="27">
      <c r="A27" s="15">
        <f>IF('SOV Setup'!A27="","",'SOV Setup'!A27)</f>
        <v/>
      </c>
      <c r="B27" s="15">
        <f>'SOV Setup'!B27</f>
        <v/>
      </c>
      <c r="C27" s="15">
        <f>'SOV Setup'!C27</f>
        <v/>
      </c>
      <c r="D27" s="16">
        <f>IF('SOV Setup'!E27="","",'SOV Setup'!E27)</f>
        <v/>
      </c>
      <c r="E27" s="16" t="n">
        <v>0</v>
      </c>
      <c r="F27" s="17" t="n">
        <v>0</v>
      </c>
      <c r="G27" s="16">
        <f>IF(D27="","",E27+(D27*F27))</f>
        <v/>
      </c>
      <c r="H27" s="16" t="n">
        <v>0</v>
      </c>
      <c r="I27" s="16">
        <f>IF(D27="","",G27+H27)</f>
        <v/>
      </c>
      <c r="J27" s="17">
        <f>IF(OR(D27="",D27=0),"",I27/D27)</f>
        <v/>
      </c>
      <c r="K27" s="16">
        <f>IF(D27="","",IF(RetainStored="Yes",I27*RetainageRate,G27*RetainageRate))</f>
        <v/>
      </c>
      <c r="L27" s="16">
        <f>IF(D27="","",D27-I27)</f>
        <v/>
      </c>
      <c r="M27" s="16">
        <f>IF(D27="","",(I27-E27)-(K27-E27*RetainageRate))</f>
        <v/>
      </c>
    </row>
    <row r="28">
      <c r="A28" s="15">
        <f>IF('SOV Setup'!A28="","",'SOV Setup'!A28)</f>
        <v/>
      </c>
      <c r="B28" s="15">
        <f>'SOV Setup'!B28</f>
        <v/>
      </c>
      <c r="C28" s="15">
        <f>'SOV Setup'!C28</f>
        <v/>
      </c>
      <c r="D28" s="16">
        <f>IF('SOV Setup'!E28="","",'SOV Setup'!E28)</f>
        <v/>
      </c>
      <c r="E28" s="16" t="n">
        <v>0</v>
      </c>
      <c r="F28" s="17" t="n">
        <v>0</v>
      </c>
      <c r="G28" s="16">
        <f>IF(D28="","",E28+(D28*F28))</f>
        <v/>
      </c>
      <c r="H28" s="16" t="n">
        <v>0</v>
      </c>
      <c r="I28" s="16">
        <f>IF(D28="","",G28+H28)</f>
        <v/>
      </c>
      <c r="J28" s="17">
        <f>IF(OR(D28="",D28=0),"",I28/D28)</f>
        <v/>
      </c>
      <c r="K28" s="16">
        <f>IF(D28="","",IF(RetainStored="Yes",I28*RetainageRate,G28*RetainageRate))</f>
        <v/>
      </c>
      <c r="L28" s="16">
        <f>IF(D28="","",D28-I28)</f>
        <v/>
      </c>
      <c r="M28" s="16">
        <f>IF(D28="","",(I28-E28)-(K28-E28*RetainageRate))</f>
        <v/>
      </c>
    </row>
    <row r="29">
      <c r="A29" s="15">
        <f>IF('SOV Setup'!A29="","",'SOV Setup'!A29)</f>
        <v/>
      </c>
      <c r="B29" s="15">
        <f>'SOV Setup'!B29</f>
        <v/>
      </c>
      <c r="C29" s="15">
        <f>'SOV Setup'!C29</f>
        <v/>
      </c>
      <c r="D29" s="16">
        <f>IF('SOV Setup'!E29="","",'SOV Setup'!E29)</f>
        <v/>
      </c>
      <c r="E29" s="16" t="n">
        <v>0</v>
      </c>
      <c r="F29" s="17" t="n">
        <v>0</v>
      </c>
      <c r="G29" s="16">
        <f>IF(D29="","",E29+(D29*F29))</f>
        <v/>
      </c>
      <c r="H29" s="16" t="n">
        <v>0</v>
      </c>
      <c r="I29" s="16">
        <f>IF(D29="","",G29+H29)</f>
        <v/>
      </c>
      <c r="J29" s="17">
        <f>IF(OR(D29="",D29=0),"",I29/D29)</f>
        <v/>
      </c>
      <c r="K29" s="16">
        <f>IF(D29="","",IF(RetainStored="Yes",I29*RetainageRate,G29*RetainageRate))</f>
        <v/>
      </c>
      <c r="L29" s="16">
        <f>IF(D29="","",D29-I29)</f>
        <v/>
      </c>
      <c r="M29" s="16">
        <f>IF(D29="","",(I29-E29)-(K29-E29*RetainageRate))</f>
        <v/>
      </c>
    </row>
    <row r="30">
      <c r="A30" s="15">
        <f>IF('SOV Setup'!A30="","",'SOV Setup'!A30)</f>
        <v/>
      </c>
      <c r="B30" s="15">
        <f>'SOV Setup'!B30</f>
        <v/>
      </c>
      <c r="C30" s="15">
        <f>'SOV Setup'!C30</f>
        <v/>
      </c>
      <c r="D30" s="16">
        <f>IF('SOV Setup'!E30="","",'SOV Setup'!E30)</f>
        <v/>
      </c>
      <c r="E30" s="16" t="n">
        <v>0</v>
      </c>
      <c r="F30" s="17" t="n">
        <v>0</v>
      </c>
      <c r="G30" s="16">
        <f>IF(D30="","",E30+(D30*F30))</f>
        <v/>
      </c>
      <c r="H30" s="16" t="n">
        <v>0</v>
      </c>
      <c r="I30" s="16">
        <f>IF(D30="","",G30+H30)</f>
        <v/>
      </c>
      <c r="J30" s="17">
        <f>IF(OR(D30="",D30=0),"",I30/D30)</f>
        <v/>
      </c>
      <c r="K30" s="16">
        <f>IF(D30="","",IF(RetainStored="Yes",I30*RetainageRate,G30*RetainageRate))</f>
        <v/>
      </c>
      <c r="L30" s="16">
        <f>IF(D30="","",D30-I30)</f>
        <v/>
      </c>
      <c r="M30" s="16">
        <f>IF(D30="","",(I30-E30)-(K30-E30*RetainageRate))</f>
        <v/>
      </c>
    </row>
    <row r="31">
      <c r="A31" s="15">
        <f>IF('SOV Setup'!A31="","",'SOV Setup'!A31)</f>
        <v/>
      </c>
      <c r="B31" s="15">
        <f>'SOV Setup'!B31</f>
        <v/>
      </c>
      <c r="C31" s="15">
        <f>'SOV Setup'!C31</f>
        <v/>
      </c>
      <c r="D31" s="16">
        <f>IF('SOV Setup'!E31="","",'SOV Setup'!E31)</f>
        <v/>
      </c>
      <c r="E31" s="16" t="n">
        <v>0</v>
      </c>
      <c r="F31" s="17" t="n">
        <v>0</v>
      </c>
      <c r="G31" s="16">
        <f>IF(D31="","",E31+(D31*F31))</f>
        <v/>
      </c>
      <c r="H31" s="16" t="n">
        <v>0</v>
      </c>
      <c r="I31" s="16">
        <f>IF(D31="","",G31+H31)</f>
        <v/>
      </c>
      <c r="J31" s="17">
        <f>IF(OR(D31="",D31=0),"",I31/D31)</f>
        <v/>
      </c>
      <c r="K31" s="16">
        <f>IF(D31="","",IF(RetainStored="Yes",I31*RetainageRate,G31*RetainageRate))</f>
        <v/>
      </c>
      <c r="L31" s="16">
        <f>IF(D31="","",D31-I31)</f>
        <v/>
      </c>
      <c r="M31" s="16">
        <f>IF(D31="","",(I31-E31)-(K31-E31*RetainageRate))</f>
        <v/>
      </c>
    </row>
    <row r="32">
      <c r="A32" s="15">
        <f>IF('SOV Setup'!A32="","",'SOV Setup'!A32)</f>
        <v/>
      </c>
      <c r="B32" s="15">
        <f>'SOV Setup'!B32</f>
        <v/>
      </c>
      <c r="C32" s="15">
        <f>'SOV Setup'!C32</f>
        <v/>
      </c>
      <c r="D32" s="16">
        <f>IF('SOV Setup'!E32="","",'SOV Setup'!E32)</f>
        <v/>
      </c>
      <c r="E32" s="16" t="n">
        <v>0</v>
      </c>
      <c r="F32" s="17" t="n">
        <v>0</v>
      </c>
      <c r="G32" s="16">
        <f>IF(D32="","",E32+(D32*F32))</f>
        <v/>
      </c>
      <c r="H32" s="16" t="n">
        <v>0</v>
      </c>
      <c r="I32" s="16">
        <f>IF(D32="","",G32+H32)</f>
        <v/>
      </c>
      <c r="J32" s="17">
        <f>IF(OR(D32="",D32=0),"",I32/D32)</f>
        <v/>
      </c>
      <c r="K32" s="16">
        <f>IF(D32="","",IF(RetainStored="Yes",I32*RetainageRate,G32*RetainageRate))</f>
        <v/>
      </c>
      <c r="L32" s="16">
        <f>IF(D32="","",D32-I32)</f>
        <v/>
      </c>
      <c r="M32" s="16">
        <f>IF(D32="","",(I32-E32)-(K32-E32*RetainageRate))</f>
        <v/>
      </c>
    </row>
    <row r="33">
      <c r="A33" s="15">
        <f>IF('SOV Setup'!A33="","",'SOV Setup'!A33)</f>
        <v/>
      </c>
      <c r="B33" s="15">
        <f>'SOV Setup'!B33</f>
        <v/>
      </c>
      <c r="C33" s="15">
        <f>'SOV Setup'!C33</f>
        <v/>
      </c>
      <c r="D33" s="16">
        <f>IF('SOV Setup'!E33="","",'SOV Setup'!E33)</f>
        <v/>
      </c>
      <c r="E33" s="16" t="n">
        <v>0</v>
      </c>
      <c r="F33" s="17" t="n">
        <v>0</v>
      </c>
      <c r="G33" s="16">
        <f>IF(D33="","",E33+(D33*F33))</f>
        <v/>
      </c>
      <c r="H33" s="16" t="n">
        <v>0</v>
      </c>
      <c r="I33" s="16">
        <f>IF(D33="","",G33+H33)</f>
        <v/>
      </c>
      <c r="J33" s="17">
        <f>IF(OR(D33="",D33=0),"",I33/D33)</f>
        <v/>
      </c>
      <c r="K33" s="16">
        <f>IF(D33="","",IF(RetainStored="Yes",I33*RetainageRate,G33*RetainageRate))</f>
        <v/>
      </c>
      <c r="L33" s="16">
        <f>IF(D33="","",D33-I33)</f>
        <v/>
      </c>
      <c r="M33" s="16">
        <f>IF(D33="","",(I33-E33)-(K33-E33*RetainageRate))</f>
        <v/>
      </c>
    </row>
    <row r="34">
      <c r="A34" s="15">
        <f>IF('SOV Setup'!A34="","",'SOV Setup'!A34)</f>
        <v/>
      </c>
      <c r="B34" s="15">
        <f>'SOV Setup'!B34</f>
        <v/>
      </c>
      <c r="C34" s="15">
        <f>'SOV Setup'!C34</f>
        <v/>
      </c>
      <c r="D34" s="16">
        <f>IF('SOV Setup'!E34="","",'SOV Setup'!E34)</f>
        <v/>
      </c>
      <c r="E34" s="16" t="n">
        <v>0</v>
      </c>
      <c r="F34" s="17" t="n">
        <v>0</v>
      </c>
      <c r="G34" s="16">
        <f>IF(D34="","",E34+(D34*F34))</f>
        <v/>
      </c>
      <c r="H34" s="16" t="n">
        <v>0</v>
      </c>
      <c r="I34" s="16">
        <f>IF(D34="","",G34+H34)</f>
        <v/>
      </c>
      <c r="J34" s="17">
        <f>IF(OR(D34="",D34=0),"",I34/D34)</f>
        <v/>
      </c>
      <c r="K34" s="16">
        <f>IF(D34="","",IF(RetainStored="Yes",I34*RetainageRate,G34*RetainageRate))</f>
        <v/>
      </c>
      <c r="L34" s="16">
        <f>IF(D34="","",D34-I34)</f>
        <v/>
      </c>
      <c r="M34" s="16">
        <f>IF(D34="","",(I34-E34)-(K34-E34*RetainageRate))</f>
        <v/>
      </c>
    </row>
    <row r="35">
      <c r="A35" s="15">
        <f>IF('SOV Setup'!A35="","",'SOV Setup'!A35)</f>
        <v/>
      </c>
      <c r="B35" s="15">
        <f>'SOV Setup'!B35</f>
        <v/>
      </c>
      <c r="C35" s="15">
        <f>'SOV Setup'!C35</f>
        <v/>
      </c>
      <c r="D35" s="16">
        <f>IF('SOV Setup'!E35="","",'SOV Setup'!E35)</f>
        <v/>
      </c>
      <c r="E35" s="16" t="n">
        <v>0</v>
      </c>
      <c r="F35" s="17" t="n">
        <v>0</v>
      </c>
      <c r="G35" s="16">
        <f>IF(D35="","",E35+(D35*F35))</f>
        <v/>
      </c>
      <c r="H35" s="16" t="n">
        <v>0</v>
      </c>
      <c r="I35" s="16">
        <f>IF(D35="","",G35+H35)</f>
        <v/>
      </c>
      <c r="J35" s="17">
        <f>IF(OR(D35="",D35=0),"",I35/D35)</f>
        <v/>
      </c>
      <c r="K35" s="16">
        <f>IF(D35="","",IF(RetainStored="Yes",I35*RetainageRate,G35*RetainageRate))</f>
        <v/>
      </c>
      <c r="L35" s="16">
        <f>IF(D35="","",D35-I35)</f>
        <v/>
      </c>
      <c r="M35" s="16">
        <f>IF(D35="","",(I35-E35)-(K35-E35*RetainageRate))</f>
        <v/>
      </c>
    </row>
    <row r="36">
      <c r="A36" s="15">
        <f>IF('SOV Setup'!A36="","",'SOV Setup'!A36)</f>
        <v/>
      </c>
      <c r="B36" s="15">
        <f>'SOV Setup'!B36</f>
        <v/>
      </c>
      <c r="C36" s="15">
        <f>'SOV Setup'!C36</f>
        <v/>
      </c>
      <c r="D36" s="16">
        <f>IF('SOV Setup'!E36="","",'SOV Setup'!E36)</f>
        <v/>
      </c>
      <c r="E36" s="16" t="n">
        <v>0</v>
      </c>
      <c r="F36" s="17" t="n">
        <v>0</v>
      </c>
      <c r="G36" s="16">
        <f>IF(D36="","",E36+(D36*F36))</f>
        <v/>
      </c>
      <c r="H36" s="16" t="n">
        <v>0</v>
      </c>
      <c r="I36" s="16">
        <f>IF(D36="","",G36+H36)</f>
        <v/>
      </c>
      <c r="J36" s="17">
        <f>IF(OR(D36="",D36=0),"",I36/D36)</f>
        <v/>
      </c>
      <c r="K36" s="16">
        <f>IF(D36="","",IF(RetainStored="Yes",I36*RetainageRate,G36*RetainageRate))</f>
        <v/>
      </c>
      <c r="L36" s="16">
        <f>IF(D36="","",D36-I36)</f>
        <v/>
      </c>
      <c r="M36" s="16">
        <f>IF(D36="","",(I36-E36)-(K36-E36*RetainageRate))</f>
        <v/>
      </c>
    </row>
    <row r="37">
      <c r="A37" s="15">
        <f>IF('SOV Setup'!A37="","",'SOV Setup'!A37)</f>
        <v/>
      </c>
      <c r="B37" s="15">
        <f>'SOV Setup'!B37</f>
        <v/>
      </c>
      <c r="C37" s="15">
        <f>'SOV Setup'!C37</f>
        <v/>
      </c>
      <c r="D37" s="16">
        <f>IF('SOV Setup'!E37="","",'SOV Setup'!E37)</f>
        <v/>
      </c>
      <c r="E37" s="16" t="n">
        <v>0</v>
      </c>
      <c r="F37" s="17" t="n">
        <v>0</v>
      </c>
      <c r="G37" s="16">
        <f>IF(D37="","",E37+(D37*F37))</f>
        <v/>
      </c>
      <c r="H37" s="16" t="n">
        <v>0</v>
      </c>
      <c r="I37" s="16">
        <f>IF(D37="","",G37+H37)</f>
        <v/>
      </c>
      <c r="J37" s="17">
        <f>IF(OR(D37="",D37=0),"",I37/D37)</f>
        <v/>
      </c>
      <c r="K37" s="16">
        <f>IF(D37="","",IF(RetainStored="Yes",I37*RetainageRate,G37*RetainageRate))</f>
        <v/>
      </c>
      <c r="L37" s="16">
        <f>IF(D37="","",D37-I37)</f>
        <v/>
      </c>
      <c r="M37" s="16">
        <f>IF(D37="","",(I37-E37)-(K37-E37*RetainageRate))</f>
        <v/>
      </c>
    </row>
    <row r="38">
      <c r="A38" s="15">
        <f>IF('SOV Setup'!A38="","",'SOV Setup'!A38)</f>
        <v/>
      </c>
      <c r="B38" s="15">
        <f>'SOV Setup'!B38</f>
        <v/>
      </c>
      <c r="C38" s="15">
        <f>'SOV Setup'!C38</f>
        <v/>
      </c>
      <c r="D38" s="16">
        <f>IF('SOV Setup'!E38="","",'SOV Setup'!E38)</f>
        <v/>
      </c>
      <c r="E38" s="16" t="n">
        <v>0</v>
      </c>
      <c r="F38" s="17" t="n">
        <v>0</v>
      </c>
      <c r="G38" s="16">
        <f>IF(D38="","",E38+(D38*F38))</f>
        <v/>
      </c>
      <c r="H38" s="16" t="n">
        <v>0</v>
      </c>
      <c r="I38" s="16">
        <f>IF(D38="","",G38+H38)</f>
        <v/>
      </c>
      <c r="J38" s="17">
        <f>IF(OR(D38="",D38=0),"",I38/D38)</f>
        <v/>
      </c>
      <c r="K38" s="16">
        <f>IF(D38="","",IF(RetainStored="Yes",I38*RetainageRate,G38*RetainageRate))</f>
        <v/>
      </c>
      <c r="L38" s="16">
        <f>IF(D38="","",D38-I38)</f>
        <v/>
      </c>
      <c r="M38" s="16">
        <f>IF(D38="","",(I38-E38)-(K38-E38*RetainageRate))</f>
        <v/>
      </c>
    </row>
    <row r="39">
      <c r="A39" s="15">
        <f>IF('SOV Setup'!A39="","",'SOV Setup'!A39)</f>
        <v/>
      </c>
      <c r="B39" s="15">
        <f>'SOV Setup'!B39</f>
        <v/>
      </c>
      <c r="C39" s="15">
        <f>'SOV Setup'!C39</f>
        <v/>
      </c>
      <c r="D39" s="16">
        <f>IF('SOV Setup'!E39="","",'SOV Setup'!E39)</f>
        <v/>
      </c>
      <c r="E39" s="16" t="n">
        <v>0</v>
      </c>
      <c r="F39" s="17" t="n">
        <v>0</v>
      </c>
      <c r="G39" s="16">
        <f>IF(D39="","",E39+(D39*F39))</f>
        <v/>
      </c>
      <c r="H39" s="16" t="n">
        <v>0</v>
      </c>
      <c r="I39" s="16">
        <f>IF(D39="","",G39+H39)</f>
        <v/>
      </c>
      <c r="J39" s="17">
        <f>IF(OR(D39="",D39=0),"",I39/D39)</f>
        <v/>
      </c>
      <c r="K39" s="16">
        <f>IF(D39="","",IF(RetainStored="Yes",I39*RetainageRate,G39*RetainageRate))</f>
        <v/>
      </c>
      <c r="L39" s="16">
        <f>IF(D39="","",D39-I39)</f>
        <v/>
      </c>
      <c r="M39" s="16">
        <f>IF(D39="","",(I39-E39)-(K39-E39*RetainageRate))</f>
        <v/>
      </c>
    </row>
    <row r="40">
      <c r="A40" s="15">
        <f>IF('SOV Setup'!A40="","",'SOV Setup'!A40)</f>
        <v/>
      </c>
      <c r="B40" s="15">
        <f>'SOV Setup'!B40</f>
        <v/>
      </c>
      <c r="C40" s="15">
        <f>'SOV Setup'!C40</f>
        <v/>
      </c>
      <c r="D40" s="16">
        <f>IF('SOV Setup'!E40="","",'SOV Setup'!E40)</f>
        <v/>
      </c>
      <c r="E40" s="16" t="n">
        <v>0</v>
      </c>
      <c r="F40" s="17" t="n">
        <v>0</v>
      </c>
      <c r="G40" s="16">
        <f>IF(D40="","",E40+(D40*F40))</f>
        <v/>
      </c>
      <c r="H40" s="16" t="n">
        <v>0</v>
      </c>
      <c r="I40" s="16">
        <f>IF(D40="","",G40+H40)</f>
        <v/>
      </c>
      <c r="J40" s="17">
        <f>IF(OR(D40="",D40=0),"",I40/D40)</f>
        <v/>
      </c>
      <c r="K40" s="16">
        <f>IF(D40="","",IF(RetainStored="Yes",I40*RetainageRate,G40*RetainageRate))</f>
        <v/>
      </c>
      <c r="L40" s="16">
        <f>IF(D40="","",D40-I40)</f>
        <v/>
      </c>
      <c r="M40" s="16">
        <f>IF(D40="","",(I40-E40)-(K40-E40*RetainageRate))</f>
        <v/>
      </c>
    </row>
    <row r="41">
      <c r="A41" s="15">
        <f>IF('SOV Setup'!A41="","",'SOV Setup'!A41)</f>
        <v/>
      </c>
      <c r="B41" s="15">
        <f>'SOV Setup'!B41</f>
        <v/>
      </c>
      <c r="C41" s="15">
        <f>'SOV Setup'!C41</f>
        <v/>
      </c>
      <c r="D41" s="16">
        <f>IF('SOV Setup'!E41="","",'SOV Setup'!E41)</f>
        <v/>
      </c>
      <c r="E41" s="16" t="n">
        <v>0</v>
      </c>
      <c r="F41" s="17" t="n">
        <v>0</v>
      </c>
      <c r="G41" s="16">
        <f>IF(D41="","",E41+(D41*F41))</f>
        <v/>
      </c>
      <c r="H41" s="16" t="n">
        <v>0</v>
      </c>
      <c r="I41" s="16">
        <f>IF(D41="","",G41+H41)</f>
        <v/>
      </c>
      <c r="J41" s="17">
        <f>IF(OR(D41="",D41=0),"",I41/D41)</f>
        <v/>
      </c>
      <c r="K41" s="16">
        <f>IF(D41="","",IF(RetainStored="Yes",I41*RetainageRate,G41*RetainageRate))</f>
        <v/>
      </c>
      <c r="L41" s="16">
        <f>IF(D41="","",D41-I41)</f>
        <v/>
      </c>
      <c r="M41" s="16">
        <f>IF(D41="","",(I41-E41)-(K41-E41*RetainageRate))</f>
        <v/>
      </c>
    </row>
    <row r="42">
      <c r="A42" s="15">
        <f>IF('SOV Setup'!A42="","",'SOV Setup'!A42)</f>
        <v/>
      </c>
      <c r="B42" s="15">
        <f>'SOV Setup'!B42</f>
        <v/>
      </c>
      <c r="C42" s="15">
        <f>'SOV Setup'!C42</f>
        <v/>
      </c>
      <c r="D42" s="16">
        <f>IF('SOV Setup'!E42="","",'SOV Setup'!E42)</f>
        <v/>
      </c>
      <c r="E42" s="16" t="n">
        <v>0</v>
      </c>
      <c r="F42" s="17" t="n">
        <v>0</v>
      </c>
      <c r="G42" s="16">
        <f>IF(D42="","",E42+(D42*F42))</f>
        <v/>
      </c>
      <c r="H42" s="16" t="n">
        <v>0</v>
      </c>
      <c r="I42" s="16">
        <f>IF(D42="","",G42+H42)</f>
        <v/>
      </c>
      <c r="J42" s="17">
        <f>IF(OR(D42="",D42=0),"",I42/D42)</f>
        <v/>
      </c>
      <c r="K42" s="16">
        <f>IF(D42="","",IF(RetainStored="Yes",I42*RetainageRate,G42*RetainageRate))</f>
        <v/>
      </c>
      <c r="L42" s="16">
        <f>IF(D42="","",D42-I42)</f>
        <v/>
      </c>
      <c r="M42" s="16">
        <f>IF(D42="","",(I42-E42)-(K42-E42*RetainageRate))</f>
        <v/>
      </c>
    </row>
    <row r="43">
      <c r="A43" s="15">
        <f>IF('SOV Setup'!A43="","",'SOV Setup'!A43)</f>
        <v/>
      </c>
      <c r="B43" s="15">
        <f>'SOV Setup'!B43</f>
        <v/>
      </c>
      <c r="C43" s="15">
        <f>'SOV Setup'!C43</f>
        <v/>
      </c>
      <c r="D43" s="16">
        <f>IF('SOV Setup'!E43="","",'SOV Setup'!E43)</f>
        <v/>
      </c>
      <c r="E43" s="16" t="n">
        <v>0</v>
      </c>
      <c r="F43" s="17" t="n">
        <v>0</v>
      </c>
      <c r="G43" s="16">
        <f>IF(D43="","",E43+(D43*F43))</f>
        <v/>
      </c>
      <c r="H43" s="16" t="n">
        <v>0</v>
      </c>
      <c r="I43" s="16">
        <f>IF(D43="","",G43+H43)</f>
        <v/>
      </c>
      <c r="J43" s="17">
        <f>IF(OR(D43="",D43=0),"",I43/D43)</f>
        <v/>
      </c>
      <c r="K43" s="16">
        <f>IF(D43="","",IF(RetainStored="Yes",I43*RetainageRate,G43*RetainageRate))</f>
        <v/>
      </c>
      <c r="L43" s="16">
        <f>IF(D43="","",D43-I43)</f>
        <v/>
      </c>
      <c r="M43" s="16">
        <f>IF(D43="","",(I43-E43)-(K43-E43*RetainageRate))</f>
        <v/>
      </c>
    </row>
    <row r="44">
      <c r="A44" s="15">
        <f>IF('SOV Setup'!A44="","",'SOV Setup'!A44)</f>
        <v/>
      </c>
      <c r="B44" s="15">
        <f>'SOV Setup'!B44</f>
        <v/>
      </c>
      <c r="C44" s="15">
        <f>'SOV Setup'!C44</f>
        <v/>
      </c>
      <c r="D44" s="16">
        <f>IF('SOV Setup'!E44="","",'SOV Setup'!E44)</f>
        <v/>
      </c>
      <c r="E44" s="16" t="n">
        <v>0</v>
      </c>
      <c r="F44" s="17" t="n">
        <v>0</v>
      </c>
      <c r="G44" s="16">
        <f>IF(D44="","",E44+(D44*F44))</f>
        <v/>
      </c>
      <c r="H44" s="16" t="n">
        <v>0</v>
      </c>
      <c r="I44" s="16">
        <f>IF(D44="","",G44+H44)</f>
        <v/>
      </c>
      <c r="J44" s="17">
        <f>IF(OR(D44="",D44=0),"",I44/D44)</f>
        <v/>
      </c>
      <c r="K44" s="16">
        <f>IF(D44="","",IF(RetainStored="Yes",I44*RetainageRate,G44*RetainageRate))</f>
        <v/>
      </c>
      <c r="L44" s="16">
        <f>IF(D44="","",D44-I44)</f>
        <v/>
      </c>
      <c r="M44" s="16">
        <f>IF(D44="","",(I44-E44)-(K44-E44*RetainageRate))</f>
        <v/>
      </c>
    </row>
    <row r="45">
      <c r="A45" s="15">
        <f>IF('SOV Setup'!A45="","",'SOV Setup'!A45)</f>
        <v/>
      </c>
      <c r="B45" s="15">
        <f>'SOV Setup'!B45</f>
        <v/>
      </c>
      <c r="C45" s="15">
        <f>'SOV Setup'!C45</f>
        <v/>
      </c>
      <c r="D45" s="16">
        <f>IF('SOV Setup'!E45="","",'SOV Setup'!E45)</f>
        <v/>
      </c>
      <c r="E45" s="16" t="n">
        <v>0</v>
      </c>
      <c r="F45" s="17" t="n">
        <v>0</v>
      </c>
      <c r="G45" s="16">
        <f>IF(D45="","",E45+(D45*F45))</f>
        <v/>
      </c>
      <c r="H45" s="16" t="n">
        <v>0</v>
      </c>
      <c r="I45" s="16">
        <f>IF(D45="","",G45+H45)</f>
        <v/>
      </c>
      <c r="J45" s="17">
        <f>IF(OR(D45="",D45=0),"",I45/D45)</f>
        <v/>
      </c>
      <c r="K45" s="16">
        <f>IF(D45="","",IF(RetainStored="Yes",I45*RetainageRate,G45*RetainageRate))</f>
        <v/>
      </c>
      <c r="L45" s="16">
        <f>IF(D45="","",D45-I45)</f>
        <v/>
      </c>
      <c r="M45" s="16">
        <f>IF(D45="","",(I45-E45)-(K45-E45*RetainageRate))</f>
        <v/>
      </c>
    </row>
    <row r="46">
      <c r="A46" s="15">
        <f>IF('SOV Setup'!A46="","",'SOV Setup'!A46)</f>
        <v/>
      </c>
      <c r="B46" s="15">
        <f>'SOV Setup'!B46</f>
        <v/>
      </c>
      <c r="C46" s="15">
        <f>'SOV Setup'!C46</f>
        <v/>
      </c>
      <c r="D46" s="16">
        <f>IF('SOV Setup'!E46="","",'SOV Setup'!E46)</f>
        <v/>
      </c>
      <c r="E46" s="16" t="n">
        <v>0</v>
      </c>
      <c r="F46" s="17" t="n">
        <v>0</v>
      </c>
      <c r="G46" s="16">
        <f>IF(D46="","",E46+(D46*F46))</f>
        <v/>
      </c>
      <c r="H46" s="16" t="n">
        <v>0</v>
      </c>
      <c r="I46" s="16">
        <f>IF(D46="","",G46+H46)</f>
        <v/>
      </c>
      <c r="J46" s="17">
        <f>IF(OR(D46="",D46=0),"",I46/D46)</f>
        <v/>
      </c>
      <c r="K46" s="16">
        <f>IF(D46="","",IF(RetainStored="Yes",I46*RetainageRate,G46*RetainageRate))</f>
        <v/>
      </c>
      <c r="L46" s="16">
        <f>IF(D46="","",D46-I46)</f>
        <v/>
      </c>
      <c r="M46" s="16">
        <f>IF(D46="","",(I46-E46)-(K46-E46*RetainageRate))</f>
        <v/>
      </c>
    </row>
    <row r="47">
      <c r="A47" s="15">
        <f>IF('SOV Setup'!A47="","",'SOV Setup'!A47)</f>
        <v/>
      </c>
      <c r="B47" s="15">
        <f>'SOV Setup'!B47</f>
        <v/>
      </c>
      <c r="C47" s="15">
        <f>'SOV Setup'!C47</f>
        <v/>
      </c>
      <c r="D47" s="16">
        <f>IF('SOV Setup'!E47="","",'SOV Setup'!E47)</f>
        <v/>
      </c>
      <c r="E47" s="16" t="n">
        <v>0</v>
      </c>
      <c r="F47" s="17" t="n">
        <v>0</v>
      </c>
      <c r="G47" s="16">
        <f>IF(D47="","",E47+(D47*F47))</f>
        <v/>
      </c>
      <c r="H47" s="16" t="n">
        <v>0</v>
      </c>
      <c r="I47" s="16">
        <f>IF(D47="","",G47+H47)</f>
        <v/>
      </c>
      <c r="J47" s="17">
        <f>IF(OR(D47="",D47=0),"",I47/D47)</f>
        <v/>
      </c>
      <c r="K47" s="16">
        <f>IF(D47="","",IF(RetainStored="Yes",I47*RetainageRate,G47*RetainageRate))</f>
        <v/>
      </c>
      <c r="L47" s="16">
        <f>IF(D47="","",D47-I47)</f>
        <v/>
      </c>
      <c r="M47" s="16">
        <f>IF(D47="","",(I47-E47)-(K47-E47*RetainageRate))</f>
        <v/>
      </c>
    </row>
    <row r="48">
      <c r="A48" s="15">
        <f>IF('SOV Setup'!A48="","",'SOV Setup'!A48)</f>
        <v/>
      </c>
      <c r="B48" s="15">
        <f>'SOV Setup'!B48</f>
        <v/>
      </c>
      <c r="C48" s="15">
        <f>'SOV Setup'!C48</f>
        <v/>
      </c>
      <c r="D48" s="16">
        <f>IF('SOV Setup'!E48="","",'SOV Setup'!E48)</f>
        <v/>
      </c>
      <c r="E48" s="16" t="n">
        <v>0</v>
      </c>
      <c r="F48" s="17" t="n">
        <v>0</v>
      </c>
      <c r="G48" s="16">
        <f>IF(D48="","",E48+(D48*F48))</f>
        <v/>
      </c>
      <c r="H48" s="16" t="n">
        <v>0</v>
      </c>
      <c r="I48" s="16">
        <f>IF(D48="","",G48+H48)</f>
        <v/>
      </c>
      <c r="J48" s="17">
        <f>IF(OR(D48="",D48=0),"",I48/D48)</f>
        <v/>
      </c>
      <c r="K48" s="16">
        <f>IF(D48="","",IF(RetainStored="Yes",I48*RetainageRate,G48*RetainageRate))</f>
        <v/>
      </c>
      <c r="L48" s="16">
        <f>IF(D48="","",D48-I48)</f>
        <v/>
      </c>
      <c r="M48" s="16">
        <f>IF(D48="","",(I48-E48)-(K48-E48*RetainageRate))</f>
        <v/>
      </c>
    </row>
    <row r="49">
      <c r="A49" s="15">
        <f>IF('SOV Setup'!A49="","",'SOV Setup'!A49)</f>
        <v/>
      </c>
      <c r="B49" s="15">
        <f>'SOV Setup'!B49</f>
        <v/>
      </c>
      <c r="C49" s="15">
        <f>'SOV Setup'!C49</f>
        <v/>
      </c>
      <c r="D49" s="16">
        <f>IF('SOV Setup'!E49="","",'SOV Setup'!E49)</f>
        <v/>
      </c>
      <c r="E49" s="16" t="n">
        <v>0</v>
      </c>
      <c r="F49" s="17" t="n">
        <v>0</v>
      </c>
      <c r="G49" s="16">
        <f>IF(D49="","",E49+(D49*F49))</f>
        <v/>
      </c>
      <c r="H49" s="16" t="n">
        <v>0</v>
      </c>
      <c r="I49" s="16">
        <f>IF(D49="","",G49+H49)</f>
        <v/>
      </c>
      <c r="J49" s="17">
        <f>IF(OR(D49="",D49=0),"",I49/D49)</f>
        <v/>
      </c>
      <c r="K49" s="16">
        <f>IF(D49="","",IF(RetainStored="Yes",I49*RetainageRate,G49*RetainageRate))</f>
        <v/>
      </c>
      <c r="L49" s="16">
        <f>IF(D49="","",D49-I49)</f>
        <v/>
      </c>
      <c r="M49" s="16">
        <f>IF(D49="","",(I49-E49)-(K49-E49*RetainageRate))</f>
        <v/>
      </c>
    </row>
    <row r="50">
      <c r="A50" s="15">
        <f>IF('SOV Setup'!A50="","",'SOV Setup'!A50)</f>
        <v/>
      </c>
      <c r="B50" s="15">
        <f>'SOV Setup'!B50</f>
        <v/>
      </c>
      <c r="C50" s="15">
        <f>'SOV Setup'!C50</f>
        <v/>
      </c>
      <c r="D50" s="16">
        <f>IF('SOV Setup'!E50="","",'SOV Setup'!E50)</f>
        <v/>
      </c>
      <c r="E50" s="16" t="n">
        <v>0</v>
      </c>
      <c r="F50" s="17" t="n">
        <v>0</v>
      </c>
      <c r="G50" s="16">
        <f>IF(D50="","",E50+(D50*F50))</f>
        <v/>
      </c>
      <c r="H50" s="16" t="n">
        <v>0</v>
      </c>
      <c r="I50" s="16">
        <f>IF(D50="","",G50+H50)</f>
        <v/>
      </c>
      <c r="J50" s="17">
        <f>IF(OR(D50="",D50=0),"",I50/D50)</f>
        <v/>
      </c>
      <c r="K50" s="16">
        <f>IF(D50="","",IF(RetainStored="Yes",I50*RetainageRate,G50*RetainageRate))</f>
        <v/>
      </c>
      <c r="L50" s="16">
        <f>IF(D50="","",D50-I50)</f>
        <v/>
      </c>
      <c r="M50" s="16">
        <f>IF(D50="","",(I50-E50)-(K50-E50*RetainageRate))</f>
        <v/>
      </c>
    </row>
    <row r="51">
      <c r="A51" s="15">
        <f>IF('SOV Setup'!A51="","",'SOV Setup'!A51)</f>
        <v/>
      </c>
      <c r="B51" s="15">
        <f>'SOV Setup'!B51</f>
        <v/>
      </c>
      <c r="C51" s="15">
        <f>'SOV Setup'!C51</f>
        <v/>
      </c>
      <c r="D51" s="16">
        <f>IF('SOV Setup'!E51="","",'SOV Setup'!E51)</f>
        <v/>
      </c>
      <c r="E51" s="16" t="n">
        <v>0</v>
      </c>
      <c r="F51" s="17" t="n">
        <v>0</v>
      </c>
      <c r="G51" s="16">
        <f>IF(D51="","",E51+(D51*F51))</f>
        <v/>
      </c>
      <c r="H51" s="16" t="n">
        <v>0</v>
      </c>
      <c r="I51" s="16">
        <f>IF(D51="","",G51+H51)</f>
        <v/>
      </c>
      <c r="J51" s="17">
        <f>IF(OR(D51="",D51=0),"",I51/D51)</f>
        <v/>
      </c>
      <c r="K51" s="16">
        <f>IF(D51="","",IF(RetainStored="Yes",I51*RetainageRate,G51*RetainageRate))</f>
        <v/>
      </c>
      <c r="L51" s="16">
        <f>IF(D51="","",D51-I51)</f>
        <v/>
      </c>
      <c r="M51" s="16">
        <f>IF(D51="","",(I51-E51)-(K51-E51*RetainageRate))</f>
        <v/>
      </c>
    </row>
    <row r="52">
      <c r="A52" s="15">
        <f>IF('SOV Setup'!A52="","",'SOV Setup'!A52)</f>
        <v/>
      </c>
      <c r="B52" s="15">
        <f>'SOV Setup'!B52</f>
        <v/>
      </c>
      <c r="C52" s="15">
        <f>'SOV Setup'!C52</f>
        <v/>
      </c>
      <c r="D52" s="16">
        <f>IF('SOV Setup'!E52="","",'SOV Setup'!E52)</f>
        <v/>
      </c>
      <c r="E52" s="16" t="n">
        <v>0</v>
      </c>
      <c r="F52" s="17" t="n">
        <v>0</v>
      </c>
      <c r="G52" s="16">
        <f>IF(D52="","",E52+(D52*F52))</f>
        <v/>
      </c>
      <c r="H52" s="16" t="n">
        <v>0</v>
      </c>
      <c r="I52" s="16">
        <f>IF(D52="","",G52+H52)</f>
        <v/>
      </c>
      <c r="J52" s="17">
        <f>IF(OR(D52="",D52=0),"",I52/D52)</f>
        <v/>
      </c>
      <c r="K52" s="16">
        <f>IF(D52="","",IF(RetainStored="Yes",I52*RetainageRate,G52*RetainageRate))</f>
        <v/>
      </c>
      <c r="L52" s="16">
        <f>IF(D52="","",D52-I52)</f>
        <v/>
      </c>
      <c r="M52" s="16">
        <f>IF(D52="","",(I52-E52)-(K52-E52*RetainageRate))</f>
        <v/>
      </c>
    </row>
    <row r="53">
      <c r="A53" s="15">
        <f>IF('SOV Setup'!A53="","",'SOV Setup'!A53)</f>
        <v/>
      </c>
      <c r="B53" s="15">
        <f>'SOV Setup'!B53</f>
        <v/>
      </c>
      <c r="C53" s="15">
        <f>'SOV Setup'!C53</f>
        <v/>
      </c>
      <c r="D53" s="16">
        <f>IF('SOV Setup'!E53="","",'SOV Setup'!E53)</f>
        <v/>
      </c>
      <c r="E53" s="16" t="n">
        <v>0</v>
      </c>
      <c r="F53" s="17" t="n">
        <v>0</v>
      </c>
      <c r="G53" s="16">
        <f>IF(D53="","",E53+(D53*F53))</f>
        <v/>
      </c>
      <c r="H53" s="16" t="n">
        <v>0</v>
      </c>
      <c r="I53" s="16">
        <f>IF(D53="","",G53+H53)</f>
        <v/>
      </c>
      <c r="J53" s="17">
        <f>IF(OR(D53="",D53=0),"",I53/D53)</f>
        <v/>
      </c>
      <c r="K53" s="16">
        <f>IF(D53="","",IF(RetainStored="Yes",I53*RetainageRate,G53*RetainageRate))</f>
        <v/>
      </c>
      <c r="L53" s="16">
        <f>IF(D53="","",D53-I53)</f>
        <v/>
      </c>
      <c r="M53" s="16">
        <f>IF(D53="","",(I53-E53)-(K53-E53*RetainageRate))</f>
        <v/>
      </c>
    </row>
    <row r="54">
      <c r="A54" s="15">
        <f>IF('SOV Setup'!A54="","",'SOV Setup'!A54)</f>
        <v/>
      </c>
      <c r="B54" s="15">
        <f>'SOV Setup'!B54</f>
        <v/>
      </c>
      <c r="C54" s="15">
        <f>'SOV Setup'!C54</f>
        <v/>
      </c>
      <c r="D54" s="16">
        <f>IF('SOV Setup'!E54="","",'SOV Setup'!E54)</f>
        <v/>
      </c>
      <c r="E54" s="16" t="n">
        <v>0</v>
      </c>
      <c r="F54" s="17" t="n">
        <v>0</v>
      </c>
      <c r="G54" s="16">
        <f>IF(D54="","",E54+(D54*F54))</f>
        <v/>
      </c>
      <c r="H54" s="16" t="n">
        <v>0</v>
      </c>
      <c r="I54" s="16">
        <f>IF(D54="","",G54+H54)</f>
        <v/>
      </c>
      <c r="J54" s="17">
        <f>IF(OR(D54="",D54=0),"",I54/D54)</f>
        <v/>
      </c>
      <c r="K54" s="16">
        <f>IF(D54="","",IF(RetainStored="Yes",I54*RetainageRate,G54*RetainageRate))</f>
        <v/>
      </c>
      <c r="L54" s="16">
        <f>IF(D54="","",D54-I54)</f>
        <v/>
      </c>
      <c r="M54" s="16">
        <f>IF(D54="","",(I54-E54)-(K54-E54*RetainageRate))</f>
        <v/>
      </c>
    </row>
    <row r="56">
      <c r="B56" s="10" t="inlineStr">
        <is>
          <t>GRAND TOTAL</t>
        </is>
      </c>
      <c r="D56" s="18">
        <f>SUM(D5:D54)</f>
        <v/>
      </c>
      <c r="E56" s="18">
        <f>SUM(E5:E54)</f>
        <v/>
      </c>
      <c r="G56" s="18">
        <f>SUM(G5:G54)</f>
        <v/>
      </c>
      <c r="H56" s="18">
        <f>SUM(H5:H54)</f>
        <v/>
      </c>
      <c r="I56" s="18">
        <f>SUM(I5:I54)</f>
        <v/>
      </c>
      <c r="K56" s="18">
        <f>SUM(K5:K54)</f>
        <v/>
      </c>
      <c r="L56" s="18">
        <f>SUM(L5:L54)</f>
        <v/>
      </c>
      <c r="M56" s="18">
        <f>SUM(M5:M54)</f>
        <v/>
      </c>
    </row>
    <row r="59">
      <c r="B59" s="9" t="inlineStr">
        <is>
          <t>PAY APP SUMMARY</t>
        </is>
      </c>
    </row>
    <row r="60">
      <c r="B60" s="10" t="inlineStr">
        <is>
          <t>Total Subcontract Sum (incl. approved COs)</t>
        </is>
      </c>
      <c r="D60" s="11">
        <f>SubContractSum</f>
        <v/>
      </c>
    </row>
    <row r="61">
      <c r="B61" s="10" t="inlineStr">
        <is>
          <t>Total Completed &amp; Stored to Date</t>
        </is>
      </c>
      <c r="D61" s="11">
        <f>I56</f>
        <v/>
      </c>
    </row>
    <row r="62">
      <c r="B62" s="10" t="inlineStr">
        <is>
          <t>Total Retainage Held</t>
        </is>
      </c>
      <c r="D62" s="11">
        <f>K56</f>
        <v/>
      </c>
    </row>
    <row r="63">
      <c r="B63" s="10" t="inlineStr">
        <is>
          <t>Total Earned Less Retainage</t>
        </is>
      </c>
      <c r="D63" s="11">
        <f>I56-K56</f>
        <v/>
      </c>
    </row>
    <row r="64">
      <c r="B64" s="10" t="inlineStr">
        <is>
          <t>Less Previous Certificates for Payment</t>
        </is>
      </c>
      <c r="D64" s="11">
        <f>E56-E56*RetainageRate</f>
        <v/>
      </c>
    </row>
    <row r="65">
      <c r="B65" s="10" t="inlineStr">
        <is>
          <t>CURRENT PAYMENT DUE</t>
        </is>
      </c>
      <c r="D65" s="12">
        <f>M56</f>
        <v/>
      </c>
    </row>
    <row r="66">
      <c r="B66" s="10" t="inlineStr">
        <is>
          <t>Balance to Finish (Including Retainage)</t>
        </is>
      </c>
      <c r="D66" s="11">
        <f>SubContractSum-I56+K56</f>
        <v/>
      </c>
    </row>
  </sheetData>
  <mergeCells count="2">
    <mergeCell ref="A2:F2"/>
    <mergeCell ref="A1:M1"/>
  </mergeCells>
  <conditionalFormatting sqref="J5:J54">
    <cfRule type="cellIs" priority="1" operator="greaterThanOrEqual" dxfId="0">
      <formula>1</formula>
    </cfRule>
  </conditionalFormatting>
  <conditionalFormatting sqref="L5:L54">
    <cfRule type="cellIs" priority="2" operator="lessThan" dxfId="1">
      <formula>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6"/>
  <sheetViews>
    <sheetView showGridLines="0" workbookViewId="0">
      <selection activeCell="A1" sqref="A1"/>
    </sheetView>
  </sheetViews>
  <sheetFormatPr baseColWidth="8" defaultRowHeight="15"/>
  <cols>
    <col width="8" customWidth="1" min="1" max="1"/>
    <col width="36" customWidth="1" min="2" max="2"/>
    <col width="16"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6" customWidth="1" min="16" max="16"/>
  </cols>
  <sheetData>
    <row r="1" ht="32" customHeight="1">
      <c r="A1" s="1" t="inlineStr">
        <is>
          <t>PAY APP HISTORY — 12-Month Roll-Up</t>
        </is>
      </c>
    </row>
    <row r="2">
      <c r="A2" s="13" t="inlineStr">
        <is>
          <t>After each pay app is paid by the GC, transfer the Total To Date values from Pay App — Current Period into the next column below.</t>
        </is>
      </c>
    </row>
    <row r="4" ht="30" customHeight="1">
      <c r="A4" s="14" t="inlineStr">
        <is>
          <t>Line #</t>
        </is>
      </c>
      <c r="B4" s="14" t="inlineStr">
        <is>
          <t>Description</t>
        </is>
      </c>
      <c r="C4" s="14" t="inlineStr">
        <is>
          <t>Scheduled Value</t>
        </is>
      </c>
      <c r="D4" s="14" t="inlineStr">
        <is>
          <t>Period 1</t>
        </is>
      </c>
      <c r="E4" s="14" t="inlineStr">
        <is>
          <t>Period 2</t>
        </is>
      </c>
      <c r="F4" s="14" t="inlineStr">
        <is>
          <t>Period 3</t>
        </is>
      </c>
      <c r="G4" s="14" t="inlineStr">
        <is>
          <t>Period 4</t>
        </is>
      </c>
      <c r="H4" s="14" t="inlineStr">
        <is>
          <t>Period 5</t>
        </is>
      </c>
      <c r="I4" s="14" t="inlineStr">
        <is>
          <t>Period 6</t>
        </is>
      </c>
      <c r="J4" s="14" t="inlineStr">
        <is>
          <t>Period 7</t>
        </is>
      </c>
      <c r="K4" s="14" t="inlineStr">
        <is>
          <t>Period 8</t>
        </is>
      </c>
      <c r="L4" s="14" t="inlineStr">
        <is>
          <t>Period 9</t>
        </is>
      </c>
      <c r="M4" s="14" t="inlineStr">
        <is>
          <t>Period 10</t>
        </is>
      </c>
      <c r="N4" s="14" t="inlineStr">
        <is>
          <t>Period 11</t>
        </is>
      </c>
      <c r="O4" s="14" t="inlineStr">
        <is>
          <t>Period 12</t>
        </is>
      </c>
      <c r="P4" s="14" t="inlineStr">
        <is>
          <t>Final To Date</t>
        </is>
      </c>
    </row>
    <row r="5">
      <c r="A5" s="15">
        <f>IF('SOV Setup'!A5="","",'SOV Setup'!A5)</f>
        <v/>
      </c>
      <c r="B5" s="15">
        <f>'SOV Setup'!B5</f>
        <v/>
      </c>
      <c r="C5" s="16">
        <f>IF('SOV Setup'!E5="","",'SOV Setup'!E5)</f>
        <v/>
      </c>
      <c r="D5" s="16" t="inlineStr"/>
      <c r="E5" s="16" t="inlineStr"/>
      <c r="F5" s="16" t="inlineStr"/>
      <c r="G5" s="16" t="inlineStr"/>
      <c r="H5" s="16" t="inlineStr"/>
      <c r="I5" s="16" t="inlineStr"/>
      <c r="J5" s="16" t="inlineStr"/>
      <c r="K5" s="16" t="inlineStr"/>
      <c r="L5" s="16" t="inlineStr"/>
      <c r="M5" s="16" t="inlineStr"/>
      <c r="N5" s="16" t="inlineStr"/>
      <c r="O5" s="16" t="inlineStr"/>
      <c r="P5" s="16">
        <f>IF(C5="","",MAX(D5:O5))</f>
        <v/>
      </c>
    </row>
    <row r="6">
      <c r="A6" s="15">
        <f>IF('SOV Setup'!A6="","",'SOV Setup'!A6)</f>
        <v/>
      </c>
      <c r="B6" s="15">
        <f>'SOV Setup'!B6</f>
        <v/>
      </c>
      <c r="C6" s="16">
        <f>IF('SOV Setup'!E6="","",'SOV Setup'!E6)</f>
        <v/>
      </c>
      <c r="D6" s="16" t="inlineStr"/>
      <c r="E6" s="16" t="inlineStr"/>
      <c r="F6" s="16" t="inlineStr"/>
      <c r="G6" s="16" t="inlineStr"/>
      <c r="H6" s="16" t="inlineStr"/>
      <c r="I6" s="16" t="inlineStr"/>
      <c r="J6" s="16" t="inlineStr"/>
      <c r="K6" s="16" t="inlineStr"/>
      <c r="L6" s="16" t="inlineStr"/>
      <c r="M6" s="16" t="inlineStr"/>
      <c r="N6" s="16" t="inlineStr"/>
      <c r="O6" s="16" t="inlineStr"/>
      <c r="P6" s="16">
        <f>IF(C6="","",MAX(D6:O6))</f>
        <v/>
      </c>
    </row>
    <row r="7">
      <c r="A7" s="15">
        <f>IF('SOV Setup'!A7="","",'SOV Setup'!A7)</f>
        <v/>
      </c>
      <c r="B7" s="15">
        <f>'SOV Setup'!B7</f>
        <v/>
      </c>
      <c r="C7" s="16">
        <f>IF('SOV Setup'!E7="","",'SOV Setup'!E7)</f>
        <v/>
      </c>
      <c r="D7" s="16" t="inlineStr"/>
      <c r="E7" s="16" t="inlineStr"/>
      <c r="F7" s="16" t="inlineStr"/>
      <c r="G7" s="16" t="inlineStr"/>
      <c r="H7" s="16" t="inlineStr"/>
      <c r="I7" s="16" t="inlineStr"/>
      <c r="J7" s="16" t="inlineStr"/>
      <c r="K7" s="16" t="inlineStr"/>
      <c r="L7" s="16" t="inlineStr"/>
      <c r="M7" s="16" t="inlineStr"/>
      <c r="N7" s="16" t="inlineStr"/>
      <c r="O7" s="16" t="inlineStr"/>
      <c r="P7" s="16">
        <f>IF(C7="","",MAX(D7:O7))</f>
        <v/>
      </c>
    </row>
    <row r="8">
      <c r="A8" s="15">
        <f>IF('SOV Setup'!A8="","",'SOV Setup'!A8)</f>
        <v/>
      </c>
      <c r="B8" s="15">
        <f>'SOV Setup'!B8</f>
        <v/>
      </c>
      <c r="C8" s="16">
        <f>IF('SOV Setup'!E8="","",'SOV Setup'!E8)</f>
        <v/>
      </c>
      <c r="D8" s="16" t="inlineStr"/>
      <c r="E8" s="16" t="inlineStr"/>
      <c r="F8" s="16" t="inlineStr"/>
      <c r="G8" s="16" t="inlineStr"/>
      <c r="H8" s="16" t="inlineStr"/>
      <c r="I8" s="16" t="inlineStr"/>
      <c r="J8" s="16" t="inlineStr"/>
      <c r="K8" s="16" t="inlineStr"/>
      <c r="L8" s="16" t="inlineStr"/>
      <c r="M8" s="16" t="inlineStr"/>
      <c r="N8" s="16" t="inlineStr"/>
      <c r="O8" s="16" t="inlineStr"/>
      <c r="P8" s="16">
        <f>IF(C8="","",MAX(D8:O8))</f>
        <v/>
      </c>
    </row>
    <row r="9">
      <c r="A9" s="15">
        <f>IF('SOV Setup'!A9="","",'SOV Setup'!A9)</f>
        <v/>
      </c>
      <c r="B9" s="15">
        <f>'SOV Setup'!B9</f>
        <v/>
      </c>
      <c r="C9" s="16">
        <f>IF('SOV Setup'!E9="","",'SOV Setup'!E9)</f>
        <v/>
      </c>
      <c r="D9" s="16" t="inlineStr"/>
      <c r="E9" s="16" t="inlineStr"/>
      <c r="F9" s="16" t="inlineStr"/>
      <c r="G9" s="16" t="inlineStr"/>
      <c r="H9" s="16" t="inlineStr"/>
      <c r="I9" s="16" t="inlineStr"/>
      <c r="J9" s="16" t="inlineStr"/>
      <c r="K9" s="16" t="inlineStr"/>
      <c r="L9" s="16" t="inlineStr"/>
      <c r="M9" s="16" t="inlineStr"/>
      <c r="N9" s="16" t="inlineStr"/>
      <c r="O9" s="16" t="inlineStr"/>
      <c r="P9" s="16">
        <f>IF(C9="","",MAX(D9:O9))</f>
        <v/>
      </c>
    </row>
    <row r="10">
      <c r="A10" s="15">
        <f>IF('SOV Setup'!A10="","",'SOV Setup'!A10)</f>
        <v/>
      </c>
      <c r="B10" s="15">
        <f>'SOV Setup'!B10</f>
        <v/>
      </c>
      <c r="C10" s="16">
        <f>IF('SOV Setup'!E10="","",'SOV Setup'!E10)</f>
        <v/>
      </c>
      <c r="D10" s="16" t="inlineStr"/>
      <c r="E10" s="16" t="inlineStr"/>
      <c r="F10" s="16" t="inlineStr"/>
      <c r="G10" s="16" t="inlineStr"/>
      <c r="H10" s="16" t="inlineStr"/>
      <c r="I10" s="16" t="inlineStr"/>
      <c r="J10" s="16" t="inlineStr"/>
      <c r="K10" s="16" t="inlineStr"/>
      <c r="L10" s="16" t="inlineStr"/>
      <c r="M10" s="16" t="inlineStr"/>
      <c r="N10" s="16" t="inlineStr"/>
      <c r="O10" s="16" t="inlineStr"/>
      <c r="P10" s="16">
        <f>IF(C10="","",MAX(D10:O10))</f>
        <v/>
      </c>
    </row>
    <row r="11">
      <c r="A11" s="15">
        <f>IF('SOV Setup'!A11="","",'SOV Setup'!A11)</f>
        <v/>
      </c>
      <c r="B11" s="15">
        <f>'SOV Setup'!B11</f>
        <v/>
      </c>
      <c r="C11" s="16">
        <f>IF('SOV Setup'!E11="","",'SOV Setup'!E11)</f>
        <v/>
      </c>
      <c r="D11" s="16" t="inlineStr"/>
      <c r="E11" s="16" t="inlineStr"/>
      <c r="F11" s="16" t="inlineStr"/>
      <c r="G11" s="16" t="inlineStr"/>
      <c r="H11" s="16" t="inlineStr"/>
      <c r="I11" s="16" t="inlineStr"/>
      <c r="J11" s="16" t="inlineStr"/>
      <c r="K11" s="16" t="inlineStr"/>
      <c r="L11" s="16" t="inlineStr"/>
      <c r="M11" s="16" t="inlineStr"/>
      <c r="N11" s="16" t="inlineStr"/>
      <c r="O11" s="16" t="inlineStr"/>
      <c r="P11" s="16">
        <f>IF(C11="","",MAX(D11:O11))</f>
        <v/>
      </c>
    </row>
    <row r="12">
      <c r="A12" s="15">
        <f>IF('SOV Setup'!A12="","",'SOV Setup'!A12)</f>
        <v/>
      </c>
      <c r="B12" s="15">
        <f>'SOV Setup'!B12</f>
        <v/>
      </c>
      <c r="C12" s="16">
        <f>IF('SOV Setup'!E12="","",'SOV Setup'!E12)</f>
        <v/>
      </c>
      <c r="D12" s="16" t="inlineStr"/>
      <c r="E12" s="16" t="inlineStr"/>
      <c r="F12" s="16" t="inlineStr"/>
      <c r="G12" s="16" t="inlineStr"/>
      <c r="H12" s="16" t="inlineStr"/>
      <c r="I12" s="16" t="inlineStr"/>
      <c r="J12" s="16" t="inlineStr"/>
      <c r="K12" s="16" t="inlineStr"/>
      <c r="L12" s="16" t="inlineStr"/>
      <c r="M12" s="16" t="inlineStr"/>
      <c r="N12" s="16" t="inlineStr"/>
      <c r="O12" s="16" t="inlineStr"/>
      <c r="P12" s="16">
        <f>IF(C12="","",MAX(D12:O12))</f>
        <v/>
      </c>
    </row>
    <row r="13">
      <c r="A13" s="15">
        <f>IF('SOV Setup'!A13="","",'SOV Setup'!A13)</f>
        <v/>
      </c>
      <c r="B13" s="15">
        <f>'SOV Setup'!B13</f>
        <v/>
      </c>
      <c r="C13" s="16">
        <f>IF('SOV Setup'!E13="","",'SOV Setup'!E13)</f>
        <v/>
      </c>
      <c r="D13" s="16" t="inlineStr"/>
      <c r="E13" s="16" t="inlineStr"/>
      <c r="F13" s="16" t="inlineStr"/>
      <c r="G13" s="16" t="inlineStr"/>
      <c r="H13" s="16" t="inlineStr"/>
      <c r="I13" s="16" t="inlineStr"/>
      <c r="J13" s="16" t="inlineStr"/>
      <c r="K13" s="16" t="inlineStr"/>
      <c r="L13" s="16" t="inlineStr"/>
      <c r="M13" s="16" t="inlineStr"/>
      <c r="N13" s="16" t="inlineStr"/>
      <c r="O13" s="16" t="inlineStr"/>
      <c r="P13" s="16">
        <f>IF(C13="","",MAX(D13:O13))</f>
        <v/>
      </c>
    </row>
    <row r="14">
      <c r="A14" s="15">
        <f>IF('SOV Setup'!A14="","",'SOV Setup'!A14)</f>
        <v/>
      </c>
      <c r="B14" s="15">
        <f>'SOV Setup'!B14</f>
        <v/>
      </c>
      <c r="C14" s="16">
        <f>IF('SOV Setup'!E14="","",'SOV Setup'!E14)</f>
        <v/>
      </c>
      <c r="D14" s="16" t="inlineStr"/>
      <c r="E14" s="16" t="inlineStr"/>
      <c r="F14" s="16" t="inlineStr"/>
      <c r="G14" s="16" t="inlineStr"/>
      <c r="H14" s="16" t="inlineStr"/>
      <c r="I14" s="16" t="inlineStr"/>
      <c r="J14" s="16" t="inlineStr"/>
      <c r="K14" s="16" t="inlineStr"/>
      <c r="L14" s="16" t="inlineStr"/>
      <c r="M14" s="16" t="inlineStr"/>
      <c r="N14" s="16" t="inlineStr"/>
      <c r="O14" s="16" t="inlineStr"/>
      <c r="P14" s="16">
        <f>IF(C14="","",MAX(D14:O14))</f>
        <v/>
      </c>
    </row>
    <row r="15">
      <c r="A15" s="15">
        <f>IF('SOV Setup'!A15="","",'SOV Setup'!A15)</f>
        <v/>
      </c>
      <c r="B15" s="15">
        <f>'SOV Setup'!B15</f>
        <v/>
      </c>
      <c r="C15" s="16">
        <f>IF('SOV Setup'!E15="","",'SOV Setup'!E15)</f>
        <v/>
      </c>
      <c r="D15" s="16" t="inlineStr"/>
      <c r="E15" s="16" t="inlineStr"/>
      <c r="F15" s="16" t="inlineStr"/>
      <c r="G15" s="16" t="inlineStr"/>
      <c r="H15" s="16" t="inlineStr"/>
      <c r="I15" s="16" t="inlineStr"/>
      <c r="J15" s="16" t="inlineStr"/>
      <c r="K15" s="16" t="inlineStr"/>
      <c r="L15" s="16" t="inlineStr"/>
      <c r="M15" s="16" t="inlineStr"/>
      <c r="N15" s="16" t="inlineStr"/>
      <c r="O15" s="16" t="inlineStr"/>
      <c r="P15" s="16">
        <f>IF(C15="","",MAX(D15:O15))</f>
        <v/>
      </c>
    </row>
    <row r="16">
      <c r="A16" s="15">
        <f>IF('SOV Setup'!A16="","",'SOV Setup'!A16)</f>
        <v/>
      </c>
      <c r="B16" s="15">
        <f>'SOV Setup'!B16</f>
        <v/>
      </c>
      <c r="C16" s="16">
        <f>IF('SOV Setup'!E16="","",'SOV Setup'!E16)</f>
        <v/>
      </c>
      <c r="D16" s="16" t="inlineStr"/>
      <c r="E16" s="16" t="inlineStr"/>
      <c r="F16" s="16" t="inlineStr"/>
      <c r="G16" s="16" t="inlineStr"/>
      <c r="H16" s="16" t="inlineStr"/>
      <c r="I16" s="16" t="inlineStr"/>
      <c r="J16" s="16" t="inlineStr"/>
      <c r="K16" s="16" t="inlineStr"/>
      <c r="L16" s="16" t="inlineStr"/>
      <c r="M16" s="16" t="inlineStr"/>
      <c r="N16" s="16" t="inlineStr"/>
      <c r="O16" s="16" t="inlineStr"/>
      <c r="P16" s="16">
        <f>IF(C16="","",MAX(D16:O16))</f>
        <v/>
      </c>
    </row>
    <row r="17">
      <c r="A17" s="15">
        <f>IF('SOV Setup'!A17="","",'SOV Setup'!A17)</f>
        <v/>
      </c>
      <c r="B17" s="15">
        <f>'SOV Setup'!B17</f>
        <v/>
      </c>
      <c r="C17" s="16">
        <f>IF('SOV Setup'!E17="","",'SOV Setup'!E17)</f>
        <v/>
      </c>
      <c r="D17" s="16" t="inlineStr"/>
      <c r="E17" s="16" t="inlineStr"/>
      <c r="F17" s="16" t="inlineStr"/>
      <c r="G17" s="16" t="inlineStr"/>
      <c r="H17" s="16" t="inlineStr"/>
      <c r="I17" s="16" t="inlineStr"/>
      <c r="J17" s="16" t="inlineStr"/>
      <c r="K17" s="16" t="inlineStr"/>
      <c r="L17" s="16" t="inlineStr"/>
      <c r="M17" s="16" t="inlineStr"/>
      <c r="N17" s="16" t="inlineStr"/>
      <c r="O17" s="16" t="inlineStr"/>
      <c r="P17" s="16">
        <f>IF(C17="","",MAX(D17:O17))</f>
        <v/>
      </c>
    </row>
    <row r="18">
      <c r="A18" s="15">
        <f>IF('SOV Setup'!A18="","",'SOV Setup'!A18)</f>
        <v/>
      </c>
      <c r="B18" s="15">
        <f>'SOV Setup'!B18</f>
        <v/>
      </c>
      <c r="C18" s="16">
        <f>IF('SOV Setup'!E18="","",'SOV Setup'!E18)</f>
        <v/>
      </c>
      <c r="D18" s="16" t="inlineStr"/>
      <c r="E18" s="16" t="inlineStr"/>
      <c r="F18" s="16" t="inlineStr"/>
      <c r="G18" s="16" t="inlineStr"/>
      <c r="H18" s="16" t="inlineStr"/>
      <c r="I18" s="16" t="inlineStr"/>
      <c r="J18" s="16" t="inlineStr"/>
      <c r="K18" s="16" t="inlineStr"/>
      <c r="L18" s="16" t="inlineStr"/>
      <c r="M18" s="16" t="inlineStr"/>
      <c r="N18" s="16" t="inlineStr"/>
      <c r="O18" s="16" t="inlineStr"/>
      <c r="P18" s="16">
        <f>IF(C18="","",MAX(D18:O18))</f>
        <v/>
      </c>
    </row>
    <row r="19">
      <c r="A19" s="15">
        <f>IF('SOV Setup'!A19="","",'SOV Setup'!A19)</f>
        <v/>
      </c>
      <c r="B19" s="15">
        <f>'SOV Setup'!B19</f>
        <v/>
      </c>
      <c r="C19" s="16">
        <f>IF('SOV Setup'!E19="","",'SOV Setup'!E19)</f>
        <v/>
      </c>
      <c r="D19" s="16" t="inlineStr"/>
      <c r="E19" s="16" t="inlineStr"/>
      <c r="F19" s="16" t="inlineStr"/>
      <c r="G19" s="16" t="inlineStr"/>
      <c r="H19" s="16" t="inlineStr"/>
      <c r="I19" s="16" t="inlineStr"/>
      <c r="J19" s="16" t="inlineStr"/>
      <c r="K19" s="16" t="inlineStr"/>
      <c r="L19" s="16" t="inlineStr"/>
      <c r="M19" s="16" t="inlineStr"/>
      <c r="N19" s="16" t="inlineStr"/>
      <c r="O19" s="16" t="inlineStr"/>
      <c r="P19" s="16">
        <f>IF(C19="","",MAX(D19:O19))</f>
        <v/>
      </c>
    </row>
    <row r="20">
      <c r="A20" s="15">
        <f>IF('SOV Setup'!A20="","",'SOV Setup'!A20)</f>
        <v/>
      </c>
      <c r="B20" s="15">
        <f>'SOV Setup'!B20</f>
        <v/>
      </c>
      <c r="C20" s="16">
        <f>IF('SOV Setup'!E20="","",'SOV Setup'!E20)</f>
        <v/>
      </c>
      <c r="D20" s="16" t="inlineStr"/>
      <c r="E20" s="16" t="inlineStr"/>
      <c r="F20" s="16" t="inlineStr"/>
      <c r="G20" s="16" t="inlineStr"/>
      <c r="H20" s="16" t="inlineStr"/>
      <c r="I20" s="16" t="inlineStr"/>
      <c r="J20" s="16" t="inlineStr"/>
      <c r="K20" s="16" t="inlineStr"/>
      <c r="L20" s="16" t="inlineStr"/>
      <c r="M20" s="16" t="inlineStr"/>
      <c r="N20" s="16" t="inlineStr"/>
      <c r="O20" s="16" t="inlineStr"/>
      <c r="P20" s="16">
        <f>IF(C20="","",MAX(D20:O20))</f>
        <v/>
      </c>
    </row>
    <row r="21">
      <c r="A21" s="15">
        <f>IF('SOV Setup'!A21="","",'SOV Setup'!A21)</f>
        <v/>
      </c>
      <c r="B21" s="15">
        <f>'SOV Setup'!B21</f>
        <v/>
      </c>
      <c r="C21" s="16">
        <f>IF('SOV Setup'!E21="","",'SOV Setup'!E21)</f>
        <v/>
      </c>
      <c r="D21" s="16" t="inlineStr"/>
      <c r="E21" s="16" t="inlineStr"/>
      <c r="F21" s="16" t="inlineStr"/>
      <c r="G21" s="16" t="inlineStr"/>
      <c r="H21" s="16" t="inlineStr"/>
      <c r="I21" s="16" t="inlineStr"/>
      <c r="J21" s="16" t="inlineStr"/>
      <c r="K21" s="16" t="inlineStr"/>
      <c r="L21" s="16" t="inlineStr"/>
      <c r="M21" s="16" t="inlineStr"/>
      <c r="N21" s="16" t="inlineStr"/>
      <c r="O21" s="16" t="inlineStr"/>
      <c r="P21" s="16">
        <f>IF(C21="","",MAX(D21:O21))</f>
        <v/>
      </c>
    </row>
    <row r="22">
      <c r="A22" s="15">
        <f>IF('SOV Setup'!A22="","",'SOV Setup'!A22)</f>
        <v/>
      </c>
      <c r="B22" s="15">
        <f>'SOV Setup'!B22</f>
        <v/>
      </c>
      <c r="C22" s="16">
        <f>IF('SOV Setup'!E22="","",'SOV Setup'!E22)</f>
        <v/>
      </c>
      <c r="D22" s="16" t="inlineStr"/>
      <c r="E22" s="16" t="inlineStr"/>
      <c r="F22" s="16" t="inlineStr"/>
      <c r="G22" s="16" t="inlineStr"/>
      <c r="H22" s="16" t="inlineStr"/>
      <c r="I22" s="16" t="inlineStr"/>
      <c r="J22" s="16" t="inlineStr"/>
      <c r="K22" s="16" t="inlineStr"/>
      <c r="L22" s="16" t="inlineStr"/>
      <c r="M22" s="16" t="inlineStr"/>
      <c r="N22" s="16" t="inlineStr"/>
      <c r="O22" s="16" t="inlineStr"/>
      <c r="P22" s="16">
        <f>IF(C22="","",MAX(D22:O22))</f>
        <v/>
      </c>
    </row>
    <row r="23">
      <c r="A23" s="15">
        <f>IF('SOV Setup'!A23="","",'SOV Setup'!A23)</f>
        <v/>
      </c>
      <c r="B23" s="15">
        <f>'SOV Setup'!B23</f>
        <v/>
      </c>
      <c r="C23" s="16">
        <f>IF('SOV Setup'!E23="","",'SOV Setup'!E23)</f>
        <v/>
      </c>
      <c r="D23" s="16" t="inlineStr"/>
      <c r="E23" s="16" t="inlineStr"/>
      <c r="F23" s="16" t="inlineStr"/>
      <c r="G23" s="16" t="inlineStr"/>
      <c r="H23" s="16" t="inlineStr"/>
      <c r="I23" s="16" t="inlineStr"/>
      <c r="J23" s="16" t="inlineStr"/>
      <c r="K23" s="16" t="inlineStr"/>
      <c r="L23" s="16" t="inlineStr"/>
      <c r="M23" s="16" t="inlineStr"/>
      <c r="N23" s="16" t="inlineStr"/>
      <c r="O23" s="16" t="inlineStr"/>
      <c r="P23" s="16">
        <f>IF(C23="","",MAX(D23:O23))</f>
        <v/>
      </c>
    </row>
    <row r="24">
      <c r="A24" s="15">
        <f>IF('SOV Setup'!A24="","",'SOV Setup'!A24)</f>
        <v/>
      </c>
      <c r="B24" s="15">
        <f>'SOV Setup'!B24</f>
        <v/>
      </c>
      <c r="C24" s="16">
        <f>IF('SOV Setup'!E24="","",'SOV Setup'!E24)</f>
        <v/>
      </c>
      <c r="D24" s="16" t="inlineStr"/>
      <c r="E24" s="16" t="inlineStr"/>
      <c r="F24" s="16" t="inlineStr"/>
      <c r="G24" s="16" t="inlineStr"/>
      <c r="H24" s="16" t="inlineStr"/>
      <c r="I24" s="16" t="inlineStr"/>
      <c r="J24" s="16" t="inlineStr"/>
      <c r="K24" s="16" t="inlineStr"/>
      <c r="L24" s="16" t="inlineStr"/>
      <c r="M24" s="16" t="inlineStr"/>
      <c r="N24" s="16" t="inlineStr"/>
      <c r="O24" s="16" t="inlineStr"/>
      <c r="P24" s="16">
        <f>IF(C24="","",MAX(D24:O24))</f>
        <v/>
      </c>
    </row>
    <row r="25">
      <c r="A25" s="15">
        <f>IF('SOV Setup'!A25="","",'SOV Setup'!A25)</f>
        <v/>
      </c>
      <c r="B25" s="15">
        <f>'SOV Setup'!B25</f>
        <v/>
      </c>
      <c r="C25" s="16">
        <f>IF('SOV Setup'!E25="","",'SOV Setup'!E25)</f>
        <v/>
      </c>
      <c r="D25" s="16" t="inlineStr"/>
      <c r="E25" s="16" t="inlineStr"/>
      <c r="F25" s="16" t="inlineStr"/>
      <c r="G25" s="16" t="inlineStr"/>
      <c r="H25" s="16" t="inlineStr"/>
      <c r="I25" s="16" t="inlineStr"/>
      <c r="J25" s="16" t="inlineStr"/>
      <c r="K25" s="16" t="inlineStr"/>
      <c r="L25" s="16" t="inlineStr"/>
      <c r="M25" s="16" t="inlineStr"/>
      <c r="N25" s="16" t="inlineStr"/>
      <c r="O25" s="16" t="inlineStr"/>
      <c r="P25" s="16">
        <f>IF(C25="","",MAX(D25:O25))</f>
        <v/>
      </c>
    </row>
    <row r="26">
      <c r="A26" s="15">
        <f>IF('SOV Setup'!A26="","",'SOV Setup'!A26)</f>
        <v/>
      </c>
      <c r="B26" s="15">
        <f>'SOV Setup'!B26</f>
        <v/>
      </c>
      <c r="C26" s="16">
        <f>IF('SOV Setup'!E26="","",'SOV Setup'!E26)</f>
        <v/>
      </c>
      <c r="D26" s="16" t="inlineStr"/>
      <c r="E26" s="16" t="inlineStr"/>
      <c r="F26" s="16" t="inlineStr"/>
      <c r="G26" s="16" t="inlineStr"/>
      <c r="H26" s="16" t="inlineStr"/>
      <c r="I26" s="16" t="inlineStr"/>
      <c r="J26" s="16" t="inlineStr"/>
      <c r="K26" s="16" t="inlineStr"/>
      <c r="L26" s="16" t="inlineStr"/>
      <c r="M26" s="16" t="inlineStr"/>
      <c r="N26" s="16" t="inlineStr"/>
      <c r="O26" s="16" t="inlineStr"/>
      <c r="P26" s="16">
        <f>IF(C26="","",MAX(D26:O26))</f>
        <v/>
      </c>
    </row>
    <row r="27">
      <c r="A27" s="15">
        <f>IF('SOV Setup'!A27="","",'SOV Setup'!A27)</f>
        <v/>
      </c>
      <c r="B27" s="15">
        <f>'SOV Setup'!B27</f>
        <v/>
      </c>
      <c r="C27" s="16">
        <f>IF('SOV Setup'!E27="","",'SOV Setup'!E27)</f>
        <v/>
      </c>
      <c r="D27" s="16" t="inlineStr"/>
      <c r="E27" s="16" t="inlineStr"/>
      <c r="F27" s="16" t="inlineStr"/>
      <c r="G27" s="16" t="inlineStr"/>
      <c r="H27" s="16" t="inlineStr"/>
      <c r="I27" s="16" t="inlineStr"/>
      <c r="J27" s="16" t="inlineStr"/>
      <c r="K27" s="16" t="inlineStr"/>
      <c r="L27" s="16" t="inlineStr"/>
      <c r="M27" s="16" t="inlineStr"/>
      <c r="N27" s="16" t="inlineStr"/>
      <c r="O27" s="16" t="inlineStr"/>
      <c r="P27" s="16">
        <f>IF(C27="","",MAX(D27:O27))</f>
        <v/>
      </c>
    </row>
    <row r="28">
      <c r="A28" s="15">
        <f>IF('SOV Setup'!A28="","",'SOV Setup'!A28)</f>
        <v/>
      </c>
      <c r="B28" s="15">
        <f>'SOV Setup'!B28</f>
        <v/>
      </c>
      <c r="C28" s="16">
        <f>IF('SOV Setup'!E28="","",'SOV Setup'!E28)</f>
        <v/>
      </c>
      <c r="D28" s="16" t="inlineStr"/>
      <c r="E28" s="16" t="inlineStr"/>
      <c r="F28" s="16" t="inlineStr"/>
      <c r="G28" s="16" t="inlineStr"/>
      <c r="H28" s="16" t="inlineStr"/>
      <c r="I28" s="16" t="inlineStr"/>
      <c r="J28" s="16" t="inlineStr"/>
      <c r="K28" s="16" t="inlineStr"/>
      <c r="L28" s="16" t="inlineStr"/>
      <c r="M28" s="16" t="inlineStr"/>
      <c r="N28" s="16" t="inlineStr"/>
      <c r="O28" s="16" t="inlineStr"/>
      <c r="P28" s="16">
        <f>IF(C28="","",MAX(D28:O28))</f>
        <v/>
      </c>
    </row>
    <row r="29">
      <c r="A29" s="15">
        <f>IF('SOV Setup'!A29="","",'SOV Setup'!A29)</f>
        <v/>
      </c>
      <c r="B29" s="15">
        <f>'SOV Setup'!B29</f>
        <v/>
      </c>
      <c r="C29" s="16">
        <f>IF('SOV Setup'!E29="","",'SOV Setup'!E29)</f>
        <v/>
      </c>
      <c r="D29" s="16" t="inlineStr"/>
      <c r="E29" s="16" t="inlineStr"/>
      <c r="F29" s="16" t="inlineStr"/>
      <c r="G29" s="16" t="inlineStr"/>
      <c r="H29" s="16" t="inlineStr"/>
      <c r="I29" s="16" t="inlineStr"/>
      <c r="J29" s="16" t="inlineStr"/>
      <c r="K29" s="16" t="inlineStr"/>
      <c r="L29" s="16" t="inlineStr"/>
      <c r="M29" s="16" t="inlineStr"/>
      <c r="N29" s="16" t="inlineStr"/>
      <c r="O29" s="16" t="inlineStr"/>
      <c r="P29" s="16">
        <f>IF(C29="","",MAX(D29:O29))</f>
        <v/>
      </c>
    </row>
    <row r="30">
      <c r="A30" s="15">
        <f>IF('SOV Setup'!A30="","",'SOV Setup'!A30)</f>
        <v/>
      </c>
      <c r="B30" s="15">
        <f>'SOV Setup'!B30</f>
        <v/>
      </c>
      <c r="C30" s="16">
        <f>IF('SOV Setup'!E30="","",'SOV Setup'!E30)</f>
        <v/>
      </c>
      <c r="D30" s="16" t="inlineStr"/>
      <c r="E30" s="16" t="inlineStr"/>
      <c r="F30" s="16" t="inlineStr"/>
      <c r="G30" s="16" t="inlineStr"/>
      <c r="H30" s="16" t="inlineStr"/>
      <c r="I30" s="16" t="inlineStr"/>
      <c r="J30" s="16" t="inlineStr"/>
      <c r="K30" s="16" t="inlineStr"/>
      <c r="L30" s="16" t="inlineStr"/>
      <c r="M30" s="16" t="inlineStr"/>
      <c r="N30" s="16" t="inlineStr"/>
      <c r="O30" s="16" t="inlineStr"/>
      <c r="P30" s="16">
        <f>IF(C30="","",MAX(D30:O30))</f>
        <v/>
      </c>
    </row>
    <row r="31">
      <c r="A31" s="15">
        <f>IF('SOV Setup'!A31="","",'SOV Setup'!A31)</f>
        <v/>
      </c>
      <c r="B31" s="15">
        <f>'SOV Setup'!B31</f>
        <v/>
      </c>
      <c r="C31" s="16">
        <f>IF('SOV Setup'!E31="","",'SOV Setup'!E31)</f>
        <v/>
      </c>
      <c r="D31" s="16" t="inlineStr"/>
      <c r="E31" s="16" t="inlineStr"/>
      <c r="F31" s="16" t="inlineStr"/>
      <c r="G31" s="16" t="inlineStr"/>
      <c r="H31" s="16" t="inlineStr"/>
      <c r="I31" s="16" t="inlineStr"/>
      <c r="J31" s="16" t="inlineStr"/>
      <c r="K31" s="16" t="inlineStr"/>
      <c r="L31" s="16" t="inlineStr"/>
      <c r="M31" s="16" t="inlineStr"/>
      <c r="N31" s="16" t="inlineStr"/>
      <c r="O31" s="16" t="inlineStr"/>
      <c r="P31" s="16">
        <f>IF(C31="","",MAX(D31:O31))</f>
        <v/>
      </c>
    </row>
    <row r="32">
      <c r="A32" s="15">
        <f>IF('SOV Setup'!A32="","",'SOV Setup'!A32)</f>
        <v/>
      </c>
      <c r="B32" s="15">
        <f>'SOV Setup'!B32</f>
        <v/>
      </c>
      <c r="C32" s="16">
        <f>IF('SOV Setup'!E32="","",'SOV Setup'!E32)</f>
        <v/>
      </c>
      <c r="D32" s="16" t="inlineStr"/>
      <c r="E32" s="16" t="inlineStr"/>
      <c r="F32" s="16" t="inlineStr"/>
      <c r="G32" s="16" t="inlineStr"/>
      <c r="H32" s="16" t="inlineStr"/>
      <c r="I32" s="16" t="inlineStr"/>
      <c r="J32" s="16" t="inlineStr"/>
      <c r="K32" s="16" t="inlineStr"/>
      <c r="L32" s="16" t="inlineStr"/>
      <c r="M32" s="16" t="inlineStr"/>
      <c r="N32" s="16" t="inlineStr"/>
      <c r="O32" s="16" t="inlineStr"/>
      <c r="P32" s="16">
        <f>IF(C32="","",MAX(D32:O32))</f>
        <v/>
      </c>
    </row>
    <row r="33">
      <c r="A33" s="15">
        <f>IF('SOV Setup'!A33="","",'SOV Setup'!A33)</f>
        <v/>
      </c>
      <c r="B33" s="15">
        <f>'SOV Setup'!B33</f>
        <v/>
      </c>
      <c r="C33" s="16">
        <f>IF('SOV Setup'!E33="","",'SOV Setup'!E33)</f>
        <v/>
      </c>
      <c r="D33" s="16" t="inlineStr"/>
      <c r="E33" s="16" t="inlineStr"/>
      <c r="F33" s="16" t="inlineStr"/>
      <c r="G33" s="16" t="inlineStr"/>
      <c r="H33" s="16" t="inlineStr"/>
      <c r="I33" s="16" t="inlineStr"/>
      <c r="J33" s="16" t="inlineStr"/>
      <c r="K33" s="16" t="inlineStr"/>
      <c r="L33" s="16" t="inlineStr"/>
      <c r="M33" s="16" t="inlineStr"/>
      <c r="N33" s="16" t="inlineStr"/>
      <c r="O33" s="16" t="inlineStr"/>
      <c r="P33" s="16">
        <f>IF(C33="","",MAX(D33:O33))</f>
        <v/>
      </c>
    </row>
    <row r="34">
      <c r="A34" s="15">
        <f>IF('SOV Setup'!A34="","",'SOV Setup'!A34)</f>
        <v/>
      </c>
      <c r="B34" s="15">
        <f>'SOV Setup'!B34</f>
        <v/>
      </c>
      <c r="C34" s="16">
        <f>IF('SOV Setup'!E34="","",'SOV Setup'!E34)</f>
        <v/>
      </c>
      <c r="D34" s="16" t="inlineStr"/>
      <c r="E34" s="16" t="inlineStr"/>
      <c r="F34" s="16" t="inlineStr"/>
      <c r="G34" s="16" t="inlineStr"/>
      <c r="H34" s="16" t="inlineStr"/>
      <c r="I34" s="16" t="inlineStr"/>
      <c r="J34" s="16" t="inlineStr"/>
      <c r="K34" s="16" t="inlineStr"/>
      <c r="L34" s="16" t="inlineStr"/>
      <c r="M34" s="16" t="inlineStr"/>
      <c r="N34" s="16" t="inlineStr"/>
      <c r="O34" s="16" t="inlineStr"/>
      <c r="P34" s="16">
        <f>IF(C34="","",MAX(D34:O34))</f>
        <v/>
      </c>
    </row>
    <row r="35">
      <c r="A35" s="15">
        <f>IF('SOV Setup'!A35="","",'SOV Setup'!A35)</f>
        <v/>
      </c>
      <c r="B35" s="15">
        <f>'SOV Setup'!B35</f>
        <v/>
      </c>
      <c r="C35" s="16">
        <f>IF('SOV Setup'!E35="","",'SOV Setup'!E35)</f>
        <v/>
      </c>
      <c r="D35" s="16" t="inlineStr"/>
      <c r="E35" s="16" t="inlineStr"/>
      <c r="F35" s="16" t="inlineStr"/>
      <c r="G35" s="16" t="inlineStr"/>
      <c r="H35" s="16" t="inlineStr"/>
      <c r="I35" s="16" t="inlineStr"/>
      <c r="J35" s="16" t="inlineStr"/>
      <c r="K35" s="16" t="inlineStr"/>
      <c r="L35" s="16" t="inlineStr"/>
      <c r="M35" s="16" t="inlineStr"/>
      <c r="N35" s="16" t="inlineStr"/>
      <c r="O35" s="16" t="inlineStr"/>
      <c r="P35" s="16">
        <f>IF(C35="","",MAX(D35:O35))</f>
        <v/>
      </c>
    </row>
    <row r="36">
      <c r="A36" s="15">
        <f>IF('SOV Setup'!A36="","",'SOV Setup'!A36)</f>
        <v/>
      </c>
      <c r="B36" s="15">
        <f>'SOV Setup'!B36</f>
        <v/>
      </c>
      <c r="C36" s="16">
        <f>IF('SOV Setup'!E36="","",'SOV Setup'!E36)</f>
        <v/>
      </c>
      <c r="D36" s="16" t="inlineStr"/>
      <c r="E36" s="16" t="inlineStr"/>
      <c r="F36" s="16" t="inlineStr"/>
      <c r="G36" s="16" t="inlineStr"/>
      <c r="H36" s="16" t="inlineStr"/>
      <c r="I36" s="16" t="inlineStr"/>
      <c r="J36" s="16" t="inlineStr"/>
      <c r="K36" s="16" t="inlineStr"/>
      <c r="L36" s="16" t="inlineStr"/>
      <c r="M36" s="16" t="inlineStr"/>
      <c r="N36" s="16" t="inlineStr"/>
      <c r="O36" s="16" t="inlineStr"/>
      <c r="P36" s="16">
        <f>IF(C36="","",MAX(D36:O36))</f>
        <v/>
      </c>
    </row>
    <row r="37">
      <c r="A37" s="15">
        <f>IF('SOV Setup'!A37="","",'SOV Setup'!A37)</f>
        <v/>
      </c>
      <c r="B37" s="15">
        <f>'SOV Setup'!B37</f>
        <v/>
      </c>
      <c r="C37" s="16">
        <f>IF('SOV Setup'!E37="","",'SOV Setup'!E37)</f>
        <v/>
      </c>
      <c r="D37" s="16" t="inlineStr"/>
      <c r="E37" s="16" t="inlineStr"/>
      <c r="F37" s="16" t="inlineStr"/>
      <c r="G37" s="16" t="inlineStr"/>
      <c r="H37" s="16" t="inlineStr"/>
      <c r="I37" s="16" t="inlineStr"/>
      <c r="J37" s="16" t="inlineStr"/>
      <c r="K37" s="16" t="inlineStr"/>
      <c r="L37" s="16" t="inlineStr"/>
      <c r="M37" s="16" t="inlineStr"/>
      <c r="N37" s="16" t="inlineStr"/>
      <c r="O37" s="16" t="inlineStr"/>
      <c r="P37" s="16">
        <f>IF(C37="","",MAX(D37:O37))</f>
        <v/>
      </c>
    </row>
    <row r="38">
      <c r="A38" s="15">
        <f>IF('SOV Setup'!A38="","",'SOV Setup'!A38)</f>
        <v/>
      </c>
      <c r="B38" s="15">
        <f>'SOV Setup'!B38</f>
        <v/>
      </c>
      <c r="C38" s="16">
        <f>IF('SOV Setup'!E38="","",'SOV Setup'!E38)</f>
        <v/>
      </c>
      <c r="D38" s="16" t="inlineStr"/>
      <c r="E38" s="16" t="inlineStr"/>
      <c r="F38" s="16" t="inlineStr"/>
      <c r="G38" s="16" t="inlineStr"/>
      <c r="H38" s="16" t="inlineStr"/>
      <c r="I38" s="16" t="inlineStr"/>
      <c r="J38" s="16" t="inlineStr"/>
      <c r="K38" s="16" t="inlineStr"/>
      <c r="L38" s="16" t="inlineStr"/>
      <c r="M38" s="16" t="inlineStr"/>
      <c r="N38" s="16" t="inlineStr"/>
      <c r="O38" s="16" t="inlineStr"/>
      <c r="P38" s="16">
        <f>IF(C38="","",MAX(D38:O38))</f>
        <v/>
      </c>
    </row>
    <row r="39">
      <c r="A39" s="15">
        <f>IF('SOV Setup'!A39="","",'SOV Setup'!A39)</f>
        <v/>
      </c>
      <c r="B39" s="15">
        <f>'SOV Setup'!B39</f>
        <v/>
      </c>
      <c r="C39" s="16">
        <f>IF('SOV Setup'!E39="","",'SOV Setup'!E39)</f>
        <v/>
      </c>
      <c r="D39" s="16" t="inlineStr"/>
      <c r="E39" s="16" t="inlineStr"/>
      <c r="F39" s="16" t="inlineStr"/>
      <c r="G39" s="16" t="inlineStr"/>
      <c r="H39" s="16" t="inlineStr"/>
      <c r="I39" s="16" t="inlineStr"/>
      <c r="J39" s="16" t="inlineStr"/>
      <c r="K39" s="16" t="inlineStr"/>
      <c r="L39" s="16" t="inlineStr"/>
      <c r="M39" s="16" t="inlineStr"/>
      <c r="N39" s="16" t="inlineStr"/>
      <c r="O39" s="16" t="inlineStr"/>
      <c r="P39" s="16">
        <f>IF(C39="","",MAX(D39:O39))</f>
        <v/>
      </c>
    </row>
    <row r="40">
      <c r="A40" s="15">
        <f>IF('SOV Setup'!A40="","",'SOV Setup'!A40)</f>
        <v/>
      </c>
      <c r="B40" s="15">
        <f>'SOV Setup'!B40</f>
        <v/>
      </c>
      <c r="C40" s="16">
        <f>IF('SOV Setup'!E40="","",'SOV Setup'!E40)</f>
        <v/>
      </c>
      <c r="D40" s="16" t="inlineStr"/>
      <c r="E40" s="16" t="inlineStr"/>
      <c r="F40" s="16" t="inlineStr"/>
      <c r="G40" s="16" t="inlineStr"/>
      <c r="H40" s="16" t="inlineStr"/>
      <c r="I40" s="16" t="inlineStr"/>
      <c r="J40" s="16" t="inlineStr"/>
      <c r="K40" s="16" t="inlineStr"/>
      <c r="L40" s="16" t="inlineStr"/>
      <c r="M40" s="16" t="inlineStr"/>
      <c r="N40" s="16" t="inlineStr"/>
      <c r="O40" s="16" t="inlineStr"/>
      <c r="P40" s="16">
        <f>IF(C40="","",MAX(D40:O40))</f>
        <v/>
      </c>
    </row>
    <row r="41">
      <c r="A41" s="15">
        <f>IF('SOV Setup'!A41="","",'SOV Setup'!A41)</f>
        <v/>
      </c>
      <c r="B41" s="15">
        <f>'SOV Setup'!B41</f>
        <v/>
      </c>
      <c r="C41" s="16">
        <f>IF('SOV Setup'!E41="","",'SOV Setup'!E41)</f>
        <v/>
      </c>
      <c r="D41" s="16" t="inlineStr"/>
      <c r="E41" s="16" t="inlineStr"/>
      <c r="F41" s="16" t="inlineStr"/>
      <c r="G41" s="16" t="inlineStr"/>
      <c r="H41" s="16" t="inlineStr"/>
      <c r="I41" s="16" t="inlineStr"/>
      <c r="J41" s="16" t="inlineStr"/>
      <c r="K41" s="16" t="inlineStr"/>
      <c r="L41" s="16" t="inlineStr"/>
      <c r="M41" s="16" t="inlineStr"/>
      <c r="N41" s="16" t="inlineStr"/>
      <c r="O41" s="16" t="inlineStr"/>
      <c r="P41" s="16">
        <f>IF(C41="","",MAX(D41:O41))</f>
        <v/>
      </c>
    </row>
    <row r="42">
      <c r="A42" s="15">
        <f>IF('SOV Setup'!A42="","",'SOV Setup'!A42)</f>
        <v/>
      </c>
      <c r="B42" s="15">
        <f>'SOV Setup'!B42</f>
        <v/>
      </c>
      <c r="C42" s="16">
        <f>IF('SOV Setup'!E42="","",'SOV Setup'!E42)</f>
        <v/>
      </c>
      <c r="D42" s="16" t="inlineStr"/>
      <c r="E42" s="16" t="inlineStr"/>
      <c r="F42" s="16" t="inlineStr"/>
      <c r="G42" s="16" t="inlineStr"/>
      <c r="H42" s="16" t="inlineStr"/>
      <c r="I42" s="16" t="inlineStr"/>
      <c r="J42" s="16" t="inlineStr"/>
      <c r="K42" s="16" t="inlineStr"/>
      <c r="L42" s="16" t="inlineStr"/>
      <c r="M42" s="16" t="inlineStr"/>
      <c r="N42" s="16" t="inlineStr"/>
      <c r="O42" s="16" t="inlineStr"/>
      <c r="P42" s="16">
        <f>IF(C42="","",MAX(D42:O42))</f>
        <v/>
      </c>
    </row>
    <row r="43">
      <c r="A43" s="15">
        <f>IF('SOV Setup'!A43="","",'SOV Setup'!A43)</f>
        <v/>
      </c>
      <c r="B43" s="15">
        <f>'SOV Setup'!B43</f>
        <v/>
      </c>
      <c r="C43" s="16">
        <f>IF('SOV Setup'!E43="","",'SOV Setup'!E43)</f>
        <v/>
      </c>
      <c r="D43" s="16" t="inlineStr"/>
      <c r="E43" s="16" t="inlineStr"/>
      <c r="F43" s="16" t="inlineStr"/>
      <c r="G43" s="16" t="inlineStr"/>
      <c r="H43" s="16" t="inlineStr"/>
      <c r="I43" s="16" t="inlineStr"/>
      <c r="J43" s="16" t="inlineStr"/>
      <c r="K43" s="16" t="inlineStr"/>
      <c r="L43" s="16" t="inlineStr"/>
      <c r="M43" s="16" t="inlineStr"/>
      <c r="N43" s="16" t="inlineStr"/>
      <c r="O43" s="16" t="inlineStr"/>
      <c r="P43" s="16">
        <f>IF(C43="","",MAX(D43:O43))</f>
        <v/>
      </c>
    </row>
    <row r="44">
      <c r="A44" s="15">
        <f>IF('SOV Setup'!A44="","",'SOV Setup'!A44)</f>
        <v/>
      </c>
      <c r="B44" s="15">
        <f>'SOV Setup'!B44</f>
        <v/>
      </c>
      <c r="C44" s="16">
        <f>IF('SOV Setup'!E44="","",'SOV Setup'!E44)</f>
        <v/>
      </c>
      <c r="D44" s="16" t="inlineStr"/>
      <c r="E44" s="16" t="inlineStr"/>
      <c r="F44" s="16" t="inlineStr"/>
      <c r="G44" s="16" t="inlineStr"/>
      <c r="H44" s="16" t="inlineStr"/>
      <c r="I44" s="16" t="inlineStr"/>
      <c r="J44" s="16" t="inlineStr"/>
      <c r="K44" s="16" t="inlineStr"/>
      <c r="L44" s="16" t="inlineStr"/>
      <c r="M44" s="16" t="inlineStr"/>
      <c r="N44" s="16" t="inlineStr"/>
      <c r="O44" s="16" t="inlineStr"/>
      <c r="P44" s="16">
        <f>IF(C44="","",MAX(D44:O44))</f>
        <v/>
      </c>
    </row>
    <row r="45">
      <c r="A45" s="15">
        <f>IF('SOV Setup'!A45="","",'SOV Setup'!A45)</f>
        <v/>
      </c>
      <c r="B45" s="15">
        <f>'SOV Setup'!B45</f>
        <v/>
      </c>
      <c r="C45" s="16">
        <f>IF('SOV Setup'!E45="","",'SOV Setup'!E45)</f>
        <v/>
      </c>
      <c r="D45" s="16" t="inlineStr"/>
      <c r="E45" s="16" t="inlineStr"/>
      <c r="F45" s="16" t="inlineStr"/>
      <c r="G45" s="16" t="inlineStr"/>
      <c r="H45" s="16" t="inlineStr"/>
      <c r="I45" s="16" t="inlineStr"/>
      <c r="J45" s="16" t="inlineStr"/>
      <c r="K45" s="16" t="inlineStr"/>
      <c r="L45" s="16" t="inlineStr"/>
      <c r="M45" s="16" t="inlineStr"/>
      <c r="N45" s="16" t="inlineStr"/>
      <c r="O45" s="16" t="inlineStr"/>
      <c r="P45" s="16">
        <f>IF(C45="","",MAX(D45:O45))</f>
        <v/>
      </c>
    </row>
    <row r="46">
      <c r="A46" s="15">
        <f>IF('SOV Setup'!A46="","",'SOV Setup'!A46)</f>
        <v/>
      </c>
      <c r="B46" s="15">
        <f>'SOV Setup'!B46</f>
        <v/>
      </c>
      <c r="C46" s="16">
        <f>IF('SOV Setup'!E46="","",'SOV Setup'!E46)</f>
        <v/>
      </c>
      <c r="D46" s="16" t="inlineStr"/>
      <c r="E46" s="16" t="inlineStr"/>
      <c r="F46" s="16" t="inlineStr"/>
      <c r="G46" s="16" t="inlineStr"/>
      <c r="H46" s="16" t="inlineStr"/>
      <c r="I46" s="16" t="inlineStr"/>
      <c r="J46" s="16" t="inlineStr"/>
      <c r="K46" s="16" t="inlineStr"/>
      <c r="L46" s="16" t="inlineStr"/>
      <c r="M46" s="16" t="inlineStr"/>
      <c r="N46" s="16" t="inlineStr"/>
      <c r="O46" s="16" t="inlineStr"/>
      <c r="P46" s="16">
        <f>IF(C46="","",MAX(D46:O46))</f>
        <v/>
      </c>
    </row>
    <row r="47">
      <c r="A47" s="15">
        <f>IF('SOV Setup'!A47="","",'SOV Setup'!A47)</f>
        <v/>
      </c>
      <c r="B47" s="15">
        <f>'SOV Setup'!B47</f>
        <v/>
      </c>
      <c r="C47" s="16">
        <f>IF('SOV Setup'!E47="","",'SOV Setup'!E47)</f>
        <v/>
      </c>
      <c r="D47" s="16" t="inlineStr"/>
      <c r="E47" s="16" t="inlineStr"/>
      <c r="F47" s="16" t="inlineStr"/>
      <c r="G47" s="16" t="inlineStr"/>
      <c r="H47" s="16" t="inlineStr"/>
      <c r="I47" s="16" t="inlineStr"/>
      <c r="J47" s="16" t="inlineStr"/>
      <c r="K47" s="16" t="inlineStr"/>
      <c r="L47" s="16" t="inlineStr"/>
      <c r="M47" s="16" t="inlineStr"/>
      <c r="N47" s="16" t="inlineStr"/>
      <c r="O47" s="16" t="inlineStr"/>
      <c r="P47" s="16">
        <f>IF(C47="","",MAX(D47:O47))</f>
        <v/>
      </c>
    </row>
    <row r="48">
      <c r="A48" s="15">
        <f>IF('SOV Setup'!A48="","",'SOV Setup'!A48)</f>
        <v/>
      </c>
      <c r="B48" s="15">
        <f>'SOV Setup'!B48</f>
        <v/>
      </c>
      <c r="C48" s="16">
        <f>IF('SOV Setup'!E48="","",'SOV Setup'!E48)</f>
        <v/>
      </c>
      <c r="D48" s="16" t="inlineStr"/>
      <c r="E48" s="16" t="inlineStr"/>
      <c r="F48" s="16" t="inlineStr"/>
      <c r="G48" s="16" t="inlineStr"/>
      <c r="H48" s="16" t="inlineStr"/>
      <c r="I48" s="16" t="inlineStr"/>
      <c r="J48" s="16" t="inlineStr"/>
      <c r="K48" s="16" t="inlineStr"/>
      <c r="L48" s="16" t="inlineStr"/>
      <c r="M48" s="16" t="inlineStr"/>
      <c r="N48" s="16" t="inlineStr"/>
      <c r="O48" s="16" t="inlineStr"/>
      <c r="P48" s="16">
        <f>IF(C48="","",MAX(D48:O48))</f>
        <v/>
      </c>
    </row>
    <row r="49">
      <c r="A49" s="15">
        <f>IF('SOV Setup'!A49="","",'SOV Setup'!A49)</f>
        <v/>
      </c>
      <c r="B49" s="15">
        <f>'SOV Setup'!B49</f>
        <v/>
      </c>
      <c r="C49" s="16">
        <f>IF('SOV Setup'!E49="","",'SOV Setup'!E49)</f>
        <v/>
      </c>
      <c r="D49" s="16" t="inlineStr"/>
      <c r="E49" s="16" t="inlineStr"/>
      <c r="F49" s="16" t="inlineStr"/>
      <c r="G49" s="16" t="inlineStr"/>
      <c r="H49" s="16" t="inlineStr"/>
      <c r="I49" s="16" t="inlineStr"/>
      <c r="J49" s="16" t="inlineStr"/>
      <c r="K49" s="16" t="inlineStr"/>
      <c r="L49" s="16" t="inlineStr"/>
      <c r="M49" s="16" t="inlineStr"/>
      <c r="N49" s="16" t="inlineStr"/>
      <c r="O49" s="16" t="inlineStr"/>
      <c r="P49" s="16">
        <f>IF(C49="","",MAX(D49:O49))</f>
        <v/>
      </c>
    </row>
    <row r="50">
      <c r="A50" s="15">
        <f>IF('SOV Setup'!A50="","",'SOV Setup'!A50)</f>
        <v/>
      </c>
      <c r="B50" s="15">
        <f>'SOV Setup'!B50</f>
        <v/>
      </c>
      <c r="C50" s="16">
        <f>IF('SOV Setup'!E50="","",'SOV Setup'!E50)</f>
        <v/>
      </c>
      <c r="D50" s="16" t="inlineStr"/>
      <c r="E50" s="16" t="inlineStr"/>
      <c r="F50" s="16" t="inlineStr"/>
      <c r="G50" s="16" t="inlineStr"/>
      <c r="H50" s="16" t="inlineStr"/>
      <c r="I50" s="16" t="inlineStr"/>
      <c r="J50" s="16" t="inlineStr"/>
      <c r="K50" s="16" t="inlineStr"/>
      <c r="L50" s="16" t="inlineStr"/>
      <c r="M50" s="16" t="inlineStr"/>
      <c r="N50" s="16" t="inlineStr"/>
      <c r="O50" s="16" t="inlineStr"/>
      <c r="P50" s="16">
        <f>IF(C50="","",MAX(D50:O50))</f>
        <v/>
      </c>
    </row>
    <row r="51">
      <c r="A51" s="15">
        <f>IF('SOV Setup'!A51="","",'SOV Setup'!A51)</f>
        <v/>
      </c>
      <c r="B51" s="15">
        <f>'SOV Setup'!B51</f>
        <v/>
      </c>
      <c r="C51" s="16">
        <f>IF('SOV Setup'!E51="","",'SOV Setup'!E51)</f>
        <v/>
      </c>
      <c r="D51" s="16" t="inlineStr"/>
      <c r="E51" s="16" t="inlineStr"/>
      <c r="F51" s="16" t="inlineStr"/>
      <c r="G51" s="16" t="inlineStr"/>
      <c r="H51" s="16" t="inlineStr"/>
      <c r="I51" s="16" t="inlineStr"/>
      <c r="J51" s="16" t="inlineStr"/>
      <c r="K51" s="16" t="inlineStr"/>
      <c r="L51" s="16" t="inlineStr"/>
      <c r="M51" s="16" t="inlineStr"/>
      <c r="N51" s="16" t="inlineStr"/>
      <c r="O51" s="16" t="inlineStr"/>
      <c r="P51" s="16">
        <f>IF(C51="","",MAX(D51:O51))</f>
        <v/>
      </c>
    </row>
    <row r="52">
      <c r="A52" s="15">
        <f>IF('SOV Setup'!A52="","",'SOV Setup'!A52)</f>
        <v/>
      </c>
      <c r="B52" s="15">
        <f>'SOV Setup'!B52</f>
        <v/>
      </c>
      <c r="C52" s="16">
        <f>IF('SOV Setup'!E52="","",'SOV Setup'!E52)</f>
        <v/>
      </c>
      <c r="D52" s="16" t="inlineStr"/>
      <c r="E52" s="16" t="inlineStr"/>
      <c r="F52" s="16" t="inlineStr"/>
      <c r="G52" s="16" t="inlineStr"/>
      <c r="H52" s="16" t="inlineStr"/>
      <c r="I52" s="16" t="inlineStr"/>
      <c r="J52" s="16" t="inlineStr"/>
      <c r="K52" s="16" t="inlineStr"/>
      <c r="L52" s="16" t="inlineStr"/>
      <c r="M52" s="16" t="inlineStr"/>
      <c r="N52" s="16" t="inlineStr"/>
      <c r="O52" s="16" t="inlineStr"/>
      <c r="P52" s="16">
        <f>IF(C52="","",MAX(D52:O52))</f>
        <v/>
      </c>
    </row>
    <row r="53">
      <c r="A53" s="15">
        <f>IF('SOV Setup'!A53="","",'SOV Setup'!A53)</f>
        <v/>
      </c>
      <c r="B53" s="15">
        <f>'SOV Setup'!B53</f>
        <v/>
      </c>
      <c r="C53" s="16">
        <f>IF('SOV Setup'!E53="","",'SOV Setup'!E53)</f>
        <v/>
      </c>
      <c r="D53" s="16" t="inlineStr"/>
      <c r="E53" s="16" t="inlineStr"/>
      <c r="F53" s="16" t="inlineStr"/>
      <c r="G53" s="16" t="inlineStr"/>
      <c r="H53" s="16" t="inlineStr"/>
      <c r="I53" s="16" t="inlineStr"/>
      <c r="J53" s="16" t="inlineStr"/>
      <c r="K53" s="16" t="inlineStr"/>
      <c r="L53" s="16" t="inlineStr"/>
      <c r="M53" s="16" t="inlineStr"/>
      <c r="N53" s="16" t="inlineStr"/>
      <c r="O53" s="16" t="inlineStr"/>
      <c r="P53" s="16">
        <f>IF(C53="","",MAX(D53:O53))</f>
        <v/>
      </c>
    </row>
    <row r="54">
      <c r="A54" s="15">
        <f>IF('SOV Setup'!A54="","",'SOV Setup'!A54)</f>
        <v/>
      </c>
      <c r="B54" s="15">
        <f>'SOV Setup'!B54</f>
        <v/>
      </c>
      <c r="C54" s="16">
        <f>IF('SOV Setup'!E54="","",'SOV Setup'!E54)</f>
        <v/>
      </c>
      <c r="D54" s="16" t="inlineStr"/>
      <c r="E54" s="16" t="inlineStr"/>
      <c r="F54" s="16" t="inlineStr"/>
      <c r="G54" s="16" t="inlineStr"/>
      <c r="H54" s="16" t="inlineStr"/>
      <c r="I54" s="16" t="inlineStr"/>
      <c r="J54" s="16" t="inlineStr"/>
      <c r="K54" s="16" t="inlineStr"/>
      <c r="L54" s="16" t="inlineStr"/>
      <c r="M54" s="16" t="inlineStr"/>
      <c r="N54" s="16" t="inlineStr"/>
      <c r="O54" s="16" t="inlineStr"/>
      <c r="P54" s="16">
        <f>IF(C54="","",MAX(D54:O54))</f>
        <v/>
      </c>
    </row>
    <row r="56">
      <c r="B56" s="10" t="inlineStr">
        <is>
          <t>TOTAL</t>
        </is>
      </c>
      <c r="C56" s="18">
        <f>SUM(C5:C54)</f>
        <v/>
      </c>
      <c r="D56" s="18">
        <f>SUM(D5:D54)</f>
        <v/>
      </c>
      <c r="E56" s="18">
        <f>SUM(E5:E54)</f>
        <v/>
      </c>
      <c r="F56" s="18">
        <f>SUM(F5:F54)</f>
        <v/>
      </c>
      <c r="G56" s="18">
        <f>SUM(G5:G54)</f>
        <v/>
      </c>
      <c r="H56" s="18">
        <f>SUM(H5:H54)</f>
        <v/>
      </c>
      <c r="I56" s="18">
        <f>SUM(I5:I54)</f>
        <v/>
      </c>
      <c r="J56" s="18">
        <f>SUM(J5:J54)</f>
        <v/>
      </c>
      <c r="K56" s="18">
        <f>SUM(K5:K54)</f>
        <v/>
      </c>
      <c r="L56" s="18">
        <f>SUM(L5:L54)</f>
        <v/>
      </c>
      <c r="M56" s="18">
        <f>SUM(M5:M54)</f>
        <v/>
      </c>
      <c r="N56" s="18">
        <f>SUM(N5:N54)</f>
        <v/>
      </c>
      <c r="O56" s="18">
        <f>SUM(O5:O54)</f>
        <v/>
      </c>
      <c r="P56" s="18">
        <f>SUM(P5:P54)</f>
        <v/>
      </c>
    </row>
  </sheetData>
  <mergeCells count="2">
    <mergeCell ref="A1:O1"/>
    <mergeCell ref="A2:O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6"/>
  <sheetViews>
    <sheetView showGridLines="0" workbookViewId="0">
      <selection activeCell="A1" sqref="A1"/>
    </sheetView>
  </sheetViews>
  <sheetFormatPr baseColWidth="8" defaultRowHeight="15"/>
  <cols>
    <col width="12" customWidth="1" min="1" max="1"/>
    <col width="12" customWidth="1" min="2" max="2"/>
    <col width="30" customWidth="1" min="3" max="3"/>
    <col width="22" customWidth="1" min="4" max="4"/>
    <col width="14" customWidth="1" min="5" max="5"/>
    <col width="10" customWidth="1" min="6" max="6"/>
    <col width="8" customWidth="1" min="7" max="7"/>
    <col width="12" customWidth="1" min="8" max="8"/>
    <col width="14" customWidth="1" min="9" max="9"/>
    <col width="22" customWidth="1" min="10" max="10"/>
    <col width="10" customWidth="1" min="11" max="11"/>
    <col width="14" customWidth="1" min="12" max="12"/>
    <col width="12" customWidth="1" min="13" max="13"/>
    <col width="14" customWidth="1" min="14" max="14"/>
  </cols>
  <sheetData>
    <row r="1" ht="32" customHeight="1">
      <c r="A1" s="1" t="inlineStr">
        <is>
          <t>STORED MATERIALS LOG</t>
        </is>
      </c>
    </row>
    <row r="2" ht="30" customHeight="1">
      <c r="A2" s="13" t="inlineStr">
        <is>
          <t>Track materials billed-but-not-installed. The GC's pay-app reviewer will require evidence of off-site or on-site storage, dedicated segregation/labeling, insurance coverage, and a supplier lien waiver before approving stored-materials value.</t>
        </is>
      </c>
    </row>
    <row r="4" ht="30" customHeight="1">
      <c r="A4" s="14" t="inlineStr">
        <is>
          <t>Date Added</t>
        </is>
      </c>
      <c r="B4" s="14" t="inlineStr">
        <is>
          <t>SOV Line Ref</t>
        </is>
      </c>
      <c r="C4" s="14" t="inlineStr">
        <is>
          <t>Description</t>
        </is>
      </c>
      <c r="D4" s="14" t="inlineStr">
        <is>
          <t>Supplier</t>
        </is>
      </c>
      <c r="E4" s="14" t="inlineStr">
        <is>
          <t>PO #</t>
        </is>
      </c>
      <c r="F4" s="14" t="inlineStr">
        <is>
          <t>Quantity</t>
        </is>
      </c>
      <c r="G4" s="14" t="inlineStr">
        <is>
          <t>Unit</t>
        </is>
      </c>
      <c r="H4" s="14" t="inlineStr">
        <is>
          <t>Unit Cost</t>
        </is>
      </c>
      <c r="I4" s="14" t="inlineStr">
        <is>
          <t>Total Value ($)</t>
        </is>
      </c>
      <c r="J4" s="14" t="inlineStr">
        <is>
          <t>Storage Location</t>
        </is>
      </c>
      <c r="K4" s="14" t="inlineStr">
        <is>
          <t>Insured?</t>
        </is>
      </c>
      <c r="L4" s="14" t="inlineStr">
        <is>
          <t>Lien Waiver from Supplier?</t>
        </is>
      </c>
      <c r="M4" s="14" t="inlineStr">
        <is>
          <t>Date Installed</t>
        </is>
      </c>
      <c r="N4" s="14" t="inlineStr">
        <is>
          <t>Status</t>
        </is>
      </c>
    </row>
    <row r="5">
      <c r="A5" s="21" t="n"/>
      <c r="B5" s="15" t="n"/>
      <c r="C5" s="15" t="n"/>
      <c r="D5" s="15" t="n"/>
      <c r="E5" s="15" t="n"/>
      <c r="F5" s="15" t="n"/>
      <c r="G5" s="15" t="n"/>
      <c r="H5" s="16" t="n"/>
      <c r="I5" s="16">
        <f>IF(OR(F5="",H5=""),"",F5*H5)</f>
        <v/>
      </c>
      <c r="J5" s="15" t="n"/>
      <c r="K5" s="15" t="n"/>
      <c r="L5" s="15" t="n"/>
      <c r="M5" s="21" t="n"/>
      <c r="N5" s="15" t="n"/>
    </row>
    <row r="6">
      <c r="A6" s="21" t="n"/>
      <c r="B6" s="15" t="n"/>
      <c r="C6" s="15" t="n"/>
      <c r="D6" s="15" t="n"/>
      <c r="E6" s="15" t="n"/>
      <c r="F6" s="15" t="n"/>
      <c r="G6" s="15" t="n"/>
      <c r="H6" s="16" t="n"/>
      <c r="I6" s="16">
        <f>IF(OR(F6="",H6=""),"",F6*H6)</f>
        <v/>
      </c>
      <c r="J6" s="15" t="n"/>
      <c r="K6" s="15" t="n"/>
      <c r="L6" s="15" t="n"/>
      <c r="M6" s="21" t="n"/>
      <c r="N6" s="15" t="n"/>
    </row>
    <row r="7">
      <c r="A7" s="21" t="n"/>
      <c r="B7" s="15" t="n"/>
      <c r="C7" s="15" t="n"/>
      <c r="D7" s="15" t="n"/>
      <c r="E7" s="15" t="n"/>
      <c r="F7" s="15" t="n"/>
      <c r="G7" s="15" t="n"/>
      <c r="H7" s="16" t="n"/>
      <c r="I7" s="16">
        <f>IF(OR(F7="",H7=""),"",F7*H7)</f>
        <v/>
      </c>
      <c r="J7" s="15" t="n"/>
      <c r="K7" s="15" t="n"/>
      <c r="L7" s="15" t="n"/>
      <c r="M7" s="21" t="n"/>
      <c r="N7" s="15" t="n"/>
    </row>
    <row r="8">
      <c r="A8" s="21" t="n"/>
      <c r="B8" s="15" t="n"/>
      <c r="C8" s="15" t="n"/>
      <c r="D8" s="15" t="n"/>
      <c r="E8" s="15" t="n"/>
      <c r="F8" s="15" t="n"/>
      <c r="G8" s="15" t="n"/>
      <c r="H8" s="16" t="n"/>
      <c r="I8" s="16">
        <f>IF(OR(F8="",H8=""),"",F8*H8)</f>
        <v/>
      </c>
      <c r="J8" s="15" t="n"/>
      <c r="K8" s="15" t="n"/>
      <c r="L8" s="15" t="n"/>
      <c r="M8" s="21" t="n"/>
      <c r="N8" s="15" t="n"/>
    </row>
    <row r="9">
      <c r="A9" s="21" t="n"/>
      <c r="B9" s="15" t="n"/>
      <c r="C9" s="15" t="n"/>
      <c r="D9" s="15" t="n"/>
      <c r="E9" s="15" t="n"/>
      <c r="F9" s="15" t="n"/>
      <c r="G9" s="15" t="n"/>
      <c r="H9" s="16" t="n"/>
      <c r="I9" s="16">
        <f>IF(OR(F9="",H9=""),"",F9*H9)</f>
        <v/>
      </c>
      <c r="J9" s="15" t="n"/>
      <c r="K9" s="15" t="n"/>
      <c r="L9" s="15" t="n"/>
      <c r="M9" s="21" t="n"/>
      <c r="N9" s="15" t="n"/>
    </row>
    <row r="10">
      <c r="A10" s="21" t="n"/>
      <c r="B10" s="15" t="n"/>
      <c r="C10" s="15" t="n"/>
      <c r="D10" s="15" t="n"/>
      <c r="E10" s="15" t="n"/>
      <c r="F10" s="15" t="n"/>
      <c r="G10" s="15" t="n"/>
      <c r="H10" s="16" t="n"/>
      <c r="I10" s="16">
        <f>IF(OR(F10="",H10=""),"",F10*H10)</f>
        <v/>
      </c>
      <c r="J10" s="15" t="n"/>
      <c r="K10" s="15" t="n"/>
      <c r="L10" s="15" t="n"/>
      <c r="M10" s="21" t="n"/>
      <c r="N10" s="15" t="n"/>
    </row>
    <row r="11">
      <c r="A11" s="21" t="n"/>
      <c r="B11" s="15" t="n"/>
      <c r="C11" s="15" t="n"/>
      <c r="D11" s="15" t="n"/>
      <c r="E11" s="15" t="n"/>
      <c r="F11" s="15" t="n"/>
      <c r="G11" s="15" t="n"/>
      <c r="H11" s="16" t="n"/>
      <c r="I11" s="16">
        <f>IF(OR(F11="",H11=""),"",F11*H11)</f>
        <v/>
      </c>
      <c r="J11" s="15" t="n"/>
      <c r="K11" s="15" t="n"/>
      <c r="L11" s="15" t="n"/>
      <c r="M11" s="21" t="n"/>
      <c r="N11" s="15" t="n"/>
    </row>
    <row r="12">
      <c r="A12" s="21" t="n"/>
      <c r="B12" s="15" t="n"/>
      <c r="C12" s="15" t="n"/>
      <c r="D12" s="15" t="n"/>
      <c r="E12" s="15" t="n"/>
      <c r="F12" s="15" t="n"/>
      <c r="G12" s="15" t="n"/>
      <c r="H12" s="16" t="n"/>
      <c r="I12" s="16">
        <f>IF(OR(F12="",H12=""),"",F12*H12)</f>
        <v/>
      </c>
      <c r="J12" s="15" t="n"/>
      <c r="K12" s="15" t="n"/>
      <c r="L12" s="15" t="n"/>
      <c r="M12" s="21" t="n"/>
      <c r="N12" s="15" t="n"/>
    </row>
    <row r="13">
      <c r="A13" s="21" t="n"/>
      <c r="B13" s="15" t="n"/>
      <c r="C13" s="15" t="n"/>
      <c r="D13" s="15" t="n"/>
      <c r="E13" s="15" t="n"/>
      <c r="F13" s="15" t="n"/>
      <c r="G13" s="15" t="n"/>
      <c r="H13" s="16" t="n"/>
      <c r="I13" s="16">
        <f>IF(OR(F13="",H13=""),"",F13*H13)</f>
        <v/>
      </c>
      <c r="J13" s="15" t="n"/>
      <c r="K13" s="15" t="n"/>
      <c r="L13" s="15" t="n"/>
      <c r="M13" s="21" t="n"/>
      <c r="N13" s="15" t="n"/>
    </row>
    <row r="14">
      <c r="A14" s="21" t="n"/>
      <c r="B14" s="15" t="n"/>
      <c r="C14" s="15" t="n"/>
      <c r="D14" s="15" t="n"/>
      <c r="E14" s="15" t="n"/>
      <c r="F14" s="15" t="n"/>
      <c r="G14" s="15" t="n"/>
      <c r="H14" s="16" t="n"/>
      <c r="I14" s="16">
        <f>IF(OR(F14="",H14=""),"",F14*H14)</f>
        <v/>
      </c>
      <c r="J14" s="15" t="n"/>
      <c r="K14" s="15" t="n"/>
      <c r="L14" s="15" t="n"/>
      <c r="M14" s="21" t="n"/>
      <c r="N14" s="15" t="n"/>
    </row>
    <row r="15">
      <c r="A15" s="21" t="n"/>
      <c r="B15" s="15" t="n"/>
      <c r="C15" s="15" t="n"/>
      <c r="D15" s="15" t="n"/>
      <c r="E15" s="15" t="n"/>
      <c r="F15" s="15" t="n"/>
      <c r="G15" s="15" t="n"/>
      <c r="H15" s="16" t="n"/>
      <c r="I15" s="16">
        <f>IF(OR(F15="",H15=""),"",F15*H15)</f>
        <v/>
      </c>
      <c r="J15" s="15" t="n"/>
      <c r="K15" s="15" t="n"/>
      <c r="L15" s="15" t="n"/>
      <c r="M15" s="21" t="n"/>
      <c r="N15" s="15" t="n"/>
    </row>
    <row r="16">
      <c r="A16" s="21" t="n"/>
      <c r="B16" s="15" t="n"/>
      <c r="C16" s="15" t="n"/>
      <c r="D16" s="15" t="n"/>
      <c r="E16" s="15" t="n"/>
      <c r="F16" s="15" t="n"/>
      <c r="G16" s="15" t="n"/>
      <c r="H16" s="16" t="n"/>
      <c r="I16" s="16">
        <f>IF(OR(F16="",H16=""),"",F16*H16)</f>
        <v/>
      </c>
      <c r="J16" s="15" t="n"/>
      <c r="K16" s="15" t="n"/>
      <c r="L16" s="15" t="n"/>
      <c r="M16" s="21" t="n"/>
      <c r="N16" s="15" t="n"/>
    </row>
    <row r="17">
      <c r="A17" s="21" t="n"/>
      <c r="B17" s="15" t="n"/>
      <c r="C17" s="15" t="n"/>
      <c r="D17" s="15" t="n"/>
      <c r="E17" s="15" t="n"/>
      <c r="F17" s="15" t="n"/>
      <c r="G17" s="15" t="n"/>
      <c r="H17" s="16" t="n"/>
      <c r="I17" s="16">
        <f>IF(OR(F17="",H17=""),"",F17*H17)</f>
        <v/>
      </c>
      <c r="J17" s="15" t="n"/>
      <c r="K17" s="15" t="n"/>
      <c r="L17" s="15" t="n"/>
      <c r="M17" s="21" t="n"/>
      <c r="N17" s="15" t="n"/>
    </row>
    <row r="18">
      <c r="A18" s="21" t="n"/>
      <c r="B18" s="15" t="n"/>
      <c r="C18" s="15" t="n"/>
      <c r="D18" s="15" t="n"/>
      <c r="E18" s="15" t="n"/>
      <c r="F18" s="15" t="n"/>
      <c r="G18" s="15" t="n"/>
      <c r="H18" s="16" t="n"/>
      <c r="I18" s="16">
        <f>IF(OR(F18="",H18=""),"",F18*H18)</f>
        <v/>
      </c>
      <c r="J18" s="15" t="n"/>
      <c r="K18" s="15" t="n"/>
      <c r="L18" s="15" t="n"/>
      <c r="M18" s="21" t="n"/>
      <c r="N18" s="15" t="n"/>
    </row>
    <row r="19">
      <c r="A19" s="21" t="n"/>
      <c r="B19" s="15" t="n"/>
      <c r="C19" s="15" t="n"/>
      <c r="D19" s="15" t="n"/>
      <c r="E19" s="15" t="n"/>
      <c r="F19" s="15" t="n"/>
      <c r="G19" s="15" t="n"/>
      <c r="H19" s="16" t="n"/>
      <c r="I19" s="16">
        <f>IF(OR(F19="",H19=""),"",F19*H19)</f>
        <v/>
      </c>
      <c r="J19" s="15" t="n"/>
      <c r="K19" s="15" t="n"/>
      <c r="L19" s="15" t="n"/>
      <c r="M19" s="21" t="n"/>
      <c r="N19" s="15" t="n"/>
    </row>
    <row r="20">
      <c r="A20" s="21" t="n"/>
      <c r="B20" s="15" t="n"/>
      <c r="C20" s="15" t="n"/>
      <c r="D20" s="15" t="n"/>
      <c r="E20" s="15" t="n"/>
      <c r="F20" s="15" t="n"/>
      <c r="G20" s="15" t="n"/>
      <c r="H20" s="16" t="n"/>
      <c r="I20" s="16">
        <f>IF(OR(F20="",H20=""),"",F20*H20)</f>
        <v/>
      </c>
      <c r="J20" s="15" t="n"/>
      <c r="K20" s="15" t="n"/>
      <c r="L20" s="15" t="n"/>
      <c r="M20" s="21" t="n"/>
      <c r="N20" s="15" t="n"/>
    </row>
    <row r="21">
      <c r="A21" s="21" t="n"/>
      <c r="B21" s="15" t="n"/>
      <c r="C21" s="15" t="n"/>
      <c r="D21" s="15" t="n"/>
      <c r="E21" s="15" t="n"/>
      <c r="F21" s="15" t="n"/>
      <c r="G21" s="15" t="n"/>
      <c r="H21" s="16" t="n"/>
      <c r="I21" s="16">
        <f>IF(OR(F21="",H21=""),"",F21*H21)</f>
        <v/>
      </c>
      <c r="J21" s="15" t="n"/>
      <c r="K21" s="15" t="n"/>
      <c r="L21" s="15" t="n"/>
      <c r="M21" s="21" t="n"/>
      <c r="N21" s="15" t="n"/>
    </row>
    <row r="22">
      <c r="A22" s="21" t="n"/>
      <c r="B22" s="15" t="n"/>
      <c r="C22" s="15" t="n"/>
      <c r="D22" s="15" t="n"/>
      <c r="E22" s="15" t="n"/>
      <c r="F22" s="15" t="n"/>
      <c r="G22" s="15" t="n"/>
      <c r="H22" s="16" t="n"/>
      <c r="I22" s="16">
        <f>IF(OR(F22="",H22=""),"",F22*H22)</f>
        <v/>
      </c>
      <c r="J22" s="15" t="n"/>
      <c r="K22" s="15" t="n"/>
      <c r="L22" s="15" t="n"/>
      <c r="M22" s="21" t="n"/>
      <c r="N22" s="15" t="n"/>
    </row>
    <row r="23">
      <c r="A23" s="21" t="n"/>
      <c r="B23" s="15" t="n"/>
      <c r="C23" s="15" t="n"/>
      <c r="D23" s="15" t="n"/>
      <c r="E23" s="15" t="n"/>
      <c r="F23" s="15" t="n"/>
      <c r="G23" s="15" t="n"/>
      <c r="H23" s="16" t="n"/>
      <c r="I23" s="16">
        <f>IF(OR(F23="",H23=""),"",F23*H23)</f>
        <v/>
      </c>
      <c r="J23" s="15" t="n"/>
      <c r="K23" s="15" t="n"/>
      <c r="L23" s="15" t="n"/>
      <c r="M23" s="21" t="n"/>
      <c r="N23" s="15" t="n"/>
    </row>
    <row r="24">
      <c r="A24" s="21" t="n"/>
      <c r="B24" s="15" t="n"/>
      <c r="C24" s="15" t="n"/>
      <c r="D24" s="15" t="n"/>
      <c r="E24" s="15" t="n"/>
      <c r="F24" s="15" t="n"/>
      <c r="G24" s="15" t="n"/>
      <c r="H24" s="16" t="n"/>
      <c r="I24" s="16">
        <f>IF(OR(F24="",H24=""),"",F24*H24)</f>
        <v/>
      </c>
      <c r="J24" s="15" t="n"/>
      <c r="K24" s="15" t="n"/>
      <c r="L24" s="15" t="n"/>
      <c r="M24" s="21" t="n"/>
      <c r="N24" s="15" t="n"/>
    </row>
    <row r="25">
      <c r="A25" s="21" t="n"/>
      <c r="B25" s="15" t="n"/>
      <c r="C25" s="15" t="n"/>
      <c r="D25" s="15" t="n"/>
      <c r="E25" s="15" t="n"/>
      <c r="F25" s="15" t="n"/>
      <c r="G25" s="15" t="n"/>
      <c r="H25" s="16" t="n"/>
      <c r="I25" s="16">
        <f>IF(OR(F25="",H25=""),"",F25*H25)</f>
        <v/>
      </c>
      <c r="J25" s="15" t="n"/>
      <c r="K25" s="15" t="n"/>
      <c r="L25" s="15" t="n"/>
      <c r="M25" s="21" t="n"/>
      <c r="N25" s="15" t="n"/>
    </row>
    <row r="26">
      <c r="A26" s="21" t="n"/>
      <c r="B26" s="15" t="n"/>
      <c r="C26" s="15" t="n"/>
      <c r="D26" s="15" t="n"/>
      <c r="E26" s="15" t="n"/>
      <c r="F26" s="15" t="n"/>
      <c r="G26" s="15" t="n"/>
      <c r="H26" s="16" t="n"/>
      <c r="I26" s="16">
        <f>IF(OR(F26="",H26=""),"",F26*H26)</f>
        <v/>
      </c>
      <c r="J26" s="15" t="n"/>
      <c r="K26" s="15" t="n"/>
      <c r="L26" s="15" t="n"/>
      <c r="M26" s="21" t="n"/>
      <c r="N26" s="15" t="n"/>
    </row>
    <row r="27">
      <c r="A27" s="21" t="n"/>
      <c r="B27" s="15" t="n"/>
      <c r="C27" s="15" t="n"/>
      <c r="D27" s="15" t="n"/>
      <c r="E27" s="15" t="n"/>
      <c r="F27" s="15" t="n"/>
      <c r="G27" s="15" t="n"/>
      <c r="H27" s="16" t="n"/>
      <c r="I27" s="16">
        <f>IF(OR(F27="",H27=""),"",F27*H27)</f>
        <v/>
      </c>
      <c r="J27" s="15" t="n"/>
      <c r="K27" s="15" t="n"/>
      <c r="L27" s="15" t="n"/>
      <c r="M27" s="21" t="n"/>
      <c r="N27" s="15" t="n"/>
    </row>
    <row r="28">
      <c r="A28" s="21" t="n"/>
      <c r="B28" s="15" t="n"/>
      <c r="C28" s="15" t="n"/>
      <c r="D28" s="15" t="n"/>
      <c r="E28" s="15" t="n"/>
      <c r="F28" s="15" t="n"/>
      <c r="G28" s="15" t="n"/>
      <c r="H28" s="16" t="n"/>
      <c r="I28" s="16">
        <f>IF(OR(F28="",H28=""),"",F28*H28)</f>
        <v/>
      </c>
      <c r="J28" s="15" t="n"/>
      <c r="K28" s="15" t="n"/>
      <c r="L28" s="15" t="n"/>
      <c r="M28" s="21" t="n"/>
      <c r="N28" s="15" t="n"/>
    </row>
    <row r="29">
      <c r="A29" s="21" t="n"/>
      <c r="B29" s="15" t="n"/>
      <c r="C29" s="15" t="n"/>
      <c r="D29" s="15" t="n"/>
      <c r="E29" s="15" t="n"/>
      <c r="F29" s="15" t="n"/>
      <c r="G29" s="15" t="n"/>
      <c r="H29" s="16" t="n"/>
      <c r="I29" s="16">
        <f>IF(OR(F29="",H29=""),"",F29*H29)</f>
        <v/>
      </c>
      <c r="J29" s="15" t="n"/>
      <c r="K29" s="15" t="n"/>
      <c r="L29" s="15" t="n"/>
      <c r="M29" s="21" t="n"/>
      <c r="N29" s="15" t="n"/>
    </row>
    <row r="30">
      <c r="A30" s="21" t="n"/>
      <c r="B30" s="15" t="n"/>
      <c r="C30" s="15" t="n"/>
      <c r="D30" s="15" t="n"/>
      <c r="E30" s="15" t="n"/>
      <c r="F30" s="15" t="n"/>
      <c r="G30" s="15" t="n"/>
      <c r="H30" s="16" t="n"/>
      <c r="I30" s="16">
        <f>IF(OR(F30="",H30=""),"",F30*H30)</f>
        <v/>
      </c>
      <c r="J30" s="15" t="n"/>
      <c r="K30" s="15" t="n"/>
      <c r="L30" s="15" t="n"/>
      <c r="M30" s="21" t="n"/>
      <c r="N30" s="15" t="n"/>
    </row>
    <row r="31">
      <c r="A31" s="21" t="n"/>
      <c r="B31" s="15" t="n"/>
      <c r="C31" s="15" t="n"/>
      <c r="D31" s="15" t="n"/>
      <c r="E31" s="15" t="n"/>
      <c r="F31" s="15" t="n"/>
      <c r="G31" s="15" t="n"/>
      <c r="H31" s="16" t="n"/>
      <c r="I31" s="16">
        <f>IF(OR(F31="",H31=""),"",F31*H31)</f>
        <v/>
      </c>
      <c r="J31" s="15" t="n"/>
      <c r="K31" s="15" t="n"/>
      <c r="L31" s="15" t="n"/>
      <c r="M31" s="21" t="n"/>
      <c r="N31" s="15" t="n"/>
    </row>
    <row r="32">
      <c r="A32" s="21" t="n"/>
      <c r="B32" s="15" t="n"/>
      <c r="C32" s="15" t="n"/>
      <c r="D32" s="15" t="n"/>
      <c r="E32" s="15" t="n"/>
      <c r="F32" s="15" t="n"/>
      <c r="G32" s="15" t="n"/>
      <c r="H32" s="16" t="n"/>
      <c r="I32" s="16">
        <f>IF(OR(F32="",H32=""),"",F32*H32)</f>
        <v/>
      </c>
      <c r="J32" s="15" t="n"/>
      <c r="K32" s="15" t="n"/>
      <c r="L32" s="15" t="n"/>
      <c r="M32" s="21" t="n"/>
      <c r="N32" s="15" t="n"/>
    </row>
    <row r="33">
      <c r="A33" s="21" t="n"/>
      <c r="B33" s="15" t="n"/>
      <c r="C33" s="15" t="n"/>
      <c r="D33" s="15" t="n"/>
      <c r="E33" s="15" t="n"/>
      <c r="F33" s="15" t="n"/>
      <c r="G33" s="15" t="n"/>
      <c r="H33" s="16" t="n"/>
      <c r="I33" s="16">
        <f>IF(OR(F33="",H33=""),"",F33*H33)</f>
        <v/>
      </c>
      <c r="J33" s="15" t="n"/>
      <c r="K33" s="15" t="n"/>
      <c r="L33" s="15" t="n"/>
      <c r="M33" s="21" t="n"/>
      <c r="N33" s="15" t="n"/>
    </row>
    <row r="34">
      <c r="A34" s="21" t="n"/>
      <c r="B34" s="15" t="n"/>
      <c r="C34" s="15" t="n"/>
      <c r="D34" s="15" t="n"/>
      <c r="E34" s="15" t="n"/>
      <c r="F34" s="15" t="n"/>
      <c r="G34" s="15" t="n"/>
      <c r="H34" s="16" t="n"/>
      <c r="I34" s="16">
        <f>IF(OR(F34="",H34=""),"",F34*H34)</f>
        <v/>
      </c>
      <c r="J34" s="15" t="n"/>
      <c r="K34" s="15" t="n"/>
      <c r="L34" s="15" t="n"/>
      <c r="M34" s="21" t="n"/>
      <c r="N34" s="15" t="n"/>
    </row>
    <row r="35">
      <c r="A35" s="21" t="n"/>
      <c r="B35" s="15" t="n"/>
      <c r="C35" s="15" t="n"/>
      <c r="D35" s="15" t="n"/>
      <c r="E35" s="15" t="n"/>
      <c r="F35" s="15" t="n"/>
      <c r="G35" s="15" t="n"/>
      <c r="H35" s="16" t="n"/>
      <c r="I35" s="16">
        <f>IF(OR(F35="",H35=""),"",F35*H35)</f>
        <v/>
      </c>
      <c r="J35" s="15" t="n"/>
      <c r="K35" s="15" t="n"/>
      <c r="L35" s="15" t="n"/>
      <c r="M35" s="21" t="n"/>
      <c r="N35" s="15" t="n"/>
    </row>
    <row r="36">
      <c r="A36" s="21" t="n"/>
      <c r="B36" s="15" t="n"/>
      <c r="C36" s="15" t="n"/>
      <c r="D36" s="15" t="n"/>
      <c r="E36" s="15" t="n"/>
      <c r="F36" s="15" t="n"/>
      <c r="G36" s="15" t="n"/>
      <c r="H36" s="16" t="n"/>
      <c r="I36" s="16">
        <f>IF(OR(F36="",H36=""),"",F36*H36)</f>
        <v/>
      </c>
      <c r="J36" s="15" t="n"/>
      <c r="K36" s="15" t="n"/>
      <c r="L36" s="15" t="n"/>
      <c r="M36" s="21" t="n"/>
      <c r="N36" s="15" t="n"/>
    </row>
    <row r="37">
      <c r="A37" s="21" t="n"/>
      <c r="B37" s="15" t="n"/>
      <c r="C37" s="15" t="n"/>
      <c r="D37" s="15" t="n"/>
      <c r="E37" s="15" t="n"/>
      <c r="F37" s="15" t="n"/>
      <c r="G37" s="15" t="n"/>
      <c r="H37" s="16" t="n"/>
      <c r="I37" s="16">
        <f>IF(OR(F37="",H37=""),"",F37*H37)</f>
        <v/>
      </c>
      <c r="J37" s="15" t="n"/>
      <c r="K37" s="15" t="n"/>
      <c r="L37" s="15" t="n"/>
      <c r="M37" s="21" t="n"/>
      <c r="N37" s="15" t="n"/>
    </row>
    <row r="38">
      <c r="A38" s="21" t="n"/>
      <c r="B38" s="15" t="n"/>
      <c r="C38" s="15" t="n"/>
      <c r="D38" s="15" t="n"/>
      <c r="E38" s="15" t="n"/>
      <c r="F38" s="15" t="n"/>
      <c r="G38" s="15" t="n"/>
      <c r="H38" s="16" t="n"/>
      <c r="I38" s="16">
        <f>IF(OR(F38="",H38=""),"",F38*H38)</f>
        <v/>
      </c>
      <c r="J38" s="15" t="n"/>
      <c r="K38" s="15" t="n"/>
      <c r="L38" s="15" t="n"/>
      <c r="M38" s="21" t="n"/>
      <c r="N38" s="15" t="n"/>
    </row>
    <row r="39">
      <c r="A39" s="21" t="n"/>
      <c r="B39" s="15" t="n"/>
      <c r="C39" s="15" t="n"/>
      <c r="D39" s="15" t="n"/>
      <c r="E39" s="15" t="n"/>
      <c r="F39" s="15" t="n"/>
      <c r="G39" s="15" t="n"/>
      <c r="H39" s="16" t="n"/>
      <c r="I39" s="16">
        <f>IF(OR(F39="",H39=""),"",F39*H39)</f>
        <v/>
      </c>
      <c r="J39" s="15" t="n"/>
      <c r="K39" s="15" t="n"/>
      <c r="L39" s="15" t="n"/>
      <c r="M39" s="21" t="n"/>
      <c r="N39" s="15" t="n"/>
    </row>
    <row r="40">
      <c r="A40" s="21" t="n"/>
      <c r="B40" s="15" t="n"/>
      <c r="C40" s="15" t="n"/>
      <c r="D40" s="15" t="n"/>
      <c r="E40" s="15" t="n"/>
      <c r="F40" s="15" t="n"/>
      <c r="G40" s="15" t="n"/>
      <c r="H40" s="16" t="n"/>
      <c r="I40" s="16">
        <f>IF(OR(F40="",H40=""),"",F40*H40)</f>
        <v/>
      </c>
      <c r="J40" s="15" t="n"/>
      <c r="K40" s="15" t="n"/>
      <c r="L40" s="15" t="n"/>
      <c r="M40" s="21" t="n"/>
      <c r="N40" s="15" t="n"/>
    </row>
    <row r="41">
      <c r="A41" s="21" t="n"/>
      <c r="B41" s="15" t="n"/>
      <c r="C41" s="15" t="n"/>
      <c r="D41" s="15" t="n"/>
      <c r="E41" s="15" t="n"/>
      <c r="F41" s="15" t="n"/>
      <c r="G41" s="15" t="n"/>
      <c r="H41" s="16" t="n"/>
      <c r="I41" s="16">
        <f>IF(OR(F41="",H41=""),"",F41*H41)</f>
        <v/>
      </c>
      <c r="J41" s="15" t="n"/>
      <c r="K41" s="15" t="n"/>
      <c r="L41" s="15" t="n"/>
      <c r="M41" s="21" t="n"/>
      <c r="N41" s="15" t="n"/>
    </row>
    <row r="42">
      <c r="A42" s="21" t="n"/>
      <c r="B42" s="15" t="n"/>
      <c r="C42" s="15" t="n"/>
      <c r="D42" s="15" t="n"/>
      <c r="E42" s="15" t="n"/>
      <c r="F42" s="15" t="n"/>
      <c r="G42" s="15" t="n"/>
      <c r="H42" s="16" t="n"/>
      <c r="I42" s="16">
        <f>IF(OR(F42="",H42=""),"",F42*H42)</f>
        <v/>
      </c>
      <c r="J42" s="15" t="n"/>
      <c r="K42" s="15" t="n"/>
      <c r="L42" s="15" t="n"/>
      <c r="M42" s="21" t="n"/>
      <c r="N42" s="15" t="n"/>
    </row>
    <row r="43">
      <c r="A43" s="21" t="n"/>
      <c r="B43" s="15" t="n"/>
      <c r="C43" s="15" t="n"/>
      <c r="D43" s="15" t="n"/>
      <c r="E43" s="15" t="n"/>
      <c r="F43" s="15" t="n"/>
      <c r="G43" s="15" t="n"/>
      <c r="H43" s="16" t="n"/>
      <c r="I43" s="16">
        <f>IF(OR(F43="",H43=""),"",F43*H43)</f>
        <v/>
      </c>
      <c r="J43" s="15" t="n"/>
      <c r="K43" s="15" t="n"/>
      <c r="L43" s="15" t="n"/>
      <c r="M43" s="21" t="n"/>
      <c r="N43" s="15" t="n"/>
    </row>
    <row r="44">
      <c r="A44" s="21" t="n"/>
      <c r="B44" s="15" t="n"/>
      <c r="C44" s="15" t="n"/>
      <c r="D44" s="15" t="n"/>
      <c r="E44" s="15" t="n"/>
      <c r="F44" s="15" t="n"/>
      <c r="G44" s="15" t="n"/>
      <c r="H44" s="16" t="n"/>
      <c r="I44" s="16">
        <f>IF(OR(F44="",H44=""),"",F44*H44)</f>
        <v/>
      </c>
      <c r="J44" s="15" t="n"/>
      <c r="K44" s="15" t="n"/>
      <c r="L44" s="15" t="n"/>
      <c r="M44" s="21" t="n"/>
      <c r="N44" s="15" t="n"/>
    </row>
    <row r="46">
      <c r="B46" s="10" t="inlineStr">
        <is>
          <t>TOTAL</t>
        </is>
      </c>
      <c r="I46" s="18">
        <f>SUM(I5:I44)</f>
        <v/>
      </c>
    </row>
  </sheetData>
  <mergeCells count="2">
    <mergeCell ref="A2:N2"/>
    <mergeCell ref="A1:N1"/>
  </mergeCells>
  <dataValidations count="2">
    <dataValidation sqref="K5:K44 L5:L44" showDropDown="0" showInputMessage="0" showErrorMessage="0" allowBlank="1" type="list">
      <formula1>"Yes,No,Pending"</formula1>
    </dataValidation>
    <dataValidation sqref="N5:N44" showDropDown="0" showInputMessage="0" showErrorMessage="0" allowBlank="1" type="list">
      <formula1>"On Site,Off Site Bonded Warehouse,In Transit,Installed,Returned"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8"/>
  <sheetViews>
    <sheetView showGridLines="0" workbookViewId="0">
      <selection activeCell="A1" sqref="A1"/>
    </sheetView>
  </sheetViews>
  <sheetFormatPr baseColWidth="8" defaultRowHeight="15"/>
  <cols>
    <col width="10" customWidth="1" min="1" max="1"/>
    <col width="60" customWidth="1" min="2" max="2"/>
  </cols>
  <sheetData>
    <row r="1">
      <c r="A1" s="9" t="inlineStr">
        <is>
          <t>CSI MasterFormat Divisions</t>
        </is>
      </c>
    </row>
    <row r="3">
      <c r="A3" s="22" t="inlineStr">
        <is>
          <t>Div</t>
        </is>
      </c>
      <c r="B3" s="22" t="inlineStr">
        <is>
          <t>Name</t>
        </is>
      </c>
    </row>
    <row r="4">
      <c r="A4" s="5" t="inlineStr">
        <is>
          <t>01</t>
        </is>
      </c>
      <c r="B4" s="5" t="inlineStr">
        <is>
          <t>General Requirements</t>
        </is>
      </c>
    </row>
    <row r="5">
      <c r="A5" s="5" t="inlineStr">
        <is>
          <t>02</t>
        </is>
      </c>
      <c r="B5" s="5" t="inlineStr">
        <is>
          <t>Existing Conditions</t>
        </is>
      </c>
    </row>
    <row r="6">
      <c r="A6" s="5" t="inlineStr">
        <is>
          <t>03</t>
        </is>
      </c>
      <c r="B6" s="5" t="inlineStr">
        <is>
          <t>Concrete</t>
        </is>
      </c>
    </row>
    <row r="7">
      <c r="A7" s="5" t="inlineStr">
        <is>
          <t>04</t>
        </is>
      </c>
      <c r="B7" s="5" t="inlineStr">
        <is>
          <t>Masonry</t>
        </is>
      </c>
    </row>
    <row r="8">
      <c r="A8" s="5" t="inlineStr">
        <is>
          <t>05</t>
        </is>
      </c>
      <c r="B8" s="5" t="inlineStr">
        <is>
          <t>Metals</t>
        </is>
      </c>
    </row>
    <row r="9">
      <c r="A9" s="5" t="inlineStr">
        <is>
          <t>06</t>
        </is>
      </c>
      <c r="B9" s="5" t="inlineStr">
        <is>
          <t>Wood, Plastics, and Composites</t>
        </is>
      </c>
    </row>
    <row r="10">
      <c r="A10" s="5" t="inlineStr">
        <is>
          <t>07</t>
        </is>
      </c>
      <c r="B10" s="5" t="inlineStr">
        <is>
          <t>Thermal and Moisture Protection</t>
        </is>
      </c>
    </row>
    <row r="11">
      <c r="A11" s="5" t="inlineStr">
        <is>
          <t>08</t>
        </is>
      </c>
      <c r="B11" s="5" t="inlineStr">
        <is>
          <t>Openings</t>
        </is>
      </c>
    </row>
    <row r="12">
      <c r="A12" s="5" t="inlineStr">
        <is>
          <t>09</t>
        </is>
      </c>
      <c r="B12" s="5" t="inlineStr">
        <is>
          <t>Finishes</t>
        </is>
      </c>
    </row>
    <row r="13">
      <c r="A13" s="5" t="inlineStr">
        <is>
          <t>10</t>
        </is>
      </c>
      <c r="B13" s="5" t="inlineStr">
        <is>
          <t>Specialties</t>
        </is>
      </c>
    </row>
    <row r="14">
      <c r="A14" s="5" t="inlineStr">
        <is>
          <t>11</t>
        </is>
      </c>
      <c r="B14" s="5" t="inlineStr">
        <is>
          <t>Equipment</t>
        </is>
      </c>
    </row>
    <row r="15">
      <c r="A15" s="5" t="inlineStr">
        <is>
          <t>12</t>
        </is>
      </c>
      <c r="B15" s="5" t="inlineStr">
        <is>
          <t>Furnishings</t>
        </is>
      </c>
    </row>
    <row r="16">
      <c r="A16" s="5" t="inlineStr">
        <is>
          <t>13</t>
        </is>
      </c>
      <c r="B16" s="5" t="inlineStr">
        <is>
          <t>Special Construction</t>
        </is>
      </c>
    </row>
    <row r="17">
      <c r="A17" s="5" t="inlineStr">
        <is>
          <t>14</t>
        </is>
      </c>
      <c r="B17" s="5" t="inlineStr">
        <is>
          <t>Conveying Equipment</t>
        </is>
      </c>
    </row>
    <row r="18">
      <c r="A18" s="5" t="inlineStr">
        <is>
          <t>21</t>
        </is>
      </c>
      <c r="B18" s="5" t="inlineStr">
        <is>
          <t>Fire Suppression</t>
        </is>
      </c>
    </row>
    <row r="19">
      <c r="A19" s="5" t="inlineStr">
        <is>
          <t>22</t>
        </is>
      </c>
      <c r="B19" s="5" t="inlineStr">
        <is>
          <t>Plumbing</t>
        </is>
      </c>
    </row>
    <row r="20">
      <c r="A20" s="5" t="inlineStr">
        <is>
          <t>23</t>
        </is>
      </c>
      <c r="B20" s="5" t="inlineStr">
        <is>
          <t>HVAC</t>
        </is>
      </c>
    </row>
    <row r="21">
      <c r="A21" s="5" t="inlineStr">
        <is>
          <t>25</t>
        </is>
      </c>
      <c r="B21" s="5" t="inlineStr">
        <is>
          <t>Integrated Automation</t>
        </is>
      </c>
    </row>
    <row r="22">
      <c r="A22" s="5" t="inlineStr">
        <is>
          <t>26</t>
        </is>
      </c>
      <c r="B22" s="5" t="inlineStr">
        <is>
          <t>Electrical</t>
        </is>
      </c>
    </row>
    <row r="23">
      <c r="A23" s="5" t="inlineStr">
        <is>
          <t>27</t>
        </is>
      </c>
      <c r="B23" s="5" t="inlineStr">
        <is>
          <t>Communications</t>
        </is>
      </c>
    </row>
    <row r="24">
      <c r="A24" s="5" t="inlineStr">
        <is>
          <t>28</t>
        </is>
      </c>
      <c r="B24" s="5" t="inlineStr">
        <is>
          <t>Electronic Safety and Security</t>
        </is>
      </c>
    </row>
    <row r="25">
      <c r="A25" s="5" t="inlineStr">
        <is>
          <t>31</t>
        </is>
      </c>
      <c r="B25" s="5" t="inlineStr">
        <is>
          <t>Earthwork</t>
        </is>
      </c>
    </row>
    <row r="26">
      <c r="A26" s="5" t="inlineStr">
        <is>
          <t>32</t>
        </is>
      </c>
      <c r="B26" s="5" t="inlineStr">
        <is>
          <t>Exterior Improvements</t>
        </is>
      </c>
    </row>
    <row r="27">
      <c r="A27" s="5" t="inlineStr">
        <is>
          <t>33</t>
        </is>
      </c>
      <c r="B27" s="5" t="inlineStr">
        <is>
          <t>Utilities</t>
        </is>
      </c>
    </row>
    <row r="28">
      <c r="A28" s="5" t="inlineStr">
        <is>
          <t>34</t>
        </is>
      </c>
      <c r="B28" s="5" t="inlineStr">
        <is>
          <t>Transportation</t>
        </is>
      </c>
    </row>
    <row r="29">
      <c r="A29" s="5" t="inlineStr">
        <is>
          <t>35</t>
        </is>
      </c>
      <c r="B29" s="5" t="inlineStr">
        <is>
          <t>Waterway and Marine Construction</t>
        </is>
      </c>
    </row>
    <row r="30">
      <c r="A30" s="5" t="inlineStr">
        <is>
          <t>40</t>
        </is>
      </c>
      <c r="B30" s="5" t="inlineStr">
        <is>
          <t>Process Interconnections</t>
        </is>
      </c>
    </row>
    <row r="31">
      <c r="A31" s="5" t="inlineStr">
        <is>
          <t>41</t>
        </is>
      </c>
      <c r="B31" s="5" t="inlineStr">
        <is>
          <t>Material Processing and Handling Equipment</t>
        </is>
      </c>
    </row>
    <row r="32">
      <c r="A32" s="5" t="inlineStr">
        <is>
          <t>42</t>
        </is>
      </c>
      <c r="B32" s="5" t="inlineStr">
        <is>
          <t>Process Heating, Cooling, and Drying Equipment</t>
        </is>
      </c>
    </row>
    <row r="33">
      <c r="A33" s="5" t="inlineStr">
        <is>
          <t>43</t>
        </is>
      </c>
      <c r="B33" s="5" t="inlineStr">
        <is>
          <t>Process Gas and Liquid Handling, Purification, and Storage Equipment</t>
        </is>
      </c>
    </row>
    <row r="34">
      <c r="A34" s="5" t="inlineStr">
        <is>
          <t>44</t>
        </is>
      </c>
      <c r="B34" s="5" t="inlineStr">
        <is>
          <t>Pollution and Waste Control Equipment</t>
        </is>
      </c>
    </row>
    <row r="35">
      <c r="A35" s="5" t="inlineStr">
        <is>
          <t>45</t>
        </is>
      </c>
      <c r="B35" s="5" t="inlineStr">
        <is>
          <t>Industry-Specific Manufacturing Equipment</t>
        </is>
      </c>
    </row>
    <row r="36">
      <c r="A36" s="5" t="inlineStr">
        <is>
          <t>46</t>
        </is>
      </c>
      <c r="B36" s="5" t="inlineStr">
        <is>
          <t>Water and Wastewater Equipment</t>
        </is>
      </c>
    </row>
    <row r="37">
      <c r="A37" s="5" t="inlineStr">
        <is>
          <t>48</t>
        </is>
      </c>
      <c r="B37" s="5" t="inlineStr">
        <is>
          <t>Electrical Power Generation</t>
        </is>
      </c>
    </row>
    <row r="38">
      <c r="A38" s="5" t="inlineStr">
        <is>
          <t>49</t>
        </is>
      </c>
      <c r="B38" s="5" t="inlineStr">
        <is>
          <t>Reserved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2026-05-17T11:51:12Z</dcterms:created>
  <dcterms:modified xmlns:dcterms="http://purl.org/dc/terms/" xmlns:xsi="http://www.w3.org/2001/XMLSchema-instance" xsi:type="dcterms:W3CDTF">2026-05-17T11:51:12Z</dcterms:modified>
</cp:coreProperties>
</file>