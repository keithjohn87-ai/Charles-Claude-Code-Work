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ject Info" sheetId="2" state="visible" r:id="rId2"/>
    <sheet xmlns:r="http://schemas.openxmlformats.org/officeDocument/2006/relationships" name="Wage Determination" sheetId="3" state="visible" r:id="rId3"/>
    <sheet xmlns:r="http://schemas.openxmlformats.org/officeDocument/2006/relationships" name="Workers Master" sheetId="4" state="visible" r:id="rId4"/>
    <sheet xmlns:r="http://schemas.openxmlformats.org/officeDocument/2006/relationships" name="Weekly Payroll" sheetId="5" state="visible" r:id="rId5"/>
    <sheet xmlns:r="http://schemas.openxmlformats.org/officeDocument/2006/relationships" name="Statement of Compliance" sheetId="6" state="visible" r:id="rId6"/>
    <sheet xmlns:r="http://schemas.openxmlformats.org/officeDocument/2006/relationships" name="CSI Reference" sheetId="7" state="hidden" r:id="rId7"/>
  </sheets>
  <definedNames>
    <definedName name="ProjectName">'Project Info'!$C$3</definedName>
    <definedName name="PrimeContractNo">'Project Info'!$C$6</definedName>
    <definedName name="SubName">'Project Info'!$C$8</definedName>
    <definedName name="PayrollNo">'Project Info'!$C$18</definedName>
    <definedName name="WeekEnding">'Project Info'!$C$19</definedName>
    <definedName name="SignatoryName">'Project Info'!$C$20</definedName>
    <definedName name="SignatoryTitle">'Project Info'!$C$21</definedName>
    <definedName name="WDTable">'Wage Determination'!$A$5:$H$29</definedName>
  </definedNames>
  <calcPr calcId="124519" fullCalcOnLoad="1"/>
</workbook>
</file>

<file path=xl/styles.xml><?xml version="1.0" encoding="utf-8"?>
<styleSheet xmlns="http://schemas.openxmlformats.org/spreadsheetml/2006/main">
  <numFmts count="3">
    <numFmt numFmtId="164" formatCode="yyyy-mm-dd"/>
    <numFmt numFmtId="165" formatCode="_($* #,##0.00_);_($* (#,##0.00);_($* &quot;-&quot;??_);_(@_)"/>
    <numFmt numFmtId="166" formatCode="0.0%"/>
  </numFmts>
  <fonts count="7">
    <font>
      <name val="Calibri"/>
      <family val="2"/>
      <color theme="1"/>
      <sz val="11"/>
      <scheme val="minor"/>
    </font>
    <font>
      <name val="Calibri"/>
      <b val="1"/>
      <color rgb="001E3A5F"/>
      <sz val="22"/>
    </font>
    <font>
      <name val="Calibri"/>
      <sz val="11"/>
    </font>
    <font>
      <name val="Calibri"/>
      <b val="1"/>
      <color rgb="001E3A5F"/>
      <sz val="12"/>
    </font>
    <font>
      <name val="Calibri"/>
      <b val="1"/>
      <sz val="11"/>
    </font>
    <font>
      <name val="Calibri"/>
      <i val="1"/>
      <color rgb="00808080"/>
      <sz val="11"/>
    </font>
    <font>
      <name val="Calibri"/>
      <b val="1"/>
      <color rgb="00FFFFFF"/>
      <sz val="11"/>
    </font>
  </fonts>
  <fills count="4">
    <fill>
      <patternFill/>
    </fill>
    <fill>
      <patternFill patternType="gray125"/>
    </fill>
    <fill>
      <patternFill patternType="solid">
        <fgColor rgb="00D6E0EC"/>
      </patternFill>
    </fill>
    <fill>
      <patternFill patternType="solid">
        <fgColor rgb="001E3A5F"/>
      </patternFill>
    </fill>
  </fills>
  <borders count="2">
    <border>
      <left/>
      <right/>
      <top/>
      <bottom/>
      <diagonal/>
    </border>
    <border>
      <left style="thin">
        <color rgb="00B0B7BF"/>
      </left>
      <right style="thin">
        <color rgb="00B0B7BF"/>
      </right>
      <top style="thin">
        <color rgb="00B0B7BF"/>
      </top>
      <bottom style="thin">
        <color rgb="00B0B7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pivotButton="0" quotePrefix="0" xfId="0"/>
    <xf numFmtId="0" fontId="2" fillId="0" borderId="1" pivotButton="0" quotePrefix="0" xfId="0"/>
    <xf numFmtId="164" fontId="2" fillId="0" borderId="1" pivotButton="0" quotePrefix="0" xfId="0"/>
    <xf numFmtId="1" fontId="2" fillId="0" borderId="1" pivotButton="0" quotePrefix="0" xfId="0"/>
    <xf numFmtId="0" fontId="5" fillId="0" borderId="0" pivotButton="0" quotePrefix="0" xfId="0"/>
    <xf numFmtId="0" fontId="6" fillId="3" borderId="1" applyAlignment="1" pivotButton="0" quotePrefix="0" xfId="0">
      <alignment horizontal="center" vertical="center" wrapText="1"/>
    </xf>
    <xf numFmtId="0" fontId="2" fillId="0" borderId="1" applyAlignment="1" pivotButton="0" quotePrefix="0" xfId="0">
      <alignment vertical="center"/>
    </xf>
    <xf numFmtId="165" fontId="2" fillId="0" borderId="1" applyAlignment="1" pivotButton="0" quotePrefix="0" xfId="0">
      <alignment vertical="center"/>
    </xf>
    <xf numFmtId="2" fontId="2" fillId="0" borderId="1" applyAlignment="1" pivotButton="0" quotePrefix="0" xfId="0">
      <alignment vertical="center"/>
    </xf>
    <xf numFmtId="166" fontId="2" fillId="0" borderId="1" applyAlignment="1" pivotButton="0" quotePrefix="0" xfId="0">
      <alignment vertical="center"/>
    </xf>
    <xf numFmtId="164" fontId="2" fillId="0" borderId="1" applyAlignment="1" pivotButton="0" quotePrefix="0" xfId="0">
      <alignment vertical="center"/>
    </xf>
    <xf numFmtId="0" fontId="4" fillId="0" borderId="0" pivotButton="0" quotePrefix="0" xfId="0"/>
    <xf numFmtId="164" fontId="0" fillId="0" borderId="0" pivotButton="0" quotePrefix="0" xfId="0"/>
    <xf numFmtId="0" fontId="4" fillId="2" borderId="0" pivotButton="0" quotePrefix="0" xfId="0"/>
    <xf numFmtId="2" fontId="4" fillId="2" borderId="1" pivotButton="0" quotePrefix="0" xfId="0"/>
    <xf numFmtId="165" fontId="4" fillId="2" borderId="1" pivotButton="0" quotePrefix="0" xfId="0"/>
    <xf numFmtId="0" fontId="4" fillId="0" borderId="0" applyAlignment="1" pivotButton="0" quotePrefix="0" xfId="0">
      <alignment vertical="top" wrapText="1"/>
    </xf>
    <xf numFmtId="0" fontId="3" fillId="0" borderId="0" pivotButton="0" quotePrefix="0" xfId="0"/>
  </cellXfs>
  <cellStyles count="1">
    <cellStyle name="Normal" xfId="0" builtinId="0" hidden="0"/>
  </cellStyles>
  <dxfs count="1">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showGridLines="0" workbookViewId="0">
      <selection activeCell="A1" sqref="A1"/>
    </sheetView>
  </sheetViews>
  <sheetFormatPr baseColWidth="8" defaultRowHeight="15"/>
  <cols>
    <col width="100" customWidth="1" min="1" max="1"/>
  </cols>
  <sheetData>
    <row r="1" ht="36" customHeight="1">
      <c r="A1" s="1" t="inlineStr">
        <is>
          <t>CERTIFIED PAYROLL TRACKER — Instructions</t>
        </is>
      </c>
    </row>
    <row r="2">
      <c r="A2" s="2" t="inlineStr"/>
    </row>
    <row r="3">
      <c r="A3" s="3" t="inlineStr">
        <is>
          <t>WHAT THIS WORKBOOK IS</t>
        </is>
      </c>
    </row>
    <row r="4">
      <c r="A4" s="2" t="inlineStr">
        <is>
          <t>A WH-347-mirror workbook for weekly certified payroll on federal Davis-Bacon and state prevailing-wage projects. The printable Weekly Payroll tab matches the column structure of WH-347 so the sheet can be submitted as the certified payroll OR cross-checked against your accounting system's WH-347 export.</t>
        </is>
      </c>
    </row>
    <row r="5">
      <c r="A5" s="2" t="inlineStr"/>
    </row>
    <row r="6">
      <c r="A6" s="3" t="inlineStr">
        <is>
          <t>USAGE — ONE-TIME SETUP</t>
        </is>
      </c>
    </row>
    <row r="7">
      <c r="A7" s="2" t="inlineStr">
        <is>
          <t>1. Project Info: project name, GC, prime contract number, WD identifying number, sub's PM, Statement-of-Compliance signatory.</t>
        </is>
      </c>
    </row>
    <row r="8">
      <c r="A8" s="2" t="inlineStr">
        <is>
          <t>2. Wage Determination: one row per classification used on this project. Enter the WD Rate (base) and WD Fringe per hour; the workbook will compute OT rate and total hourly cost.</t>
        </is>
      </c>
    </row>
    <row r="9">
      <c r="A9" s="2" t="inlineStr">
        <is>
          <t>3. Workers Master: one row per worker — name, employee ID, classification (validated against the Wage Determination), and any apprenticeship/training program data.</t>
        </is>
      </c>
    </row>
    <row r="10">
      <c r="A10" s="2" t="inlineStr"/>
    </row>
    <row r="11">
      <c r="A11" s="3" t="inlineStr">
        <is>
          <t>USAGE — WEEKLY</t>
        </is>
      </c>
    </row>
    <row r="12">
      <c r="A12" s="2" t="inlineStr">
        <is>
          <t>1. At the end of each workweek, populate the Weekly Payroll tab.</t>
        </is>
      </c>
    </row>
    <row r="13">
      <c r="A13" s="2" t="inlineStr">
        <is>
          <t>2. Each row = one worker. Enter daily hours (ST and OT columns for each day Sun-Sat) and the workbook calculates total hours, gross pay, fringe owed, and net wage.</t>
        </is>
      </c>
    </row>
    <row r="14">
      <c r="A14" s="2" t="inlineStr">
        <is>
          <t>3. Verify the totals against your payroll software.</t>
        </is>
      </c>
    </row>
    <row r="15">
      <c r="A15" s="2" t="inlineStr">
        <is>
          <t>4. Print the Weekly Payroll tab plus the Statement of Compliance tab for the period.</t>
        </is>
      </c>
    </row>
    <row r="16">
      <c r="A16" s="2" t="inlineStr">
        <is>
          <t>5. Statement of Compliance is signed by the authorized officer under penalty of perjury — review before signing.</t>
        </is>
      </c>
    </row>
    <row r="17">
      <c r="A17" s="2" t="inlineStr">
        <is>
          <t>6. Submit to GC within 7 days of the workweek end.</t>
        </is>
      </c>
    </row>
    <row r="18">
      <c r="A18" s="2" t="inlineStr">
        <is>
          <t>7. File a paper copy and a scanned copy; retain for 3 years from contract completion (longer for some states — confirm).</t>
        </is>
      </c>
    </row>
    <row r="19">
      <c r="A19" s="2" t="inlineStr"/>
    </row>
    <row r="20">
      <c r="A20" s="3" t="inlineStr">
        <is>
          <t>MULTIPLE WEEKS</t>
        </is>
      </c>
    </row>
    <row r="21">
      <c r="A21" s="2" t="inlineStr">
        <is>
          <t>The Weekly Payroll tab supports one week per use. For multiple weeks, duplicate this workbook (one file per week) or duplicate the tab inside one workbook (one tab per week). The Workers Master and Wage Determination tabs are the same across weeks, so do not duplicate those.</t>
        </is>
      </c>
    </row>
    <row r="22">
      <c r="A22" s="2" t="inlineStr"/>
    </row>
    <row r="23">
      <c r="A23" s="2" t="inlineStr">
        <is>
          <t>FRINGE — CASH vs. PLAN</t>
        </is>
      </c>
    </row>
    <row r="24">
      <c r="A24" s="2" t="inlineStr">
        <is>
          <t>Set the per-classification fringe delivery on Wage Determination. The 'Cash Fringe' column is what appears in the worker's gross wage on WH-347. The 'Plan Fringe' column is what is contributed to bona-fide benefit plans (not in the worker's gross wage). Cash + Plan must equal at least WD Fringe.</t>
        </is>
      </c>
    </row>
    <row r="25">
      <c r="A25" s="2" t="inlineStr"/>
    </row>
    <row r="26">
      <c r="A26" s="3" t="inlineStr">
        <is>
          <t>OVERTIME MATH</t>
        </is>
      </c>
    </row>
    <row r="27">
      <c r="A27" s="2" t="inlineStr">
        <is>
          <t>OT premium is paid on the base wage only — not on the fringe. The workbook calculates OT pay as (Hours × Rate) + (Hours × Rate × 0.5) on the base portion, then adds (Hours × Fringe) at straight rate. State laws can require double-time on specific days; adjust the OT multiplier on Wage Determination if so.</t>
        </is>
      </c>
    </row>
    <row r="28">
      <c r="A28" s="2" t="inlineStr"/>
    </row>
    <row r="29">
      <c r="A29" s="3" t="inlineStr">
        <is>
          <t>APPRENTICE/TRAINEE</t>
        </is>
      </c>
    </row>
    <row r="30">
      <c r="A30" s="2" t="inlineStr">
        <is>
          <t>Workers marked as Apprentice on Workers Master have a wage percentage field. The Weekly Payroll tab applies that percentage to the journeyman base rate from the WD. The full WD Fringe still applies — apprentices receive 100% of the fringe even at reduced base wage, unless the state prevailing-wage law specifies otherwise.</t>
        </is>
      </c>
    </row>
    <row r="31">
      <c r="A31" s="2" t="inlineStr"/>
    </row>
    <row r="32">
      <c r="A32" s="3" t="inlineStr">
        <is>
          <t>STATEMENT OF COMPLIANCE</t>
        </is>
      </c>
    </row>
    <row r="33">
      <c r="A33" s="2" t="inlineStr">
        <is>
          <t>Section 4(c) of the Statement is the False Claims Act trigger. The signatory must review every weekly payroll line, confirm classifications match the work actually performed, confirm fringe deliveries are documented, and confirm apprentice ratios are observed before signing. If any item is unverified, do not sign — escalate to compliance counsel or the certified-payroll services firm.</t>
        </is>
      </c>
    </row>
    <row r="34">
      <c r="A34" s="2" t="inlineStr"/>
    </row>
    <row r="35">
      <c r="A35" s="3" t="inlineStr">
        <is>
          <t>AUDIT</t>
        </is>
      </c>
    </row>
    <row r="36">
      <c r="A36" s="2" t="inlineStr">
        <is>
          <t>Davis-Bacon audits are random; state audits are sometimes triggered by employee complaint or by an interested party (union, competing bidder). USDOL audits typically look back 3 years. Keep this workbook plus the underlying timecards, payroll records, deduction authorizations, fringe-plan contribution records, and apprenticeship registrations together.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22"/>
  <sheetViews>
    <sheetView showGridLines="0" workbookViewId="0">
      <selection activeCell="A1" sqref="A1"/>
    </sheetView>
  </sheetViews>
  <sheetFormatPr baseColWidth="8" defaultRowHeight="15"/>
  <cols>
    <col width="4" customWidth="1" min="1" max="1"/>
    <col width="42" customWidth="1" min="2" max="2"/>
    <col width="30" customWidth="1" min="3" max="3"/>
  </cols>
  <sheetData>
    <row r="1" ht="32" customHeight="1">
      <c r="B1" s="1" t="inlineStr">
        <is>
          <t>CERTIFIED PAYROLL PROJECT INFORMATION</t>
        </is>
      </c>
    </row>
    <row r="3">
      <c r="B3" s="4" t="inlineStr">
        <is>
          <t>Project Name</t>
        </is>
      </c>
      <c r="C3" s="5" t="inlineStr"/>
    </row>
    <row r="4">
      <c r="B4" s="4" t="inlineStr">
        <is>
          <t>Project Address</t>
        </is>
      </c>
      <c r="C4" s="5" t="inlineStr"/>
    </row>
    <row r="5">
      <c r="B5" s="4" t="inlineStr">
        <is>
          <t>GC</t>
        </is>
      </c>
      <c r="C5" s="5" t="inlineStr"/>
    </row>
    <row r="6">
      <c r="B6" s="4" t="inlineStr">
        <is>
          <t>Prime Contract No.</t>
        </is>
      </c>
      <c r="C6" s="5" t="inlineStr"/>
    </row>
    <row r="7">
      <c r="B7" s="4" t="inlineStr">
        <is>
          <t>Subcontract No.</t>
        </is>
      </c>
      <c r="C7" s="5" t="inlineStr"/>
    </row>
    <row r="8">
      <c r="B8" s="4" t="inlineStr">
        <is>
          <t>Subcontractor (legal name)</t>
        </is>
      </c>
      <c r="C8" s="5" t="inlineStr"/>
    </row>
    <row r="9">
      <c r="B9" s="4" t="inlineStr">
        <is>
          <t>Sub Address</t>
        </is>
      </c>
      <c r="C9" s="5" t="inlineStr"/>
    </row>
    <row r="10">
      <c r="B10" s="4" t="inlineStr">
        <is>
          <t>Sub FEIN</t>
        </is>
      </c>
      <c r="C10" s="5" t="inlineStr"/>
    </row>
    <row r="11">
      <c r="B11" s="4" t="inlineStr">
        <is>
          <t>Federal Davis-Bacon? (Yes / No)</t>
        </is>
      </c>
      <c r="C11" s="5" t="inlineStr">
        <is>
          <t>Yes</t>
        </is>
      </c>
    </row>
    <row r="12">
      <c r="B12" s="4" t="inlineStr">
        <is>
          <t>State Prevailing Wage? (Yes / No)</t>
        </is>
      </c>
      <c r="C12" s="5" t="inlineStr">
        <is>
          <t>No</t>
        </is>
      </c>
    </row>
    <row r="13">
      <c r="B13" s="4" t="inlineStr">
        <is>
          <t>State (if state PW applies)</t>
        </is>
      </c>
      <c r="C13" s="5" t="inlineStr"/>
    </row>
    <row r="14">
      <c r="B14" s="4" t="inlineStr">
        <is>
          <t>Wage Determination ID</t>
        </is>
      </c>
      <c r="C14" s="5" t="inlineStr"/>
    </row>
    <row r="15">
      <c r="B15" s="4" t="inlineStr">
        <is>
          <t>WD Effective Date</t>
        </is>
      </c>
      <c r="C15" s="6" t="inlineStr"/>
    </row>
    <row r="16">
      <c r="B16" s="4" t="inlineStr">
        <is>
          <t>WD Modification No.</t>
        </is>
      </c>
      <c r="C16" s="5" t="inlineStr"/>
    </row>
    <row r="17">
      <c r="B17" s="4" t="inlineStr">
        <is>
          <t>Construction Type (Bldg / Hwy / Heavy / Res)</t>
        </is>
      </c>
      <c r="C17" s="5" t="inlineStr">
        <is>
          <t>Building</t>
        </is>
      </c>
    </row>
    <row r="18">
      <c r="B18" s="4" t="inlineStr">
        <is>
          <t>Payroll No. (sequential)</t>
        </is>
      </c>
      <c r="C18" s="7" t="n">
        <v>1</v>
      </c>
    </row>
    <row r="19">
      <c r="B19" s="4" t="inlineStr">
        <is>
          <t>For Week Ending (Saturday)</t>
        </is>
      </c>
      <c r="C19" s="6" t="inlineStr"/>
    </row>
    <row r="20">
      <c r="B20" s="4" t="inlineStr">
        <is>
          <t>Statement Signatory (officer name)</t>
        </is>
      </c>
      <c r="C20" s="5" t="inlineStr"/>
    </row>
    <row r="21">
      <c r="B21" s="4" t="inlineStr">
        <is>
          <t>Signatory Title</t>
        </is>
      </c>
      <c r="C21" s="5" t="inlineStr"/>
    </row>
    <row r="22">
      <c r="B22" s="4" t="inlineStr">
        <is>
          <t>Sub's PM</t>
        </is>
      </c>
      <c r="C22" s="5" t="inlineStr"/>
    </row>
  </sheetData>
  <mergeCells count="1">
    <mergeCell ref="B1:C1"/>
  </mergeCells>
  <dataValidations count="1">
    <dataValidation sqref="C11 C12"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9"/>
  <sheetViews>
    <sheetView showGridLines="0" workbookViewId="0">
      <selection activeCell="A1" sqref="A1"/>
    </sheetView>
  </sheetViews>
  <sheetFormatPr baseColWidth="8" defaultRowHeight="15"/>
  <cols>
    <col width="30" customWidth="1" min="1" max="1"/>
    <col width="16" customWidth="1" min="2" max="2"/>
    <col width="14" customWidth="1" min="3" max="3"/>
    <col width="14" customWidth="1" min="4" max="4"/>
    <col width="14" customWidth="1" min="5" max="5"/>
    <col width="12" customWidth="1" min="6" max="6"/>
    <col width="18" customWidth="1" min="7" max="7"/>
    <col width="18" customWidth="1" min="8" max="8"/>
    <col width="14" customWidth="1" min="9" max="9"/>
    <col width="30" customWidth="1" min="10" max="10"/>
  </cols>
  <sheetData>
    <row r="1" ht="32" customHeight="1">
      <c r="A1" s="1" t="inlineStr">
        <is>
          <t>WAGE DETERMINATION — Classifications</t>
        </is>
      </c>
    </row>
    <row r="2">
      <c r="A2" s="8" t="inlineStr">
        <is>
          <t>Enter one row per classification used on this project. WD Rate + WD Fringe is the floor; Cash + Plan Fringe must equal at least WD Fringe.</t>
        </is>
      </c>
    </row>
    <row r="4" ht="30" customHeight="1">
      <c r="A4" s="9" t="inlineStr">
        <is>
          <t>Classification</t>
        </is>
      </c>
      <c r="B4" s="9" t="inlineStr">
        <is>
          <t>WD Base Rate ($/hr)</t>
        </is>
      </c>
      <c r="C4" s="9" t="inlineStr">
        <is>
          <t>WD Fringe ($/hr)</t>
        </is>
      </c>
      <c r="D4" s="9" t="inlineStr">
        <is>
          <t>Cash Fringe ($/hr)</t>
        </is>
      </c>
      <c r="E4" s="9" t="inlineStr">
        <is>
          <t>Plan Fringe ($/hr)</t>
        </is>
      </c>
      <c r="F4" s="9" t="inlineStr">
        <is>
          <t>OT Multiplier</t>
        </is>
      </c>
      <c r="G4" s="9" t="inlineStr">
        <is>
          <t>ST Hourly Cost (Base+Fringe)</t>
        </is>
      </c>
      <c r="H4" s="9" t="inlineStr">
        <is>
          <t>OT Hourly Cost</t>
        </is>
      </c>
      <c r="I4" s="9" t="inlineStr">
        <is>
          <t>Apprenticeable?</t>
        </is>
      </c>
      <c r="J4" s="9" t="inlineStr">
        <is>
          <t>Notes</t>
        </is>
      </c>
    </row>
    <row r="5">
      <c r="A5" s="10" t="n"/>
      <c r="B5" s="11" t="n"/>
      <c r="C5" s="11" t="n"/>
      <c r="D5" s="11" t="n"/>
      <c r="E5" s="11" t="n"/>
      <c r="F5" s="12" t="n">
        <v>1.5</v>
      </c>
      <c r="G5" s="11">
        <f>IF(B5="","",B5+IFERROR(D5,0)+IFERROR(E5,0))</f>
        <v/>
      </c>
      <c r="H5" s="11">
        <f>IF(B5="","",(B5*F5)+IFERROR(D5,0)+IFERROR(E5,0))</f>
        <v/>
      </c>
      <c r="I5" s="10" t="n"/>
      <c r="J5" s="10" t="n"/>
    </row>
    <row r="6">
      <c r="A6" s="10" t="n"/>
      <c r="B6" s="11" t="n"/>
      <c r="C6" s="11" t="n"/>
      <c r="D6" s="11" t="n"/>
      <c r="E6" s="11" t="n"/>
      <c r="F6" s="12" t="n">
        <v>1.5</v>
      </c>
      <c r="G6" s="11">
        <f>IF(B6="","",B6+IFERROR(D6,0)+IFERROR(E6,0))</f>
        <v/>
      </c>
      <c r="H6" s="11">
        <f>IF(B6="","",(B6*F6)+IFERROR(D6,0)+IFERROR(E6,0))</f>
        <v/>
      </c>
      <c r="I6" s="10" t="n"/>
      <c r="J6" s="10" t="n"/>
    </row>
    <row r="7">
      <c r="A7" s="10" t="n"/>
      <c r="B7" s="11" t="n"/>
      <c r="C7" s="11" t="n"/>
      <c r="D7" s="11" t="n"/>
      <c r="E7" s="11" t="n"/>
      <c r="F7" s="12" t="n">
        <v>1.5</v>
      </c>
      <c r="G7" s="11">
        <f>IF(B7="","",B7+IFERROR(D7,0)+IFERROR(E7,0))</f>
        <v/>
      </c>
      <c r="H7" s="11">
        <f>IF(B7="","",(B7*F7)+IFERROR(D7,0)+IFERROR(E7,0))</f>
        <v/>
      </c>
      <c r="I7" s="10" t="n"/>
      <c r="J7" s="10" t="n"/>
    </row>
    <row r="8">
      <c r="A8" s="10" t="n"/>
      <c r="B8" s="11" t="n"/>
      <c r="C8" s="11" t="n"/>
      <c r="D8" s="11" t="n"/>
      <c r="E8" s="11" t="n"/>
      <c r="F8" s="12" t="n">
        <v>1.5</v>
      </c>
      <c r="G8" s="11">
        <f>IF(B8="","",B8+IFERROR(D8,0)+IFERROR(E8,0))</f>
        <v/>
      </c>
      <c r="H8" s="11">
        <f>IF(B8="","",(B8*F8)+IFERROR(D8,0)+IFERROR(E8,0))</f>
        <v/>
      </c>
      <c r="I8" s="10" t="n"/>
      <c r="J8" s="10" t="n"/>
    </row>
    <row r="9">
      <c r="A9" s="10" t="n"/>
      <c r="B9" s="11" t="n"/>
      <c r="C9" s="11" t="n"/>
      <c r="D9" s="11" t="n"/>
      <c r="E9" s="11" t="n"/>
      <c r="F9" s="12" t="n">
        <v>1.5</v>
      </c>
      <c r="G9" s="11">
        <f>IF(B9="","",B9+IFERROR(D9,0)+IFERROR(E9,0))</f>
        <v/>
      </c>
      <c r="H9" s="11">
        <f>IF(B9="","",(B9*F9)+IFERROR(D9,0)+IFERROR(E9,0))</f>
        <v/>
      </c>
      <c r="I9" s="10" t="n"/>
      <c r="J9" s="10" t="n"/>
    </row>
    <row r="10">
      <c r="A10" s="10" t="n"/>
      <c r="B10" s="11" t="n"/>
      <c r="C10" s="11" t="n"/>
      <c r="D10" s="11" t="n"/>
      <c r="E10" s="11" t="n"/>
      <c r="F10" s="12" t="n">
        <v>1.5</v>
      </c>
      <c r="G10" s="11">
        <f>IF(B10="","",B10+IFERROR(D10,0)+IFERROR(E10,0))</f>
        <v/>
      </c>
      <c r="H10" s="11">
        <f>IF(B10="","",(B10*F10)+IFERROR(D10,0)+IFERROR(E10,0))</f>
        <v/>
      </c>
      <c r="I10" s="10" t="n"/>
      <c r="J10" s="10" t="n"/>
    </row>
    <row r="11">
      <c r="A11" s="10" t="n"/>
      <c r="B11" s="11" t="n"/>
      <c r="C11" s="11" t="n"/>
      <c r="D11" s="11" t="n"/>
      <c r="E11" s="11" t="n"/>
      <c r="F11" s="12" t="n">
        <v>1.5</v>
      </c>
      <c r="G11" s="11">
        <f>IF(B11="","",B11+IFERROR(D11,0)+IFERROR(E11,0))</f>
        <v/>
      </c>
      <c r="H11" s="11">
        <f>IF(B11="","",(B11*F11)+IFERROR(D11,0)+IFERROR(E11,0))</f>
        <v/>
      </c>
      <c r="I11" s="10" t="n"/>
      <c r="J11" s="10" t="n"/>
    </row>
    <row r="12">
      <c r="A12" s="10" t="n"/>
      <c r="B12" s="11" t="n"/>
      <c r="C12" s="11" t="n"/>
      <c r="D12" s="11" t="n"/>
      <c r="E12" s="11" t="n"/>
      <c r="F12" s="12" t="n">
        <v>1.5</v>
      </c>
      <c r="G12" s="11">
        <f>IF(B12="","",B12+IFERROR(D12,0)+IFERROR(E12,0))</f>
        <v/>
      </c>
      <c r="H12" s="11">
        <f>IF(B12="","",(B12*F12)+IFERROR(D12,0)+IFERROR(E12,0))</f>
        <v/>
      </c>
      <c r="I12" s="10" t="n"/>
      <c r="J12" s="10" t="n"/>
    </row>
    <row r="13">
      <c r="A13" s="10" t="n"/>
      <c r="B13" s="11" t="n"/>
      <c r="C13" s="11" t="n"/>
      <c r="D13" s="11" t="n"/>
      <c r="E13" s="11" t="n"/>
      <c r="F13" s="12" t="n">
        <v>1.5</v>
      </c>
      <c r="G13" s="11">
        <f>IF(B13="","",B13+IFERROR(D13,0)+IFERROR(E13,0))</f>
        <v/>
      </c>
      <c r="H13" s="11">
        <f>IF(B13="","",(B13*F13)+IFERROR(D13,0)+IFERROR(E13,0))</f>
        <v/>
      </c>
      <c r="I13" s="10" t="n"/>
      <c r="J13" s="10" t="n"/>
    </row>
    <row r="14">
      <c r="A14" s="10" t="n"/>
      <c r="B14" s="11" t="n"/>
      <c r="C14" s="11" t="n"/>
      <c r="D14" s="11" t="n"/>
      <c r="E14" s="11" t="n"/>
      <c r="F14" s="12" t="n">
        <v>1.5</v>
      </c>
      <c r="G14" s="11">
        <f>IF(B14="","",B14+IFERROR(D14,0)+IFERROR(E14,0))</f>
        <v/>
      </c>
      <c r="H14" s="11">
        <f>IF(B14="","",(B14*F14)+IFERROR(D14,0)+IFERROR(E14,0))</f>
        <v/>
      </c>
      <c r="I14" s="10" t="n"/>
      <c r="J14" s="10" t="n"/>
    </row>
    <row r="15">
      <c r="A15" s="10" t="n"/>
      <c r="B15" s="11" t="n"/>
      <c r="C15" s="11" t="n"/>
      <c r="D15" s="11" t="n"/>
      <c r="E15" s="11" t="n"/>
      <c r="F15" s="12" t="n">
        <v>1.5</v>
      </c>
      <c r="G15" s="11">
        <f>IF(B15="","",B15+IFERROR(D15,0)+IFERROR(E15,0))</f>
        <v/>
      </c>
      <c r="H15" s="11">
        <f>IF(B15="","",(B15*F15)+IFERROR(D15,0)+IFERROR(E15,0))</f>
        <v/>
      </c>
      <c r="I15" s="10" t="n"/>
      <c r="J15" s="10" t="n"/>
    </row>
    <row r="16">
      <c r="A16" s="10" t="n"/>
      <c r="B16" s="11" t="n"/>
      <c r="C16" s="11" t="n"/>
      <c r="D16" s="11" t="n"/>
      <c r="E16" s="11" t="n"/>
      <c r="F16" s="12" t="n">
        <v>1.5</v>
      </c>
      <c r="G16" s="11">
        <f>IF(B16="","",B16+IFERROR(D16,0)+IFERROR(E16,0))</f>
        <v/>
      </c>
      <c r="H16" s="11">
        <f>IF(B16="","",(B16*F16)+IFERROR(D16,0)+IFERROR(E16,0))</f>
        <v/>
      </c>
      <c r="I16" s="10" t="n"/>
      <c r="J16" s="10" t="n"/>
    </row>
    <row r="17">
      <c r="A17" s="10" t="n"/>
      <c r="B17" s="11" t="n"/>
      <c r="C17" s="11" t="n"/>
      <c r="D17" s="11" t="n"/>
      <c r="E17" s="11" t="n"/>
      <c r="F17" s="12" t="n">
        <v>1.5</v>
      </c>
      <c r="G17" s="11">
        <f>IF(B17="","",B17+IFERROR(D17,0)+IFERROR(E17,0))</f>
        <v/>
      </c>
      <c r="H17" s="11">
        <f>IF(B17="","",(B17*F17)+IFERROR(D17,0)+IFERROR(E17,0))</f>
        <v/>
      </c>
      <c r="I17" s="10" t="n"/>
      <c r="J17" s="10" t="n"/>
    </row>
    <row r="18">
      <c r="A18" s="10" t="n"/>
      <c r="B18" s="11" t="n"/>
      <c r="C18" s="11" t="n"/>
      <c r="D18" s="11" t="n"/>
      <c r="E18" s="11" t="n"/>
      <c r="F18" s="12" t="n">
        <v>1.5</v>
      </c>
      <c r="G18" s="11">
        <f>IF(B18="","",B18+IFERROR(D18,0)+IFERROR(E18,0))</f>
        <v/>
      </c>
      <c r="H18" s="11">
        <f>IF(B18="","",(B18*F18)+IFERROR(D18,0)+IFERROR(E18,0))</f>
        <v/>
      </c>
      <c r="I18" s="10" t="n"/>
      <c r="J18" s="10" t="n"/>
    </row>
    <row r="19">
      <c r="A19" s="10" t="n"/>
      <c r="B19" s="11" t="n"/>
      <c r="C19" s="11" t="n"/>
      <c r="D19" s="11" t="n"/>
      <c r="E19" s="11" t="n"/>
      <c r="F19" s="12" t="n">
        <v>1.5</v>
      </c>
      <c r="G19" s="11">
        <f>IF(B19="","",B19+IFERROR(D19,0)+IFERROR(E19,0))</f>
        <v/>
      </c>
      <c r="H19" s="11">
        <f>IF(B19="","",(B19*F19)+IFERROR(D19,0)+IFERROR(E19,0))</f>
        <v/>
      </c>
      <c r="I19" s="10" t="n"/>
      <c r="J19" s="10" t="n"/>
    </row>
    <row r="20">
      <c r="A20" s="10" t="n"/>
      <c r="B20" s="11" t="n"/>
      <c r="C20" s="11" t="n"/>
      <c r="D20" s="11" t="n"/>
      <c r="E20" s="11" t="n"/>
      <c r="F20" s="12" t="n">
        <v>1.5</v>
      </c>
      <c r="G20" s="11">
        <f>IF(B20="","",B20+IFERROR(D20,0)+IFERROR(E20,0))</f>
        <v/>
      </c>
      <c r="H20" s="11">
        <f>IF(B20="","",(B20*F20)+IFERROR(D20,0)+IFERROR(E20,0))</f>
        <v/>
      </c>
      <c r="I20" s="10" t="n"/>
      <c r="J20" s="10" t="n"/>
    </row>
    <row r="21">
      <c r="A21" s="10" t="n"/>
      <c r="B21" s="11" t="n"/>
      <c r="C21" s="11" t="n"/>
      <c r="D21" s="11" t="n"/>
      <c r="E21" s="11" t="n"/>
      <c r="F21" s="12" t="n">
        <v>1.5</v>
      </c>
      <c r="G21" s="11">
        <f>IF(B21="","",B21+IFERROR(D21,0)+IFERROR(E21,0))</f>
        <v/>
      </c>
      <c r="H21" s="11">
        <f>IF(B21="","",(B21*F21)+IFERROR(D21,0)+IFERROR(E21,0))</f>
        <v/>
      </c>
      <c r="I21" s="10" t="n"/>
      <c r="J21" s="10" t="n"/>
    </row>
    <row r="22">
      <c r="A22" s="10" t="n"/>
      <c r="B22" s="11" t="n"/>
      <c r="C22" s="11" t="n"/>
      <c r="D22" s="11" t="n"/>
      <c r="E22" s="11" t="n"/>
      <c r="F22" s="12" t="n">
        <v>1.5</v>
      </c>
      <c r="G22" s="11">
        <f>IF(B22="","",B22+IFERROR(D22,0)+IFERROR(E22,0))</f>
        <v/>
      </c>
      <c r="H22" s="11">
        <f>IF(B22="","",(B22*F22)+IFERROR(D22,0)+IFERROR(E22,0))</f>
        <v/>
      </c>
      <c r="I22" s="10" t="n"/>
      <c r="J22" s="10" t="n"/>
    </row>
    <row r="23">
      <c r="A23" s="10" t="n"/>
      <c r="B23" s="11" t="n"/>
      <c r="C23" s="11" t="n"/>
      <c r="D23" s="11" t="n"/>
      <c r="E23" s="11" t="n"/>
      <c r="F23" s="12" t="n">
        <v>1.5</v>
      </c>
      <c r="G23" s="11">
        <f>IF(B23="","",B23+IFERROR(D23,0)+IFERROR(E23,0))</f>
        <v/>
      </c>
      <c r="H23" s="11">
        <f>IF(B23="","",(B23*F23)+IFERROR(D23,0)+IFERROR(E23,0))</f>
        <v/>
      </c>
      <c r="I23" s="10" t="n"/>
      <c r="J23" s="10" t="n"/>
    </row>
    <row r="24">
      <c r="A24" s="10" t="n"/>
      <c r="B24" s="11" t="n"/>
      <c r="C24" s="11" t="n"/>
      <c r="D24" s="11" t="n"/>
      <c r="E24" s="11" t="n"/>
      <c r="F24" s="12" t="n">
        <v>1.5</v>
      </c>
      <c r="G24" s="11">
        <f>IF(B24="","",B24+IFERROR(D24,0)+IFERROR(E24,0))</f>
        <v/>
      </c>
      <c r="H24" s="11">
        <f>IF(B24="","",(B24*F24)+IFERROR(D24,0)+IFERROR(E24,0))</f>
        <v/>
      </c>
      <c r="I24" s="10" t="n"/>
      <c r="J24" s="10" t="n"/>
    </row>
    <row r="25">
      <c r="A25" s="10" t="n"/>
      <c r="B25" s="11" t="n"/>
      <c r="C25" s="11" t="n"/>
      <c r="D25" s="11" t="n"/>
      <c r="E25" s="11" t="n"/>
      <c r="F25" s="12" t="n">
        <v>1.5</v>
      </c>
      <c r="G25" s="11">
        <f>IF(B25="","",B25+IFERROR(D25,0)+IFERROR(E25,0))</f>
        <v/>
      </c>
      <c r="H25" s="11">
        <f>IF(B25="","",(B25*F25)+IFERROR(D25,0)+IFERROR(E25,0))</f>
        <v/>
      </c>
      <c r="I25" s="10" t="n"/>
      <c r="J25" s="10" t="n"/>
    </row>
    <row r="26">
      <c r="A26" s="10" t="n"/>
      <c r="B26" s="11" t="n"/>
      <c r="C26" s="11" t="n"/>
      <c r="D26" s="11" t="n"/>
      <c r="E26" s="11" t="n"/>
      <c r="F26" s="12" t="n">
        <v>1.5</v>
      </c>
      <c r="G26" s="11">
        <f>IF(B26="","",B26+IFERROR(D26,0)+IFERROR(E26,0))</f>
        <v/>
      </c>
      <c r="H26" s="11">
        <f>IF(B26="","",(B26*F26)+IFERROR(D26,0)+IFERROR(E26,0))</f>
        <v/>
      </c>
      <c r="I26" s="10" t="n"/>
      <c r="J26" s="10" t="n"/>
    </row>
    <row r="27">
      <c r="A27" s="10" t="n"/>
      <c r="B27" s="11" t="n"/>
      <c r="C27" s="11" t="n"/>
      <c r="D27" s="11" t="n"/>
      <c r="E27" s="11" t="n"/>
      <c r="F27" s="12" t="n">
        <v>1.5</v>
      </c>
      <c r="G27" s="11">
        <f>IF(B27="","",B27+IFERROR(D27,0)+IFERROR(E27,0))</f>
        <v/>
      </c>
      <c r="H27" s="11">
        <f>IF(B27="","",(B27*F27)+IFERROR(D27,0)+IFERROR(E27,0))</f>
        <v/>
      </c>
      <c r="I27" s="10" t="n"/>
      <c r="J27" s="10" t="n"/>
    </row>
    <row r="28">
      <c r="A28" s="10" t="n"/>
      <c r="B28" s="11" t="n"/>
      <c r="C28" s="11" t="n"/>
      <c r="D28" s="11" t="n"/>
      <c r="E28" s="11" t="n"/>
      <c r="F28" s="12" t="n">
        <v>1.5</v>
      </c>
      <c r="G28" s="11">
        <f>IF(B28="","",B28+IFERROR(D28,0)+IFERROR(E28,0))</f>
        <v/>
      </c>
      <c r="H28" s="11">
        <f>IF(B28="","",(B28*F28)+IFERROR(D28,0)+IFERROR(E28,0))</f>
        <v/>
      </c>
      <c r="I28" s="10" t="n"/>
      <c r="J28" s="10" t="n"/>
    </row>
    <row r="29">
      <c r="A29" s="10" t="n"/>
      <c r="B29" s="11" t="n"/>
      <c r="C29" s="11" t="n"/>
      <c r="D29" s="11" t="n"/>
      <c r="E29" s="11" t="n"/>
      <c r="F29" s="12" t="n">
        <v>1.5</v>
      </c>
      <c r="G29" s="11">
        <f>IF(B29="","",B29+IFERROR(D29,0)+IFERROR(E29,0))</f>
        <v/>
      </c>
      <c r="H29" s="11">
        <f>IF(B29="","",(B29*F29)+IFERROR(D29,0)+IFERROR(E29,0))</f>
        <v/>
      </c>
      <c r="I29" s="10" t="n"/>
      <c r="J29" s="10" t="n"/>
    </row>
  </sheetData>
  <mergeCells count="2">
    <mergeCell ref="A1:J1"/>
    <mergeCell ref="A2:J2"/>
  </mergeCells>
  <conditionalFormatting sqref="E5:E29">
    <cfRule type="expression" priority="1" dxfId="0">
      <formula>AND(C5&gt;0,(D5+E5)&lt;C5)</formula>
    </cfRule>
  </conditionalFormatting>
  <dataValidations count="1">
    <dataValidation sqref="I5:I29"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3"/>
  <sheetViews>
    <sheetView showGridLines="0" workbookViewId="0">
      <selection activeCell="A1" sqref="A1"/>
    </sheetView>
  </sheetViews>
  <sheetFormatPr baseColWidth="8" defaultRowHeight="15"/>
  <cols>
    <col width="28" customWidth="1" min="1" max="1"/>
    <col width="14" customWidth="1" min="2" max="2"/>
    <col width="26" customWidth="1" min="3" max="3"/>
    <col width="12" customWidth="1" min="4" max="4"/>
    <col width="18" customWidth="1" min="5" max="5"/>
    <col width="14" customWidth="1" min="6" max="6"/>
    <col width="16" customWidth="1" min="7" max="7"/>
    <col width="12" customWidth="1" min="8" max="8"/>
    <col width="12" customWidth="1" min="9" max="9"/>
    <col width="24" customWidth="1" min="10" max="10"/>
  </cols>
  <sheetData>
    <row r="1" ht="32" customHeight="1">
      <c r="A1" s="1" t="inlineStr">
        <is>
          <t>WORKERS MASTER</t>
        </is>
      </c>
    </row>
    <row r="3" ht="30" customHeight="1">
      <c r="A3" s="9" t="inlineStr">
        <is>
          <t>Worker Name</t>
        </is>
      </c>
      <c r="B3" s="9" t="inlineStr">
        <is>
          <t>Employee ID</t>
        </is>
      </c>
      <c r="C3" s="9" t="inlineStr">
        <is>
          <t>Classification</t>
        </is>
      </c>
      <c r="D3" s="9" t="inlineStr">
        <is>
          <t>Apprentice?</t>
        </is>
      </c>
      <c r="E3" s="9" t="inlineStr">
        <is>
          <t>Apprenticeship Reg No.</t>
        </is>
      </c>
      <c r="F3" s="9" t="inlineStr">
        <is>
          <t>Apprentice Year/Period</t>
        </is>
      </c>
      <c r="G3" s="9" t="inlineStr">
        <is>
          <t>Apprentice % of Journeyman</t>
        </is>
      </c>
      <c r="H3" s="9" t="inlineStr">
        <is>
          <t>Hire Date</t>
        </is>
      </c>
      <c r="I3" s="9" t="inlineStr">
        <is>
          <t>Status</t>
        </is>
      </c>
      <c r="J3" s="9" t="inlineStr">
        <is>
          <t>Notes</t>
        </is>
      </c>
    </row>
    <row r="4">
      <c r="A4" s="10" t="n"/>
      <c r="B4" s="10" t="n"/>
      <c r="C4" s="10" t="n"/>
      <c r="D4" s="10" t="n"/>
      <c r="E4" s="10" t="n"/>
      <c r="F4" s="10" t="n"/>
      <c r="G4" s="13" t="n"/>
      <c r="H4" s="14" t="n"/>
      <c r="I4" s="10" t="n"/>
      <c r="J4" s="10" t="n"/>
    </row>
    <row r="5">
      <c r="A5" s="10" t="n"/>
      <c r="B5" s="10" t="n"/>
      <c r="C5" s="10" t="n"/>
      <c r="D5" s="10" t="n"/>
      <c r="E5" s="10" t="n"/>
      <c r="F5" s="10" t="n"/>
      <c r="G5" s="13" t="n"/>
      <c r="H5" s="14" t="n"/>
      <c r="I5" s="10" t="n"/>
      <c r="J5" s="10" t="n"/>
    </row>
    <row r="6">
      <c r="A6" s="10" t="n"/>
      <c r="B6" s="10" t="n"/>
      <c r="C6" s="10" t="n"/>
      <c r="D6" s="10" t="n"/>
      <c r="E6" s="10" t="n"/>
      <c r="F6" s="10" t="n"/>
      <c r="G6" s="13" t="n"/>
      <c r="H6" s="14" t="n"/>
      <c r="I6" s="10" t="n"/>
      <c r="J6" s="10" t="n"/>
    </row>
    <row r="7">
      <c r="A7" s="10" t="n"/>
      <c r="B7" s="10" t="n"/>
      <c r="C7" s="10" t="n"/>
      <c r="D7" s="10" t="n"/>
      <c r="E7" s="10" t="n"/>
      <c r="F7" s="10" t="n"/>
      <c r="G7" s="13" t="n"/>
      <c r="H7" s="14" t="n"/>
      <c r="I7" s="10" t="n"/>
      <c r="J7" s="10" t="n"/>
    </row>
    <row r="8">
      <c r="A8" s="10" t="n"/>
      <c r="B8" s="10" t="n"/>
      <c r="C8" s="10" t="n"/>
      <c r="D8" s="10" t="n"/>
      <c r="E8" s="10" t="n"/>
      <c r="F8" s="10" t="n"/>
      <c r="G8" s="13" t="n"/>
      <c r="H8" s="14" t="n"/>
      <c r="I8" s="10" t="n"/>
      <c r="J8" s="10" t="n"/>
    </row>
    <row r="9">
      <c r="A9" s="10" t="n"/>
      <c r="B9" s="10" t="n"/>
      <c r="C9" s="10" t="n"/>
      <c r="D9" s="10" t="n"/>
      <c r="E9" s="10" t="n"/>
      <c r="F9" s="10" t="n"/>
      <c r="G9" s="13" t="n"/>
      <c r="H9" s="14" t="n"/>
      <c r="I9" s="10" t="n"/>
      <c r="J9" s="10" t="n"/>
    </row>
    <row r="10">
      <c r="A10" s="10" t="n"/>
      <c r="B10" s="10" t="n"/>
      <c r="C10" s="10" t="n"/>
      <c r="D10" s="10" t="n"/>
      <c r="E10" s="10" t="n"/>
      <c r="F10" s="10" t="n"/>
      <c r="G10" s="13" t="n"/>
      <c r="H10" s="14" t="n"/>
      <c r="I10" s="10" t="n"/>
      <c r="J10" s="10" t="n"/>
    </row>
    <row r="11">
      <c r="A11" s="10" t="n"/>
      <c r="B11" s="10" t="n"/>
      <c r="C11" s="10" t="n"/>
      <c r="D11" s="10" t="n"/>
      <c r="E11" s="10" t="n"/>
      <c r="F11" s="10" t="n"/>
      <c r="G11" s="13" t="n"/>
      <c r="H11" s="14" t="n"/>
      <c r="I11" s="10" t="n"/>
      <c r="J11" s="10" t="n"/>
    </row>
    <row r="12">
      <c r="A12" s="10" t="n"/>
      <c r="B12" s="10" t="n"/>
      <c r="C12" s="10" t="n"/>
      <c r="D12" s="10" t="n"/>
      <c r="E12" s="10" t="n"/>
      <c r="F12" s="10" t="n"/>
      <c r="G12" s="13" t="n"/>
      <c r="H12" s="14" t="n"/>
      <c r="I12" s="10" t="n"/>
      <c r="J12" s="10" t="n"/>
    </row>
    <row r="13">
      <c r="A13" s="10" t="n"/>
      <c r="B13" s="10" t="n"/>
      <c r="C13" s="10" t="n"/>
      <c r="D13" s="10" t="n"/>
      <c r="E13" s="10" t="n"/>
      <c r="F13" s="10" t="n"/>
      <c r="G13" s="13" t="n"/>
      <c r="H13" s="14" t="n"/>
      <c r="I13" s="10" t="n"/>
      <c r="J13" s="10" t="n"/>
    </row>
    <row r="14">
      <c r="A14" s="10" t="n"/>
      <c r="B14" s="10" t="n"/>
      <c r="C14" s="10" t="n"/>
      <c r="D14" s="10" t="n"/>
      <c r="E14" s="10" t="n"/>
      <c r="F14" s="10" t="n"/>
      <c r="G14" s="13" t="n"/>
      <c r="H14" s="14" t="n"/>
      <c r="I14" s="10" t="n"/>
      <c r="J14" s="10" t="n"/>
    </row>
    <row r="15">
      <c r="A15" s="10" t="n"/>
      <c r="B15" s="10" t="n"/>
      <c r="C15" s="10" t="n"/>
      <c r="D15" s="10" t="n"/>
      <c r="E15" s="10" t="n"/>
      <c r="F15" s="10" t="n"/>
      <c r="G15" s="13" t="n"/>
      <c r="H15" s="14" t="n"/>
      <c r="I15" s="10" t="n"/>
      <c r="J15" s="10" t="n"/>
    </row>
    <row r="16">
      <c r="A16" s="10" t="n"/>
      <c r="B16" s="10" t="n"/>
      <c r="C16" s="10" t="n"/>
      <c r="D16" s="10" t="n"/>
      <c r="E16" s="10" t="n"/>
      <c r="F16" s="10" t="n"/>
      <c r="G16" s="13" t="n"/>
      <c r="H16" s="14" t="n"/>
      <c r="I16" s="10" t="n"/>
      <c r="J16" s="10" t="n"/>
    </row>
    <row r="17">
      <c r="A17" s="10" t="n"/>
      <c r="B17" s="10" t="n"/>
      <c r="C17" s="10" t="n"/>
      <c r="D17" s="10" t="n"/>
      <c r="E17" s="10" t="n"/>
      <c r="F17" s="10" t="n"/>
      <c r="G17" s="13" t="n"/>
      <c r="H17" s="14" t="n"/>
      <c r="I17" s="10" t="n"/>
      <c r="J17" s="10" t="n"/>
    </row>
    <row r="18">
      <c r="A18" s="10" t="n"/>
      <c r="B18" s="10" t="n"/>
      <c r="C18" s="10" t="n"/>
      <c r="D18" s="10" t="n"/>
      <c r="E18" s="10" t="n"/>
      <c r="F18" s="10" t="n"/>
      <c r="G18" s="13" t="n"/>
      <c r="H18" s="14" t="n"/>
      <c r="I18" s="10" t="n"/>
      <c r="J18" s="10" t="n"/>
    </row>
    <row r="19">
      <c r="A19" s="10" t="n"/>
      <c r="B19" s="10" t="n"/>
      <c r="C19" s="10" t="n"/>
      <c r="D19" s="10" t="n"/>
      <c r="E19" s="10" t="n"/>
      <c r="F19" s="10" t="n"/>
      <c r="G19" s="13" t="n"/>
      <c r="H19" s="14" t="n"/>
      <c r="I19" s="10" t="n"/>
      <c r="J19" s="10" t="n"/>
    </row>
    <row r="20">
      <c r="A20" s="10" t="n"/>
      <c r="B20" s="10" t="n"/>
      <c r="C20" s="10" t="n"/>
      <c r="D20" s="10" t="n"/>
      <c r="E20" s="10" t="n"/>
      <c r="F20" s="10" t="n"/>
      <c r="G20" s="13" t="n"/>
      <c r="H20" s="14" t="n"/>
      <c r="I20" s="10" t="n"/>
      <c r="J20" s="10" t="n"/>
    </row>
    <row r="21">
      <c r="A21" s="10" t="n"/>
      <c r="B21" s="10" t="n"/>
      <c r="C21" s="10" t="n"/>
      <c r="D21" s="10" t="n"/>
      <c r="E21" s="10" t="n"/>
      <c r="F21" s="10" t="n"/>
      <c r="G21" s="13" t="n"/>
      <c r="H21" s="14" t="n"/>
      <c r="I21" s="10" t="n"/>
      <c r="J21" s="10" t="n"/>
    </row>
    <row r="22">
      <c r="A22" s="10" t="n"/>
      <c r="B22" s="10" t="n"/>
      <c r="C22" s="10" t="n"/>
      <c r="D22" s="10" t="n"/>
      <c r="E22" s="10" t="n"/>
      <c r="F22" s="10" t="n"/>
      <c r="G22" s="13" t="n"/>
      <c r="H22" s="14" t="n"/>
      <c r="I22" s="10" t="n"/>
      <c r="J22" s="10" t="n"/>
    </row>
    <row r="23">
      <c r="A23" s="10" t="n"/>
      <c r="B23" s="10" t="n"/>
      <c r="C23" s="10" t="n"/>
      <c r="D23" s="10" t="n"/>
      <c r="E23" s="10" t="n"/>
      <c r="F23" s="10" t="n"/>
      <c r="G23" s="13" t="n"/>
      <c r="H23" s="14" t="n"/>
      <c r="I23" s="10" t="n"/>
      <c r="J23" s="10" t="n"/>
    </row>
    <row r="24">
      <c r="A24" s="10" t="n"/>
      <c r="B24" s="10" t="n"/>
      <c r="C24" s="10" t="n"/>
      <c r="D24" s="10" t="n"/>
      <c r="E24" s="10" t="n"/>
      <c r="F24" s="10" t="n"/>
      <c r="G24" s="13" t="n"/>
      <c r="H24" s="14" t="n"/>
      <c r="I24" s="10" t="n"/>
      <c r="J24" s="10" t="n"/>
    </row>
    <row r="25">
      <c r="A25" s="10" t="n"/>
      <c r="B25" s="10" t="n"/>
      <c r="C25" s="10" t="n"/>
      <c r="D25" s="10" t="n"/>
      <c r="E25" s="10" t="n"/>
      <c r="F25" s="10" t="n"/>
      <c r="G25" s="13" t="n"/>
      <c r="H25" s="14" t="n"/>
      <c r="I25" s="10" t="n"/>
      <c r="J25" s="10" t="n"/>
    </row>
    <row r="26">
      <c r="A26" s="10" t="n"/>
      <c r="B26" s="10" t="n"/>
      <c r="C26" s="10" t="n"/>
      <c r="D26" s="10" t="n"/>
      <c r="E26" s="10" t="n"/>
      <c r="F26" s="10" t="n"/>
      <c r="G26" s="13" t="n"/>
      <c r="H26" s="14" t="n"/>
      <c r="I26" s="10" t="n"/>
      <c r="J26" s="10" t="n"/>
    </row>
    <row r="27">
      <c r="A27" s="10" t="n"/>
      <c r="B27" s="10" t="n"/>
      <c r="C27" s="10" t="n"/>
      <c r="D27" s="10" t="n"/>
      <c r="E27" s="10" t="n"/>
      <c r="F27" s="10" t="n"/>
      <c r="G27" s="13" t="n"/>
      <c r="H27" s="14" t="n"/>
      <c r="I27" s="10" t="n"/>
      <c r="J27" s="10" t="n"/>
    </row>
    <row r="28">
      <c r="A28" s="10" t="n"/>
      <c r="B28" s="10" t="n"/>
      <c r="C28" s="10" t="n"/>
      <c r="D28" s="10" t="n"/>
      <c r="E28" s="10" t="n"/>
      <c r="F28" s="10" t="n"/>
      <c r="G28" s="13" t="n"/>
      <c r="H28" s="14" t="n"/>
      <c r="I28" s="10" t="n"/>
      <c r="J28" s="10" t="n"/>
    </row>
    <row r="29">
      <c r="A29" s="10" t="n"/>
      <c r="B29" s="10" t="n"/>
      <c r="C29" s="10" t="n"/>
      <c r="D29" s="10" t="n"/>
      <c r="E29" s="10" t="n"/>
      <c r="F29" s="10" t="n"/>
      <c r="G29" s="13" t="n"/>
      <c r="H29" s="14" t="n"/>
      <c r="I29" s="10" t="n"/>
      <c r="J29" s="10" t="n"/>
    </row>
    <row r="30">
      <c r="A30" s="10" t="n"/>
      <c r="B30" s="10" t="n"/>
      <c r="C30" s="10" t="n"/>
      <c r="D30" s="10" t="n"/>
      <c r="E30" s="10" t="n"/>
      <c r="F30" s="10" t="n"/>
      <c r="G30" s="13" t="n"/>
      <c r="H30" s="14" t="n"/>
      <c r="I30" s="10" t="n"/>
      <c r="J30" s="10" t="n"/>
    </row>
    <row r="31">
      <c r="A31" s="10" t="n"/>
      <c r="B31" s="10" t="n"/>
      <c r="C31" s="10" t="n"/>
      <c r="D31" s="10" t="n"/>
      <c r="E31" s="10" t="n"/>
      <c r="F31" s="10" t="n"/>
      <c r="G31" s="13" t="n"/>
      <c r="H31" s="14" t="n"/>
      <c r="I31" s="10" t="n"/>
      <c r="J31" s="10" t="n"/>
    </row>
    <row r="32">
      <c r="A32" s="10" t="n"/>
      <c r="B32" s="10" t="n"/>
      <c r="C32" s="10" t="n"/>
      <c r="D32" s="10" t="n"/>
      <c r="E32" s="10" t="n"/>
      <c r="F32" s="10" t="n"/>
      <c r="G32" s="13" t="n"/>
      <c r="H32" s="14" t="n"/>
      <c r="I32" s="10" t="n"/>
      <c r="J32" s="10" t="n"/>
    </row>
    <row r="33">
      <c r="A33" s="10" t="n"/>
      <c r="B33" s="10" t="n"/>
      <c r="C33" s="10" t="n"/>
      <c r="D33" s="10" t="n"/>
      <c r="E33" s="10" t="n"/>
      <c r="F33" s="10" t="n"/>
      <c r="G33" s="13" t="n"/>
      <c r="H33" s="14" t="n"/>
      <c r="I33" s="10" t="n"/>
      <c r="J33" s="10" t="n"/>
    </row>
    <row r="34">
      <c r="A34" s="10" t="n"/>
      <c r="B34" s="10" t="n"/>
      <c r="C34" s="10" t="n"/>
      <c r="D34" s="10" t="n"/>
      <c r="E34" s="10" t="n"/>
      <c r="F34" s="10" t="n"/>
      <c r="G34" s="13" t="n"/>
      <c r="H34" s="14" t="n"/>
      <c r="I34" s="10" t="n"/>
      <c r="J34" s="10" t="n"/>
    </row>
    <row r="35">
      <c r="A35" s="10" t="n"/>
      <c r="B35" s="10" t="n"/>
      <c r="C35" s="10" t="n"/>
      <c r="D35" s="10" t="n"/>
      <c r="E35" s="10" t="n"/>
      <c r="F35" s="10" t="n"/>
      <c r="G35" s="13" t="n"/>
      <c r="H35" s="14" t="n"/>
      <c r="I35" s="10" t="n"/>
      <c r="J35" s="10" t="n"/>
    </row>
    <row r="36">
      <c r="A36" s="10" t="n"/>
      <c r="B36" s="10" t="n"/>
      <c r="C36" s="10" t="n"/>
      <c r="D36" s="10" t="n"/>
      <c r="E36" s="10" t="n"/>
      <c r="F36" s="10" t="n"/>
      <c r="G36" s="13" t="n"/>
      <c r="H36" s="14" t="n"/>
      <c r="I36" s="10" t="n"/>
      <c r="J36" s="10" t="n"/>
    </row>
    <row r="37">
      <c r="A37" s="10" t="n"/>
      <c r="B37" s="10" t="n"/>
      <c r="C37" s="10" t="n"/>
      <c r="D37" s="10" t="n"/>
      <c r="E37" s="10" t="n"/>
      <c r="F37" s="10" t="n"/>
      <c r="G37" s="13" t="n"/>
      <c r="H37" s="14" t="n"/>
      <c r="I37" s="10" t="n"/>
      <c r="J37" s="10" t="n"/>
    </row>
    <row r="38">
      <c r="A38" s="10" t="n"/>
      <c r="B38" s="10" t="n"/>
      <c r="C38" s="10" t="n"/>
      <c r="D38" s="10" t="n"/>
      <c r="E38" s="10" t="n"/>
      <c r="F38" s="10" t="n"/>
      <c r="G38" s="13" t="n"/>
      <c r="H38" s="14" t="n"/>
      <c r="I38" s="10" t="n"/>
      <c r="J38" s="10" t="n"/>
    </row>
    <row r="39">
      <c r="A39" s="10" t="n"/>
      <c r="B39" s="10" t="n"/>
      <c r="C39" s="10" t="n"/>
      <c r="D39" s="10" t="n"/>
      <c r="E39" s="10" t="n"/>
      <c r="F39" s="10" t="n"/>
      <c r="G39" s="13" t="n"/>
      <c r="H39" s="14" t="n"/>
      <c r="I39" s="10" t="n"/>
      <c r="J39" s="10" t="n"/>
    </row>
    <row r="40">
      <c r="A40" s="10" t="n"/>
      <c r="B40" s="10" t="n"/>
      <c r="C40" s="10" t="n"/>
      <c r="D40" s="10" t="n"/>
      <c r="E40" s="10" t="n"/>
      <c r="F40" s="10" t="n"/>
      <c r="G40" s="13" t="n"/>
      <c r="H40" s="14" t="n"/>
      <c r="I40" s="10" t="n"/>
      <c r="J40" s="10" t="n"/>
    </row>
    <row r="41">
      <c r="A41" s="10" t="n"/>
      <c r="B41" s="10" t="n"/>
      <c r="C41" s="10" t="n"/>
      <c r="D41" s="10" t="n"/>
      <c r="E41" s="10" t="n"/>
      <c r="F41" s="10" t="n"/>
      <c r="G41" s="13" t="n"/>
      <c r="H41" s="14" t="n"/>
      <c r="I41" s="10" t="n"/>
      <c r="J41" s="10" t="n"/>
    </row>
    <row r="42">
      <c r="A42" s="10" t="n"/>
      <c r="B42" s="10" t="n"/>
      <c r="C42" s="10" t="n"/>
      <c r="D42" s="10" t="n"/>
      <c r="E42" s="10" t="n"/>
      <c r="F42" s="10" t="n"/>
      <c r="G42" s="13" t="n"/>
      <c r="H42" s="14" t="n"/>
      <c r="I42" s="10" t="n"/>
      <c r="J42" s="10" t="n"/>
    </row>
    <row r="43">
      <c r="A43" s="10" t="n"/>
      <c r="B43" s="10" t="n"/>
      <c r="C43" s="10" t="n"/>
      <c r="D43" s="10" t="n"/>
      <c r="E43" s="10" t="n"/>
      <c r="F43" s="10" t="n"/>
      <c r="G43" s="13" t="n"/>
      <c r="H43" s="14" t="n"/>
      <c r="I43" s="10" t="n"/>
      <c r="J43" s="10" t="n"/>
    </row>
    <row r="44">
      <c r="A44" s="10" t="n"/>
      <c r="B44" s="10" t="n"/>
      <c r="C44" s="10" t="n"/>
      <c r="D44" s="10" t="n"/>
      <c r="E44" s="10" t="n"/>
      <c r="F44" s="10" t="n"/>
      <c r="G44" s="13" t="n"/>
      <c r="H44" s="14" t="n"/>
      <c r="I44" s="10" t="n"/>
      <c r="J44" s="10" t="n"/>
    </row>
    <row r="45">
      <c r="A45" s="10" t="n"/>
      <c r="B45" s="10" t="n"/>
      <c r="C45" s="10" t="n"/>
      <c r="D45" s="10" t="n"/>
      <c r="E45" s="10" t="n"/>
      <c r="F45" s="10" t="n"/>
      <c r="G45" s="13" t="n"/>
      <c r="H45" s="14" t="n"/>
      <c r="I45" s="10" t="n"/>
      <c r="J45" s="10" t="n"/>
    </row>
    <row r="46">
      <c r="A46" s="10" t="n"/>
      <c r="B46" s="10" t="n"/>
      <c r="C46" s="10" t="n"/>
      <c r="D46" s="10" t="n"/>
      <c r="E46" s="10" t="n"/>
      <c r="F46" s="10" t="n"/>
      <c r="G46" s="13" t="n"/>
      <c r="H46" s="14" t="n"/>
      <c r="I46" s="10" t="n"/>
      <c r="J46" s="10" t="n"/>
    </row>
    <row r="47">
      <c r="A47" s="10" t="n"/>
      <c r="B47" s="10" t="n"/>
      <c r="C47" s="10" t="n"/>
      <c r="D47" s="10" t="n"/>
      <c r="E47" s="10" t="n"/>
      <c r="F47" s="10" t="n"/>
      <c r="G47" s="13" t="n"/>
      <c r="H47" s="14" t="n"/>
      <c r="I47" s="10" t="n"/>
      <c r="J47" s="10" t="n"/>
    </row>
    <row r="48">
      <c r="A48" s="10" t="n"/>
      <c r="B48" s="10" t="n"/>
      <c r="C48" s="10" t="n"/>
      <c r="D48" s="10" t="n"/>
      <c r="E48" s="10" t="n"/>
      <c r="F48" s="10" t="n"/>
      <c r="G48" s="13" t="n"/>
      <c r="H48" s="14" t="n"/>
      <c r="I48" s="10" t="n"/>
      <c r="J48" s="10" t="n"/>
    </row>
    <row r="49">
      <c r="A49" s="10" t="n"/>
      <c r="B49" s="10" t="n"/>
      <c r="C49" s="10" t="n"/>
      <c r="D49" s="10" t="n"/>
      <c r="E49" s="10" t="n"/>
      <c r="F49" s="10" t="n"/>
      <c r="G49" s="13" t="n"/>
      <c r="H49" s="14" t="n"/>
      <c r="I49" s="10" t="n"/>
      <c r="J49" s="10" t="n"/>
    </row>
    <row r="50">
      <c r="A50" s="10" t="n"/>
      <c r="B50" s="10" t="n"/>
      <c r="C50" s="10" t="n"/>
      <c r="D50" s="10" t="n"/>
      <c r="E50" s="10" t="n"/>
      <c r="F50" s="10" t="n"/>
      <c r="G50" s="13" t="n"/>
      <c r="H50" s="14" t="n"/>
      <c r="I50" s="10" t="n"/>
      <c r="J50" s="10" t="n"/>
    </row>
    <row r="51">
      <c r="A51" s="10" t="n"/>
      <c r="B51" s="10" t="n"/>
      <c r="C51" s="10" t="n"/>
      <c r="D51" s="10" t="n"/>
      <c r="E51" s="10" t="n"/>
      <c r="F51" s="10" t="n"/>
      <c r="G51" s="13" t="n"/>
      <c r="H51" s="14" t="n"/>
      <c r="I51" s="10" t="n"/>
      <c r="J51" s="10" t="n"/>
    </row>
    <row r="52">
      <c r="A52" s="10" t="n"/>
      <c r="B52" s="10" t="n"/>
      <c r="C52" s="10" t="n"/>
      <c r="D52" s="10" t="n"/>
      <c r="E52" s="10" t="n"/>
      <c r="F52" s="10" t="n"/>
      <c r="G52" s="13" t="n"/>
      <c r="H52" s="14" t="n"/>
      <c r="I52" s="10" t="n"/>
      <c r="J52" s="10" t="n"/>
    </row>
    <row r="53">
      <c r="A53" s="10" t="n"/>
      <c r="B53" s="10" t="n"/>
      <c r="C53" s="10" t="n"/>
      <c r="D53" s="10" t="n"/>
      <c r="E53" s="10" t="n"/>
      <c r="F53" s="10" t="n"/>
      <c r="G53" s="13" t="n"/>
      <c r="H53" s="14" t="n"/>
      <c r="I53" s="10" t="n"/>
      <c r="J53" s="10" t="n"/>
    </row>
    <row r="54">
      <c r="A54" s="10" t="n"/>
      <c r="B54" s="10" t="n"/>
      <c r="C54" s="10" t="n"/>
      <c r="D54" s="10" t="n"/>
      <c r="E54" s="10" t="n"/>
      <c r="F54" s="10" t="n"/>
      <c r="G54" s="13" t="n"/>
      <c r="H54" s="14" t="n"/>
      <c r="I54" s="10" t="n"/>
      <c r="J54" s="10" t="n"/>
    </row>
    <row r="55">
      <c r="A55" s="10" t="n"/>
      <c r="B55" s="10" t="n"/>
      <c r="C55" s="10" t="n"/>
      <c r="D55" s="10" t="n"/>
      <c r="E55" s="10" t="n"/>
      <c r="F55" s="10" t="n"/>
      <c r="G55" s="13" t="n"/>
      <c r="H55" s="14" t="n"/>
      <c r="I55" s="10" t="n"/>
      <c r="J55" s="10" t="n"/>
    </row>
    <row r="56">
      <c r="A56" s="10" t="n"/>
      <c r="B56" s="10" t="n"/>
      <c r="C56" s="10" t="n"/>
      <c r="D56" s="10" t="n"/>
      <c r="E56" s="10" t="n"/>
      <c r="F56" s="10" t="n"/>
      <c r="G56" s="13" t="n"/>
      <c r="H56" s="14" t="n"/>
      <c r="I56" s="10" t="n"/>
      <c r="J56" s="10" t="n"/>
    </row>
    <row r="57">
      <c r="A57" s="10" t="n"/>
      <c r="B57" s="10" t="n"/>
      <c r="C57" s="10" t="n"/>
      <c r="D57" s="10" t="n"/>
      <c r="E57" s="10" t="n"/>
      <c r="F57" s="10" t="n"/>
      <c r="G57" s="13" t="n"/>
      <c r="H57" s="14" t="n"/>
      <c r="I57" s="10" t="n"/>
      <c r="J57" s="10" t="n"/>
    </row>
    <row r="58">
      <c r="A58" s="10" t="n"/>
      <c r="B58" s="10" t="n"/>
      <c r="C58" s="10" t="n"/>
      <c r="D58" s="10" t="n"/>
      <c r="E58" s="10" t="n"/>
      <c r="F58" s="10" t="n"/>
      <c r="G58" s="13" t="n"/>
      <c r="H58" s="14" t="n"/>
      <c r="I58" s="10" t="n"/>
      <c r="J58" s="10" t="n"/>
    </row>
    <row r="59">
      <c r="A59" s="10" t="n"/>
      <c r="B59" s="10" t="n"/>
      <c r="C59" s="10" t="n"/>
      <c r="D59" s="10" t="n"/>
      <c r="E59" s="10" t="n"/>
      <c r="F59" s="10" t="n"/>
      <c r="G59" s="13" t="n"/>
      <c r="H59" s="14" t="n"/>
      <c r="I59" s="10" t="n"/>
      <c r="J59" s="10" t="n"/>
    </row>
    <row r="60">
      <c r="A60" s="10" t="n"/>
      <c r="B60" s="10" t="n"/>
      <c r="C60" s="10" t="n"/>
      <c r="D60" s="10" t="n"/>
      <c r="E60" s="10" t="n"/>
      <c r="F60" s="10" t="n"/>
      <c r="G60" s="13" t="n"/>
      <c r="H60" s="14" t="n"/>
      <c r="I60" s="10" t="n"/>
      <c r="J60" s="10" t="n"/>
    </row>
    <row r="61">
      <c r="A61" s="10" t="n"/>
      <c r="B61" s="10" t="n"/>
      <c r="C61" s="10" t="n"/>
      <c r="D61" s="10" t="n"/>
      <c r="E61" s="10" t="n"/>
      <c r="F61" s="10" t="n"/>
      <c r="G61" s="13" t="n"/>
      <c r="H61" s="14" t="n"/>
      <c r="I61" s="10" t="n"/>
      <c r="J61" s="10" t="n"/>
    </row>
    <row r="62">
      <c r="A62" s="10" t="n"/>
      <c r="B62" s="10" t="n"/>
      <c r="C62" s="10" t="n"/>
      <c r="D62" s="10" t="n"/>
      <c r="E62" s="10" t="n"/>
      <c r="F62" s="10" t="n"/>
      <c r="G62" s="13" t="n"/>
      <c r="H62" s="14" t="n"/>
      <c r="I62" s="10" t="n"/>
      <c r="J62" s="10" t="n"/>
    </row>
    <row r="63">
      <c r="A63" s="10" t="n"/>
      <c r="B63" s="10" t="n"/>
      <c r="C63" s="10" t="n"/>
      <c r="D63" s="10" t="n"/>
      <c r="E63" s="10" t="n"/>
      <c r="F63" s="10" t="n"/>
      <c r="G63" s="13" t="n"/>
      <c r="H63" s="14" t="n"/>
      <c r="I63" s="10" t="n"/>
      <c r="J63" s="10" t="n"/>
    </row>
  </sheetData>
  <mergeCells count="1">
    <mergeCell ref="A1:J1"/>
  </mergeCells>
  <dataValidations count="2">
    <dataValidation sqref="D4:D63" showDropDown="0" showInputMessage="0" showErrorMessage="0" allowBlank="1" type="list">
      <formula1>"Yes,No"</formula1>
    </dataValidation>
    <dataValidation sqref="I4:I63" showDropDown="0" showInputMessage="0" showErrorMessage="0" allowBlank="1" type="list">
      <formula1>"Active,Terminated,On Leave"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V37"/>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12" customWidth="1" min="3" max="3"/>
    <col width="22" customWidth="1" min="4" max="4"/>
    <col width="7" customWidth="1" min="5" max="5"/>
    <col width="7" customWidth="1" min="6" max="6"/>
    <col width="7" customWidth="1" min="7" max="7"/>
    <col width="7" customWidth="1" min="8" max="8"/>
    <col width="7" customWidth="1" min="9" max="9"/>
    <col width="7" customWidth="1" min="10" max="10"/>
    <col width="7" customWidth="1" min="11" max="11"/>
    <col width="10" customWidth="1" min="12" max="12"/>
    <col width="10" customWidth="1" min="13" max="13"/>
    <col width="11" customWidth="1" min="14" max="14"/>
    <col width="11" customWidth="1" min="15" max="15"/>
    <col width="13" customWidth="1" min="16" max="16"/>
    <col width="13" customWidth="1" min="17" max="17"/>
    <col width="13" customWidth="1" min="18" max="18"/>
    <col width="14" customWidth="1" min="19" max="19"/>
    <col width="12" customWidth="1" min="20" max="20"/>
    <col width="13" customWidth="1" min="21" max="21"/>
    <col width="18" customWidth="1" min="22" max="22"/>
  </cols>
  <sheetData>
    <row r="1" ht="32" customHeight="1">
      <c r="A1" s="1" t="inlineStr">
        <is>
          <t>WEEKLY CERTIFIED PAYROLL — WH-347 Style</t>
        </is>
      </c>
    </row>
    <row r="2">
      <c r="A2" s="15" t="inlineStr">
        <is>
          <t>Project:</t>
        </is>
      </c>
      <c r="B2">
        <f>ProjectName</f>
        <v/>
      </c>
      <c r="F2" s="15" t="inlineStr">
        <is>
          <t>Payroll #:</t>
        </is>
      </c>
      <c r="G2">
        <f>PayrollNo</f>
        <v/>
      </c>
      <c r="H2" s="15" t="inlineStr">
        <is>
          <t>Week Ending:</t>
        </is>
      </c>
      <c r="I2" s="16">
        <f>WeekEnding</f>
        <v/>
      </c>
      <c r="J2" s="15" t="inlineStr">
        <is>
          <t>Subcontractor:</t>
        </is>
      </c>
      <c r="K2">
        <f>SubName</f>
        <v/>
      </c>
      <c r="O2" s="15" t="inlineStr">
        <is>
          <t>Prime Contract:</t>
        </is>
      </c>
      <c r="P2">
        <f>PrimeContractNo</f>
        <v/>
      </c>
    </row>
    <row r="4" ht="30" customHeight="1">
      <c r="A4" s="9" t="inlineStr">
        <is>
          <t>#</t>
        </is>
      </c>
      <c r="B4" s="9" t="inlineStr">
        <is>
          <t>Worker Name</t>
        </is>
      </c>
      <c r="C4" s="9" t="inlineStr">
        <is>
          <t>Emp ID</t>
        </is>
      </c>
      <c r="D4" s="9" t="inlineStr">
        <is>
          <t>Classification</t>
        </is>
      </c>
      <c r="E4" s="9" t="inlineStr">
        <is>
          <t>Sun</t>
        </is>
      </c>
      <c r="F4" s="9" t="inlineStr">
        <is>
          <t>Mon</t>
        </is>
      </c>
      <c r="G4" s="9" t="inlineStr">
        <is>
          <t>Tue</t>
        </is>
      </c>
      <c r="H4" s="9" t="inlineStr">
        <is>
          <t>Wed</t>
        </is>
      </c>
      <c r="I4" s="9" t="inlineStr">
        <is>
          <t>Thu</t>
        </is>
      </c>
      <c r="J4" s="9" t="inlineStr">
        <is>
          <t>Fri</t>
        </is>
      </c>
      <c r="K4" s="9" t="inlineStr">
        <is>
          <t>Sat</t>
        </is>
      </c>
      <c r="L4" s="9" t="inlineStr">
        <is>
          <t>Total ST</t>
        </is>
      </c>
      <c r="M4" s="9" t="inlineStr">
        <is>
          <t>Total OT</t>
        </is>
      </c>
      <c r="N4" s="9" t="inlineStr">
        <is>
          <t>ST Rate</t>
        </is>
      </c>
      <c r="O4" s="9" t="inlineStr">
        <is>
          <t>OT Rate</t>
        </is>
      </c>
      <c r="P4" s="9" t="inlineStr">
        <is>
          <t>ST Gross</t>
        </is>
      </c>
      <c r="Q4" s="9" t="inlineStr">
        <is>
          <t>OT Gross</t>
        </is>
      </c>
      <c r="R4" s="9" t="inlineStr">
        <is>
          <t>Fringe (Cash)</t>
        </is>
      </c>
      <c r="S4" s="9" t="inlineStr">
        <is>
          <t>Total Gross</t>
        </is>
      </c>
      <c r="T4" s="9" t="inlineStr">
        <is>
          <t>Deductions</t>
        </is>
      </c>
      <c r="U4" s="9" t="inlineStr">
        <is>
          <t>Net Wages</t>
        </is>
      </c>
      <c r="V4" s="9" t="inlineStr">
        <is>
          <t>Notes</t>
        </is>
      </c>
    </row>
    <row r="5">
      <c r="E5" s="8" t="inlineStr">
        <is>
          <t>ST | OT</t>
        </is>
      </c>
      <c r="F5" s="8" t="inlineStr">
        <is>
          <t>ST | OT</t>
        </is>
      </c>
      <c r="G5" s="8" t="inlineStr">
        <is>
          <t>ST | OT</t>
        </is>
      </c>
      <c r="H5" s="8" t="inlineStr">
        <is>
          <t>ST | OT</t>
        </is>
      </c>
      <c r="I5" s="8" t="inlineStr">
        <is>
          <t>ST | OT</t>
        </is>
      </c>
      <c r="J5" s="8" t="inlineStr">
        <is>
          <t>ST | OT</t>
        </is>
      </c>
      <c r="K5" s="8" t="inlineStr">
        <is>
          <t>ST | OT</t>
        </is>
      </c>
    </row>
    <row r="6">
      <c r="A6" s="10">
        <f>IF(B6="","",ROW()-5)</f>
        <v/>
      </c>
      <c r="B6" s="10" t="n"/>
      <c r="C6" s="10" t="n"/>
      <c r="D6" s="10" t="n"/>
      <c r="E6" s="12" t="n"/>
      <c r="F6" s="12" t="n"/>
      <c r="G6" s="12" t="n"/>
      <c r="H6" s="12" t="n"/>
      <c r="I6" s="12" t="n"/>
      <c r="J6" s="12" t="n"/>
      <c r="K6" s="12" t="n"/>
      <c r="L6" s="12">
        <f>SUM(E6:K6)</f>
        <v/>
      </c>
      <c r="M6" s="12" t="n"/>
      <c r="N6" s="11">
        <f>IFERROR((VLOOKUP(D6,WDTable,2,FALSE)*IFERROR(VLOOKUP(B6,'Workers Master'!A:G,7,FALSE),1))+VLOOKUP(D6,WDTable,4,FALSE),"")</f>
        <v/>
      </c>
      <c r="O6" s="11">
        <f>IFERROR((VLOOKUP(D6,WDTable,2,FALSE)*IFERROR(VLOOKUP(B6,'Workers Master'!A:G,7,FALSE),1)*VLOOKUP(D6,WDTable,6,FALSE))+VLOOKUP(D6,WDTable,4,FALSE),"")</f>
        <v/>
      </c>
      <c r="P6" s="11">
        <f>IF(N6="","",L6*N6)</f>
        <v/>
      </c>
      <c r="Q6" s="11">
        <f>IF(O6="","",M6*O6)</f>
        <v/>
      </c>
      <c r="R6" s="11">
        <f>IFERROR(VLOOKUP(D6,WDTable,5,FALSE)*(L6+M6),"")</f>
        <v/>
      </c>
      <c r="S6" s="11">
        <f>IF(P6="","",IFERROR(P6,0)+IFERROR(Q6,0))</f>
        <v/>
      </c>
      <c r="T6" s="11" t="n"/>
      <c r="U6" s="11">
        <f>IF(S6="","",IFERROR(S6,0)-IFERROR(T6,0))</f>
        <v/>
      </c>
      <c r="V6" s="10" t="n"/>
    </row>
    <row r="7">
      <c r="A7" s="10">
        <f>IF(B7="","",ROW()-5)</f>
        <v/>
      </c>
      <c r="B7" s="10" t="n"/>
      <c r="C7" s="10" t="n"/>
      <c r="D7" s="10" t="n"/>
      <c r="E7" s="12" t="n"/>
      <c r="F7" s="12" t="n"/>
      <c r="G7" s="12" t="n"/>
      <c r="H7" s="12" t="n"/>
      <c r="I7" s="12" t="n"/>
      <c r="J7" s="12" t="n"/>
      <c r="K7" s="12" t="n"/>
      <c r="L7" s="12">
        <f>SUM(E7:K7)</f>
        <v/>
      </c>
      <c r="M7" s="12" t="n"/>
      <c r="N7" s="11">
        <f>IFERROR((VLOOKUP(D7,WDTable,2,FALSE)*IFERROR(VLOOKUP(B7,'Workers Master'!A:G,7,FALSE),1))+VLOOKUP(D7,WDTable,4,FALSE),"")</f>
        <v/>
      </c>
      <c r="O7" s="11">
        <f>IFERROR((VLOOKUP(D7,WDTable,2,FALSE)*IFERROR(VLOOKUP(B7,'Workers Master'!A:G,7,FALSE),1)*VLOOKUP(D7,WDTable,6,FALSE))+VLOOKUP(D7,WDTable,4,FALSE),"")</f>
        <v/>
      </c>
      <c r="P7" s="11">
        <f>IF(N7="","",L7*N7)</f>
        <v/>
      </c>
      <c r="Q7" s="11">
        <f>IF(O7="","",M7*O7)</f>
        <v/>
      </c>
      <c r="R7" s="11">
        <f>IFERROR(VLOOKUP(D7,WDTable,5,FALSE)*(L7+M7),"")</f>
        <v/>
      </c>
      <c r="S7" s="11">
        <f>IF(P7="","",IFERROR(P7,0)+IFERROR(Q7,0))</f>
        <v/>
      </c>
      <c r="T7" s="11" t="n"/>
      <c r="U7" s="11">
        <f>IF(S7="","",IFERROR(S7,0)-IFERROR(T7,0))</f>
        <v/>
      </c>
      <c r="V7" s="10" t="n"/>
    </row>
    <row r="8">
      <c r="A8" s="10">
        <f>IF(B8="","",ROW()-5)</f>
        <v/>
      </c>
      <c r="B8" s="10" t="n"/>
      <c r="C8" s="10" t="n"/>
      <c r="D8" s="10" t="n"/>
      <c r="E8" s="12" t="n"/>
      <c r="F8" s="12" t="n"/>
      <c r="G8" s="12" t="n"/>
      <c r="H8" s="12" t="n"/>
      <c r="I8" s="12" t="n"/>
      <c r="J8" s="12" t="n"/>
      <c r="K8" s="12" t="n"/>
      <c r="L8" s="12">
        <f>SUM(E8:K8)</f>
        <v/>
      </c>
      <c r="M8" s="12" t="n"/>
      <c r="N8" s="11">
        <f>IFERROR((VLOOKUP(D8,WDTable,2,FALSE)*IFERROR(VLOOKUP(B8,'Workers Master'!A:G,7,FALSE),1))+VLOOKUP(D8,WDTable,4,FALSE),"")</f>
        <v/>
      </c>
      <c r="O8" s="11">
        <f>IFERROR((VLOOKUP(D8,WDTable,2,FALSE)*IFERROR(VLOOKUP(B8,'Workers Master'!A:G,7,FALSE),1)*VLOOKUP(D8,WDTable,6,FALSE))+VLOOKUP(D8,WDTable,4,FALSE),"")</f>
        <v/>
      </c>
      <c r="P8" s="11">
        <f>IF(N8="","",L8*N8)</f>
        <v/>
      </c>
      <c r="Q8" s="11">
        <f>IF(O8="","",M8*O8)</f>
        <v/>
      </c>
      <c r="R8" s="11">
        <f>IFERROR(VLOOKUP(D8,WDTable,5,FALSE)*(L8+M8),"")</f>
        <v/>
      </c>
      <c r="S8" s="11">
        <f>IF(P8="","",IFERROR(P8,0)+IFERROR(Q8,0))</f>
        <v/>
      </c>
      <c r="T8" s="11" t="n"/>
      <c r="U8" s="11">
        <f>IF(S8="","",IFERROR(S8,0)-IFERROR(T8,0))</f>
        <v/>
      </c>
      <c r="V8" s="10" t="n"/>
    </row>
    <row r="9">
      <c r="A9" s="10">
        <f>IF(B9="","",ROW()-5)</f>
        <v/>
      </c>
      <c r="B9" s="10" t="n"/>
      <c r="C9" s="10" t="n"/>
      <c r="D9" s="10" t="n"/>
      <c r="E9" s="12" t="n"/>
      <c r="F9" s="12" t="n"/>
      <c r="G9" s="12" t="n"/>
      <c r="H9" s="12" t="n"/>
      <c r="I9" s="12" t="n"/>
      <c r="J9" s="12" t="n"/>
      <c r="K9" s="12" t="n"/>
      <c r="L9" s="12">
        <f>SUM(E9:K9)</f>
        <v/>
      </c>
      <c r="M9" s="12" t="n"/>
      <c r="N9" s="11">
        <f>IFERROR((VLOOKUP(D9,WDTable,2,FALSE)*IFERROR(VLOOKUP(B9,'Workers Master'!A:G,7,FALSE),1))+VLOOKUP(D9,WDTable,4,FALSE),"")</f>
        <v/>
      </c>
      <c r="O9" s="11">
        <f>IFERROR((VLOOKUP(D9,WDTable,2,FALSE)*IFERROR(VLOOKUP(B9,'Workers Master'!A:G,7,FALSE),1)*VLOOKUP(D9,WDTable,6,FALSE))+VLOOKUP(D9,WDTable,4,FALSE),"")</f>
        <v/>
      </c>
      <c r="P9" s="11">
        <f>IF(N9="","",L9*N9)</f>
        <v/>
      </c>
      <c r="Q9" s="11">
        <f>IF(O9="","",M9*O9)</f>
        <v/>
      </c>
      <c r="R9" s="11">
        <f>IFERROR(VLOOKUP(D9,WDTable,5,FALSE)*(L9+M9),"")</f>
        <v/>
      </c>
      <c r="S9" s="11">
        <f>IF(P9="","",IFERROR(P9,0)+IFERROR(Q9,0))</f>
        <v/>
      </c>
      <c r="T9" s="11" t="n"/>
      <c r="U9" s="11">
        <f>IF(S9="","",IFERROR(S9,0)-IFERROR(T9,0))</f>
        <v/>
      </c>
      <c r="V9" s="10" t="n"/>
    </row>
    <row r="10">
      <c r="A10" s="10">
        <f>IF(B10="","",ROW()-5)</f>
        <v/>
      </c>
      <c r="B10" s="10" t="n"/>
      <c r="C10" s="10" t="n"/>
      <c r="D10" s="10" t="n"/>
      <c r="E10" s="12" t="n"/>
      <c r="F10" s="12" t="n"/>
      <c r="G10" s="12" t="n"/>
      <c r="H10" s="12" t="n"/>
      <c r="I10" s="12" t="n"/>
      <c r="J10" s="12" t="n"/>
      <c r="K10" s="12" t="n"/>
      <c r="L10" s="12">
        <f>SUM(E10:K10)</f>
        <v/>
      </c>
      <c r="M10" s="12" t="n"/>
      <c r="N10" s="11">
        <f>IFERROR((VLOOKUP(D10,WDTable,2,FALSE)*IFERROR(VLOOKUP(B10,'Workers Master'!A:G,7,FALSE),1))+VLOOKUP(D10,WDTable,4,FALSE),"")</f>
        <v/>
      </c>
      <c r="O10" s="11">
        <f>IFERROR((VLOOKUP(D10,WDTable,2,FALSE)*IFERROR(VLOOKUP(B10,'Workers Master'!A:G,7,FALSE),1)*VLOOKUP(D10,WDTable,6,FALSE))+VLOOKUP(D10,WDTable,4,FALSE),"")</f>
        <v/>
      </c>
      <c r="P10" s="11">
        <f>IF(N10="","",L10*N10)</f>
        <v/>
      </c>
      <c r="Q10" s="11">
        <f>IF(O10="","",M10*O10)</f>
        <v/>
      </c>
      <c r="R10" s="11">
        <f>IFERROR(VLOOKUP(D10,WDTable,5,FALSE)*(L10+M10),"")</f>
        <v/>
      </c>
      <c r="S10" s="11">
        <f>IF(P10="","",IFERROR(P10,0)+IFERROR(Q10,0))</f>
        <v/>
      </c>
      <c r="T10" s="11" t="n"/>
      <c r="U10" s="11">
        <f>IF(S10="","",IFERROR(S10,0)-IFERROR(T10,0))</f>
        <v/>
      </c>
      <c r="V10" s="10" t="n"/>
    </row>
    <row r="11">
      <c r="A11" s="10">
        <f>IF(B11="","",ROW()-5)</f>
        <v/>
      </c>
      <c r="B11" s="10" t="n"/>
      <c r="C11" s="10" t="n"/>
      <c r="D11" s="10" t="n"/>
      <c r="E11" s="12" t="n"/>
      <c r="F11" s="12" t="n"/>
      <c r="G11" s="12" t="n"/>
      <c r="H11" s="12" t="n"/>
      <c r="I11" s="12" t="n"/>
      <c r="J11" s="12" t="n"/>
      <c r="K11" s="12" t="n"/>
      <c r="L11" s="12">
        <f>SUM(E11:K11)</f>
        <v/>
      </c>
      <c r="M11" s="12" t="n"/>
      <c r="N11" s="11">
        <f>IFERROR((VLOOKUP(D11,WDTable,2,FALSE)*IFERROR(VLOOKUP(B11,'Workers Master'!A:G,7,FALSE),1))+VLOOKUP(D11,WDTable,4,FALSE),"")</f>
        <v/>
      </c>
      <c r="O11" s="11">
        <f>IFERROR((VLOOKUP(D11,WDTable,2,FALSE)*IFERROR(VLOOKUP(B11,'Workers Master'!A:G,7,FALSE),1)*VLOOKUP(D11,WDTable,6,FALSE))+VLOOKUP(D11,WDTable,4,FALSE),"")</f>
        <v/>
      </c>
      <c r="P11" s="11">
        <f>IF(N11="","",L11*N11)</f>
        <v/>
      </c>
      <c r="Q11" s="11">
        <f>IF(O11="","",M11*O11)</f>
        <v/>
      </c>
      <c r="R11" s="11">
        <f>IFERROR(VLOOKUP(D11,WDTable,5,FALSE)*(L11+M11),"")</f>
        <v/>
      </c>
      <c r="S11" s="11">
        <f>IF(P11="","",IFERROR(P11,0)+IFERROR(Q11,0))</f>
        <v/>
      </c>
      <c r="T11" s="11" t="n"/>
      <c r="U11" s="11">
        <f>IF(S11="","",IFERROR(S11,0)-IFERROR(T11,0))</f>
        <v/>
      </c>
      <c r="V11" s="10" t="n"/>
    </row>
    <row r="12">
      <c r="A12" s="10">
        <f>IF(B12="","",ROW()-5)</f>
        <v/>
      </c>
      <c r="B12" s="10" t="n"/>
      <c r="C12" s="10" t="n"/>
      <c r="D12" s="10" t="n"/>
      <c r="E12" s="12" t="n"/>
      <c r="F12" s="12" t="n"/>
      <c r="G12" s="12" t="n"/>
      <c r="H12" s="12" t="n"/>
      <c r="I12" s="12" t="n"/>
      <c r="J12" s="12" t="n"/>
      <c r="K12" s="12" t="n"/>
      <c r="L12" s="12">
        <f>SUM(E12:K12)</f>
        <v/>
      </c>
      <c r="M12" s="12" t="n"/>
      <c r="N12" s="11">
        <f>IFERROR((VLOOKUP(D12,WDTable,2,FALSE)*IFERROR(VLOOKUP(B12,'Workers Master'!A:G,7,FALSE),1))+VLOOKUP(D12,WDTable,4,FALSE),"")</f>
        <v/>
      </c>
      <c r="O12" s="11">
        <f>IFERROR((VLOOKUP(D12,WDTable,2,FALSE)*IFERROR(VLOOKUP(B12,'Workers Master'!A:G,7,FALSE),1)*VLOOKUP(D12,WDTable,6,FALSE))+VLOOKUP(D12,WDTable,4,FALSE),"")</f>
        <v/>
      </c>
      <c r="P12" s="11">
        <f>IF(N12="","",L12*N12)</f>
        <v/>
      </c>
      <c r="Q12" s="11">
        <f>IF(O12="","",M12*O12)</f>
        <v/>
      </c>
      <c r="R12" s="11">
        <f>IFERROR(VLOOKUP(D12,WDTable,5,FALSE)*(L12+M12),"")</f>
        <v/>
      </c>
      <c r="S12" s="11">
        <f>IF(P12="","",IFERROR(P12,0)+IFERROR(Q12,0))</f>
        <v/>
      </c>
      <c r="T12" s="11" t="n"/>
      <c r="U12" s="11">
        <f>IF(S12="","",IFERROR(S12,0)-IFERROR(T12,0))</f>
        <v/>
      </c>
      <c r="V12" s="10" t="n"/>
    </row>
    <row r="13">
      <c r="A13" s="10">
        <f>IF(B13="","",ROW()-5)</f>
        <v/>
      </c>
      <c r="B13" s="10" t="n"/>
      <c r="C13" s="10" t="n"/>
      <c r="D13" s="10" t="n"/>
      <c r="E13" s="12" t="n"/>
      <c r="F13" s="12" t="n"/>
      <c r="G13" s="12" t="n"/>
      <c r="H13" s="12" t="n"/>
      <c r="I13" s="12" t="n"/>
      <c r="J13" s="12" t="n"/>
      <c r="K13" s="12" t="n"/>
      <c r="L13" s="12">
        <f>SUM(E13:K13)</f>
        <v/>
      </c>
      <c r="M13" s="12" t="n"/>
      <c r="N13" s="11">
        <f>IFERROR((VLOOKUP(D13,WDTable,2,FALSE)*IFERROR(VLOOKUP(B13,'Workers Master'!A:G,7,FALSE),1))+VLOOKUP(D13,WDTable,4,FALSE),"")</f>
        <v/>
      </c>
      <c r="O13" s="11">
        <f>IFERROR((VLOOKUP(D13,WDTable,2,FALSE)*IFERROR(VLOOKUP(B13,'Workers Master'!A:G,7,FALSE),1)*VLOOKUP(D13,WDTable,6,FALSE))+VLOOKUP(D13,WDTable,4,FALSE),"")</f>
        <v/>
      </c>
      <c r="P13" s="11">
        <f>IF(N13="","",L13*N13)</f>
        <v/>
      </c>
      <c r="Q13" s="11">
        <f>IF(O13="","",M13*O13)</f>
        <v/>
      </c>
      <c r="R13" s="11">
        <f>IFERROR(VLOOKUP(D13,WDTable,5,FALSE)*(L13+M13),"")</f>
        <v/>
      </c>
      <c r="S13" s="11">
        <f>IF(P13="","",IFERROR(P13,0)+IFERROR(Q13,0))</f>
        <v/>
      </c>
      <c r="T13" s="11" t="n"/>
      <c r="U13" s="11">
        <f>IF(S13="","",IFERROR(S13,0)-IFERROR(T13,0))</f>
        <v/>
      </c>
      <c r="V13" s="10" t="n"/>
    </row>
    <row r="14">
      <c r="A14" s="10">
        <f>IF(B14="","",ROW()-5)</f>
        <v/>
      </c>
      <c r="B14" s="10" t="n"/>
      <c r="C14" s="10" t="n"/>
      <c r="D14" s="10" t="n"/>
      <c r="E14" s="12" t="n"/>
      <c r="F14" s="12" t="n"/>
      <c r="G14" s="12" t="n"/>
      <c r="H14" s="12" t="n"/>
      <c r="I14" s="12" t="n"/>
      <c r="J14" s="12" t="n"/>
      <c r="K14" s="12" t="n"/>
      <c r="L14" s="12">
        <f>SUM(E14:K14)</f>
        <v/>
      </c>
      <c r="M14" s="12" t="n"/>
      <c r="N14" s="11">
        <f>IFERROR((VLOOKUP(D14,WDTable,2,FALSE)*IFERROR(VLOOKUP(B14,'Workers Master'!A:G,7,FALSE),1))+VLOOKUP(D14,WDTable,4,FALSE),"")</f>
        <v/>
      </c>
      <c r="O14" s="11">
        <f>IFERROR((VLOOKUP(D14,WDTable,2,FALSE)*IFERROR(VLOOKUP(B14,'Workers Master'!A:G,7,FALSE),1)*VLOOKUP(D14,WDTable,6,FALSE))+VLOOKUP(D14,WDTable,4,FALSE),"")</f>
        <v/>
      </c>
      <c r="P14" s="11">
        <f>IF(N14="","",L14*N14)</f>
        <v/>
      </c>
      <c r="Q14" s="11">
        <f>IF(O14="","",M14*O14)</f>
        <v/>
      </c>
      <c r="R14" s="11">
        <f>IFERROR(VLOOKUP(D14,WDTable,5,FALSE)*(L14+M14),"")</f>
        <v/>
      </c>
      <c r="S14" s="11">
        <f>IF(P14="","",IFERROR(P14,0)+IFERROR(Q14,0))</f>
        <v/>
      </c>
      <c r="T14" s="11" t="n"/>
      <c r="U14" s="11">
        <f>IF(S14="","",IFERROR(S14,0)-IFERROR(T14,0))</f>
        <v/>
      </c>
      <c r="V14" s="10" t="n"/>
    </row>
    <row r="15">
      <c r="A15" s="10">
        <f>IF(B15="","",ROW()-5)</f>
        <v/>
      </c>
      <c r="B15" s="10" t="n"/>
      <c r="C15" s="10" t="n"/>
      <c r="D15" s="10" t="n"/>
      <c r="E15" s="12" t="n"/>
      <c r="F15" s="12" t="n"/>
      <c r="G15" s="12" t="n"/>
      <c r="H15" s="12" t="n"/>
      <c r="I15" s="12" t="n"/>
      <c r="J15" s="12" t="n"/>
      <c r="K15" s="12" t="n"/>
      <c r="L15" s="12">
        <f>SUM(E15:K15)</f>
        <v/>
      </c>
      <c r="M15" s="12" t="n"/>
      <c r="N15" s="11">
        <f>IFERROR((VLOOKUP(D15,WDTable,2,FALSE)*IFERROR(VLOOKUP(B15,'Workers Master'!A:G,7,FALSE),1))+VLOOKUP(D15,WDTable,4,FALSE),"")</f>
        <v/>
      </c>
      <c r="O15" s="11">
        <f>IFERROR((VLOOKUP(D15,WDTable,2,FALSE)*IFERROR(VLOOKUP(B15,'Workers Master'!A:G,7,FALSE),1)*VLOOKUP(D15,WDTable,6,FALSE))+VLOOKUP(D15,WDTable,4,FALSE),"")</f>
        <v/>
      </c>
      <c r="P15" s="11">
        <f>IF(N15="","",L15*N15)</f>
        <v/>
      </c>
      <c r="Q15" s="11">
        <f>IF(O15="","",M15*O15)</f>
        <v/>
      </c>
      <c r="R15" s="11">
        <f>IFERROR(VLOOKUP(D15,WDTable,5,FALSE)*(L15+M15),"")</f>
        <v/>
      </c>
      <c r="S15" s="11">
        <f>IF(P15="","",IFERROR(P15,0)+IFERROR(Q15,0))</f>
        <v/>
      </c>
      <c r="T15" s="11" t="n"/>
      <c r="U15" s="11">
        <f>IF(S15="","",IFERROR(S15,0)-IFERROR(T15,0))</f>
        <v/>
      </c>
      <c r="V15" s="10" t="n"/>
    </row>
    <row r="16">
      <c r="A16" s="10">
        <f>IF(B16="","",ROW()-5)</f>
        <v/>
      </c>
      <c r="B16" s="10" t="n"/>
      <c r="C16" s="10" t="n"/>
      <c r="D16" s="10" t="n"/>
      <c r="E16" s="12" t="n"/>
      <c r="F16" s="12" t="n"/>
      <c r="G16" s="12" t="n"/>
      <c r="H16" s="12" t="n"/>
      <c r="I16" s="12" t="n"/>
      <c r="J16" s="12" t="n"/>
      <c r="K16" s="12" t="n"/>
      <c r="L16" s="12">
        <f>SUM(E16:K16)</f>
        <v/>
      </c>
      <c r="M16" s="12" t="n"/>
      <c r="N16" s="11">
        <f>IFERROR((VLOOKUP(D16,WDTable,2,FALSE)*IFERROR(VLOOKUP(B16,'Workers Master'!A:G,7,FALSE),1))+VLOOKUP(D16,WDTable,4,FALSE),"")</f>
        <v/>
      </c>
      <c r="O16" s="11">
        <f>IFERROR((VLOOKUP(D16,WDTable,2,FALSE)*IFERROR(VLOOKUP(B16,'Workers Master'!A:G,7,FALSE),1)*VLOOKUP(D16,WDTable,6,FALSE))+VLOOKUP(D16,WDTable,4,FALSE),"")</f>
        <v/>
      </c>
      <c r="P16" s="11">
        <f>IF(N16="","",L16*N16)</f>
        <v/>
      </c>
      <c r="Q16" s="11">
        <f>IF(O16="","",M16*O16)</f>
        <v/>
      </c>
      <c r="R16" s="11">
        <f>IFERROR(VLOOKUP(D16,WDTable,5,FALSE)*(L16+M16),"")</f>
        <v/>
      </c>
      <c r="S16" s="11">
        <f>IF(P16="","",IFERROR(P16,0)+IFERROR(Q16,0))</f>
        <v/>
      </c>
      <c r="T16" s="11" t="n"/>
      <c r="U16" s="11">
        <f>IF(S16="","",IFERROR(S16,0)-IFERROR(T16,0))</f>
        <v/>
      </c>
      <c r="V16" s="10" t="n"/>
    </row>
    <row r="17">
      <c r="A17" s="10">
        <f>IF(B17="","",ROW()-5)</f>
        <v/>
      </c>
      <c r="B17" s="10" t="n"/>
      <c r="C17" s="10" t="n"/>
      <c r="D17" s="10" t="n"/>
      <c r="E17" s="12" t="n"/>
      <c r="F17" s="12" t="n"/>
      <c r="G17" s="12" t="n"/>
      <c r="H17" s="12" t="n"/>
      <c r="I17" s="12" t="n"/>
      <c r="J17" s="12" t="n"/>
      <c r="K17" s="12" t="n"/>
      <c r="L17" s="12">
        <f>SUM(E17:K17)</f>
        <v/>
      </c>
      <c r="M17" s="12" t="n"/>
      <c r="N17" s="11">
        <f>IFERROR((VLOOKUP(D17,WDTable,2,FALSE)*IFERROR(VLOOKUP(B17,'Workers Master'!A:G,7,FALSE),1))+VLOOKUP(D17,WDTable,4,FALSE),"")</f>
        <v/>
      </c>
      <c r="O17" s="11">
        <f>IFERROR((VLOOKUP(D17,WDTable,2,FALSE)*IFERROR(VLOOKUP(B17,'Workers Master'!A:G,7,FALSE),1)*VLOOKUP(D17,WDTable,6,FALSE))+VLOOKUP(D17,WDTable,4,FALSE),"")</f>
        <v/>
      </c>
      <c r="P17" s="11">
        <f>IF(N17="","",L17*N17)</f>
        <v/>
      </c>
      <c r="Q17" s="11">
        <f>IF(O17="","",M17*O17)</f>
        <v/>
      </c>
      <c r="R17" s="11">
        <f>IFERROR(VLOOKUP(D17,WDTable,5,FALSE)*(L17+M17),"")</f>
        <v/>
      </c>
      <c r="S17" s="11">
        <f>IF(P17="","",IFERROR(P17,0)+IFERROR(Q17,0))</f>
        <v/>
      </c>
      <c r="T17" s="11" t="n"/>
      <c r="U17" s="11">
        <f>IF(S17="","",IFERROR(S17,0)-IFERROR(T17,0))</f>
        <v/>
      </c>
      <c r="V17" s="10" t="n"/>
    </row>
    <row r="18">
      <c r="A18" s="10">
        <f>IF(B18="","",ROW()-5)</f>
        <v/>
      </c>
      <c r="B18" s="10" t="n"/>
      <c r="C18" s="10" t="n"/>
      <c r="D18" s="10" t="n"/>
      <c r="E18" s="12" t="n"/>
      <c r="F18" s="12" t="n"/>
      <c r="G18" s="12" t="n"/>
      <c r="H18" s="12" t="n"/>
      <c r="I18" s="12" t="n"/>
      <c r="J18" s="12" t="n"/>
      <c r="K18" s="12" t="n"/>
      <c r="L18" s="12">
        <f>SUM(E18:K18)</f>
        <v/>
      </c>
      <c r="M18" s="12" t="n"/>
      <c r="N18" s="11">
        <f>IFERROR((VLOOKUP(D18,WDTable,2,FALSE)*IFERROR(VLOOKUP(B18,'Workers Master'!A:G,7,FALSE),1))+VLOOKUP(D18,WDTable,4,FALSE),"")</f>
        <v/>
      </c>
      <c r="O18" s="11">
        <f>IFERROR((VLOOKUP(D18,WDTable,2,FALSE)*IFERROR(VLOOKUP(B18,'Workers Master'!A:G,7,FALSE),1)*VLOOKUP(D18,WDTable,6,FALSE))+VLOOKUP(D18,WDTable,4,FALSE),"")</f>
        <v/>
      </c>
      <c r="P18" s="11">
        <f>IF(N18="","",L18*N18)</f>
        <v/>
      </c>
      <c r="Q18" s="11">
        <f>IF(O18="","",M18*O18)</f>
        <v/>
      </c>
      <c r="R18" s="11">
        <f>IFERROR(VLOOKUP(D18,WDTable,5,FALSE)*(L18+M18),"")</f>
        <v/>
      </c>
      <c r="S18" s="11">
        <f>IF(P18="","",IFERROR(P18,0)+IFERROR(Q18,0))</f>
        <v/>
      </c>
      <c r="T18" s="11" t="n"/>
      <c r="U18" s="11">
        <f>IF(S18="","",IFERROR(S18,0)-IFERROR(T18,0))</f>
        <v/>
      </c>
      <c r="V18" s="10" t="n"/>
    </row>
    <row r="19">
      <c r="A19" s="10">
        <f>IF(B19="","",ROW()-5)</f>
        <v/>
      </c>
      <c r="B19" s="10" t="n"/>
      <c r="C19" s="10" t="n"/>
      <c r="D19" s="10" t="n"/>
      <c r="E19" s="12" t="n"/>
      <c r="F19" s="12" t="n"/>
      <c r="G19" s="12" t="n"/>
      <c r="H19" s="12" t="n"/>
      <c r="I19" s="12" t="n"/>
      <c r="J19" s="12" t="n"/>
      <c r="K19" s="12" t="n"/>
      <c r="L19" s="12">
        <f>SUM(E19:K19)</f>
        <v/>
      </c>
      <c r="M19" s="12" t="n"/>
      <c r="N19" s="11">
        <f>IFERROR((VLOOKUP(D19,WDTable,2,FALSE)*IFERROR(VLOOKUP(B19,'Workers Master'!A:G,7,FALSE),1))+VLOOKUP(D19,WDTable,4,FALSE),"")</f>
        <v/>
      </c>
      <c r="O19" s="11">
        <f>IFERROR((VLOOKUP(D19,WDTable,2,FALSE)*IFERROR(VLOOKUP(B19,'Workers Master'!A:G,7,FALSE),1)*VLOOKUP(D19,WDTable,6,FALSE))+VLOOKUP(D19,WDTable,4,FALSE),"")</f>
        <v/>
      </c>
      <c r="P19" s="11">
        <f>IF(N19="","",L19*N19)</f>
        <v/>
      </c>
      <c r="Q19" s="11">
        <f>IF(O19="","",M19*O19)</f>
        <v/>
      </c>
      <c r="R19" s="11">
        <f>IFERROR(VLOOKUP(D19,WDTable,5,FALSE)*(L19+M19),"")</f>
        <v/>
      </c>
      <c r="S19" s="11">
        <f>IF(P19="","",IFERROR(P19,0)+IFERROR(Q19,0))</f>
        <v/>
      </c>
      <c r="T19" s="11" t="n"/>
      <c r="U19" s="11">
        <f>IF(S19="","",IFERROR(S19,0)-IFERROR(T19,0))</f>
        <v/>
      </c>
      <c r="V19" s="10" t="n"/>
    </row>
    <row r="20">
      <c r="A20" s="10">
        <f>IF(B20="","",ROW()-5)</f>
        <v/>
      </c>
      <c r="B20" s="10" t="n"/>
      <c r="C20" s="10" t="n"/>
      <c r="D20" s="10" t="n"/>
      <c r="E20" s="12" t="n"/>
      <c r="F20" s="12" t="n"/>
      <c r="G20" s="12" t="n"/>
      <c r="H20" s="12" t="n"/>
      <c r="I20" s="12" t="n"/>
      <c r="J20" s="12" t="n"/>
      <c r="K20" s="12" t="n"/>
      <c r="L20" s="12">
        <f>SUM(E20:K20)</f>
        <v/>
      </c>
      <c r="M20" s="12" t="n"/>
      <c r="N20" s="11">
        <f>IFERROR((VLOOKUP(D20,WDTable,2,FALSE)*IFERROR(VLOOKUP(B20,'Workers Master'!A:G,7,FALSE),1))+VLOOKUP(D20,WDTable,4,FALSE),"")</f>
        <v/>
      </c>
      <c r="O20" s="11">
        <f>IFERROR((VLOOKUP(D20,WDTable,2,FALSE)*IFERROR(VLOOKUP(B20,'Workers Master'!A:G,7,FALSE),1)*VLOOKUP(D20,WDTable,6,FALSE))+VLOOKUP(D20,WDTable,4,FALSE),"")</f>
        <v/>
      </c>
      <c r="P20" s="11">
        <f>IF(N20="","",L20*N20)</f>
        <v/>
      </c>
      <c r="Q20" s="11">
        <f>IF(O20="","",M20*O20)</f>
        <v/>
      </c>
      <c r="R20" s="11">
        <f>IFERROR(VLOOKUP(D20,WDTable,5,FALSE)*(L20+M20),"")</f>
        <v/>
      </c>
      <c r="S20" s="11">
        <f>IF(P20="","",IFERROR(P20,0)+IFERROR(Q20,0))</f>
        <v/>
      </c>
      <c r="T20" s="11" t="n"/>
      <c r="U20" s="11">
        <f>IF(S20="","",IFERROR(S20,0)-IFERROR(T20,0))</f>
        <v/>
      </c>
      <c r="V20" s="10" t="n"/>
    </row>
    <row r="21">
      <c r="A21" s="10">
        <f>IF(B21="","",ROW()-5)</f>
        <v/>
      </c>
      <c r="B21" s="10" t="n"/>
      <c r="C21" s="10" t="n"/>
      <c r="D21" s="10" t="n"/>
      <c r="E21" s="12" t="n"/>
      <c r="F21" s="12" t="n"/>
      <c r="G21" s="12" t="n"/>
      <c r="H21" s="12" t="n"/>
      <c r="I21" s="12" t="n"/>
      <c r="J21" s="12" t="n"/>
      <c r="K21" s="12" t="n"/>
      <c r="L21" s="12">
        <f>SUM(E21:K21)</f>
        <v/>
      </c>
      <c r="M21" s="12" t="n"/>
      <c r="N21" s="11">
        <f>IFERROR((VLOOKUP(D21,WDTable,2,FALSE)*IFERROR(VLOOKUP(B21,'Workers Master'!A:G,7,FALSE),1))+VLOOKUP(D21,WDTable,4,FALSE),"")</f>
        <v/>
      </c>
      <c r="O21" s="11">
        <f>IFERROR((VLOOKUP(D21,WDTable,2,FALSE)*IFERROR(VLOOKUP(B21,'Workers Master'!A:G,7,FALSE),1)*VLOOKUP(D21,WDTable,6,FALSE))+VLOOKUP(D21,WDTable,4,FALSE),"")</f>
        <v/>
      </c>
      <c r="P21" s="11">
        <f>IF(N21="","",L21*N21)</f>
        <v/>
      </c>
      <c r="Q21" s="11">
        <f>IF(O21="","",M21*O21)</f>
        <v/>
      </c>
      <c r="R21" s="11">
        <f>IFERROR(VLOOKUP(D21,WDTable,5,FALSE)*(L21+M21),"")</f>
        <v/>
      </c>
      <c r="S21" s="11">
        <f>IF(P21="","",IFERROR(P21,0)+IFERROR(Q21,0))</f>
        <v/>
      </c>
      <c r="T21" s="11" t="n"/>
      <c r="U21" s="11">
        <f>IF(S21="","",IFERROR(S21,0)-IFERROR(T21,0))</f>
        <v/>
      </c>
      <c r="V21" s="10" t="n"/>
    </row>
    <row r="22">
      <c r="A22" s="10">
        <f>IF(B22="","",ROW()-5)</f>
        <v/>
      </c>
      <c r="B22" s="10" t="n"/>
      <c r="C22" s="10" t="n"/>
      <c r="D22" s="10" t="n"/>
      <c r="E22" s="12" t="n"/>
      <c r="F22" s="12" t="n"/>
      <c r="G22" s="12" t="n"/>
      <c r="H22" s="12" t="n"/>
      <c r="I22" s="12" t="n"/>
      <c r="J22" s="12" t="n"/>
      <c r="K22" s="12" t="n"/>
      <c r="L22" s="12">
        <f>SUM(E22:K22)</f>
        <v/>
      </c>
      <c r="M22" s="12" t="n"/>
      <c r="N22" s="11">
        <f>IFERROR((VLOOKUP(D22,WDTable,2,FALSE)*IFERROR(VLOOKUP(B22,'Workers Master'!A:G,7,FALSE),1))+VLOOKUP(D22,WDTable,4,FALSE),"")</f>
        <v/>
      </c>
      <c r="O22" s="11">
        <f>IFERROR((VLOOKUP(D22,WDTable,2,FALSE)*IFERROR(VLOOKUP(B22,'Workers Master'!A:G,7,FALSE),1)*VLOOKUP(D22,WDTable,6,FALSE))+VLOOKUP(D22,WDTable,4,FALSE),"")</f>
        <v/>
      </c>
      <c r="P22" s="11">
        <f>IF(N22="","",L22*N22)</f>
        <v/>
      </c>
      <c r="Q22" s="11">
        <f>IF(O22="","",M22*O22)</f>
        <v/>
      </c>
      <c r="R22" s="11">
        <f>IFERROR(VLOOKUP(D22,WDTable,5,FALSE)*(L22+M22),"")</f>
        <v/>
      </c>
      <c r="S22" s="11">
        <f>IF(P22="","",IFERROR(P22,0)+IFERROR(Q22,0))</f>
        <v/>
      </c>
      <c r="T22" s="11" t="n"/>
      <c r="U22" s="11">
        <f>IF(S22="","",IFERROR(S22,0)-IFERROR(T22,0))</f>
        <v/>
      </c>
      <c r="V22" s="10" t="n"/>
    </row>
    <row r="23">
      <c r="A23" s="10">
        <f>IF(B23="","",ROW()-5)</f>
        <v/>
      </c>
      <c r="B23" s="10" t="n"/>
      <c r="C23" s="10" t="n"/>
      <c r="D23" s="10" t="n"/>
      <c r="E23" s="12" t="n"/>
      <c r="F23" s="12" t="n"/>
      <c r="G23" s="12" t="n"/>
      <c r="H23" s="12" t="n"/>
      <c r="I23" s="12" t="n"/>
      <c r="J23" s="12" t="n"/>
      <c r="K23" s="12" t="n"/>
      <c r="L23" s="12">
        <f>SUM(E23:K23)</f>
        <v/>
      </c>
      <c r="M23" s="12" t="n"/>
      <c r="N23" s="11">
        <f>IFERROR((VLOOKUP(D23,WDTable,2,FALSE)*IFERROR(VLOOKUP(B23,'Workers Master'!A:G,7,FALSE),1))+VLOOKUP(D23,WDTable,4,FALSE),"")</f>
        <v/>
      </c>
      <c r="O23" s="11">
        <f>IFERROR((VLOOKUP(D23,WDTable,2,FALSE)*IFERROR(VLOOKUP(B23,'Workers Master'!A:G,7,FALSE),1)*VLOOKUP(D23,WDTable,6,FALSE))+VLOOKUP(D23,WDTable,4,FALSE),"")</f>
        <v/>
      </c>
      <c r="P23" s="11">
        <f>IF(N23="","",L23*N23)</f>
        <v/>
      </c>
      <c r="Q23" s="11">
        <f>IF(O23="","",M23*O23)</f>
        <v/>
      </c>
      <c r="R23" s="11">
        <f>IFERROR(VLOOKUP(D23,WDTable,5,FALSE)*(L23+M23),"")</f>
        <v/>
      </c>
      <c r="S23" s="11">
        <f>IF(P23="","",IFERROR(P23,0)+IFERROR(Q23,0))</f>
        <v/>
      </c>
      <c r="T23" s="11" t="n"/>
      <c r="U23" s="11">
        <f>IF(S23="","",IFERROR(S23,0)-IFERROR(T23,0))</f>
        <v/>
      </c>
      <c r="V23" s="10" t="n"/>
    </row>
    <row r="24">
      <c r="A24" s="10">
        <f>IF(B24="","",ROW()-5)</f>
        <v/>
      </c>
      <c r="B24" s="10" t="n"/>
      <c r="C24" s="10" t="n"/>
      <c r="D24" s="10" t="n"/>
      <c r="E24" s="12" t="n"/>
      <c r="F24" s="12" t="n"/>
      <c r="G24" s="12" t="n"/>
      <c r="H24" s="12" t="n"/>
      <c r="I24" s="12" t="n"/>
      <c r="J24" s="12" t="n"/>
      <c r="K24" s="12" t="n"/>
      <c r="L24" s="12">
        <f>SUM(E24:K24)</f>
        <v/>
      </c>
      <c r="M24" s="12" t="n"/>
      <c r="N24" s="11">
        <f>IFERROR((VLOOKUP(D24,WDTable,2,FALSE)*IFERROR(VLOOKUP(B24,'Workers Master'!A:G,7,FALSE),1))+VLOOKUP(D24,WDTable,4,FALSE),"")</f>
        <v/>
      </c>
      <c r="O24" s="11">
        <f>IFERROR((VLOOKUP(D24,WDTable,2,FALSE)*IFERROR(VLOOKUP(B24,'Workers Master'!A:G,7,FALSE),1)*VLOOKUP(D24,WDTable,6,FALSE))+VLOOKUP(D24,WDTable,4,FALSE),"")</f>
        <v/>
      </c>
      <c r="P24" s="11">
        <f>IF(N24="","",L24*N24)</f>
        <v/>
      </c>
      <c r="Q24" s="11">
        <f>IF(O24="","",M24*O24)</f>
        <v/>
      </c>
      <c r="R24" s="11">
        <f>IFERROR(VLOOKUP(D24,WDTable,5,FALSE)*(L24+M24),"")</f>
        <v/>
      </c>
      <c r="S24" s="11">
        <f>IF(P24="","",IFERROR(P24,0)+IFERROR(Q24,0))</f>
        <v/>
      </c>
      <c r="T24" s="11" t="n"/>
      <c r="U24" s="11">
        <f>IF(S24="","",IFERROR(S24,0)-IFERROR(T24,0))</f>
        <v/>
      </c>
      <c r="V24" s="10" t="n"/>
    </row>
    <row r="25">
      <c r="A25" s="10">
        <f>IF(B25="","",ROW()-5)</f>
        <v/>
      </c>
      <c r="B25" s="10" t="n"/>
      <c r="C25" s="10" t="n"/>
      <c r="D25" s="10" t="n"/>
      <c r="E25" s="12" t="n"/>
      <c r="F25" s="12" t="n"/>
      <c r="G25" s="12" t="n"/>
      <c r="H25" s="12" t="n"/>
      <c r="I25" s="12" t="n"/>
      <c r="J25" s="12" t="n"/>
      <c r="K25" s="12" t="n"/>
      <c r="L25" s="12">
        <f>SUM(E25:K25)</f>
        <v/>
      </c>
      <c r="M25" s="12" t="n"/>
      <c r="N25" s="11">
        <f>IFERROR((VLOOKUP(D25,WDTable,2,FALSE)*IFERROR(VLOOKUP(B25,'Workers Master'!A:G,7,FALSE),1))+VLOOKUP(D25,WDTable,4,FALSE),"")</f>
        <v/>
      </c>
      <c r="O25" s="11">
        <f>IFERROR((VLOOKUP(D25,WDTable,2,FALSE)*IFERROR(VLOOKUP(B25,'Workers Master'!A:G,7,FALSE),1)*VLOOKUP(D25,WDTable,6,FALSE))+VLOOKUP(D25,WDTable,4,FALSE),"")</f>
        <v/>
      </c>
      <c r="P25" s="11">
        <f>IF(N25="","",L25*N25)</f>
        <v/>
      </c>
      <c r="Q25" s="11">
        <f>IF(O25="","",M25*O25)</f>
        <v/>
      </c>
      <c r="R25" s="11">
        <f>IFERROR(VLOOKUP(D25,WDTable,5,FALSE)*(L25+M25),"")</f>
        <v/>
      </c>
      <c r="S25" s="11">
        <f>IF(P25="","",IFERROR(P25,0)+IFERROR(Q25,0))</f>
        <v/>
      </c>
      <c r="T25" s="11" t="n"/>
      <c r="U25" s="11">
        <f>IF(S25="","",IFERROR(S25,0)-IFERROR(T25,0))</f>
        <v/>
      </c>
      <c r="V25" s="10" t="n"/>
    </row>
    <row r="26">
      <c r="A26" s="10">
        <f>IF(B26="","",ROW()-5)</f>
        <v/>
      </c>
      <c r="B26" s="10" t="n"/>
      <c r="C26" s="10" t="n"/>
      <c r="D26" s="10" t="n"/>
      <c r="E26" s="12" t="n"/>
      <c r="F26" s="12" t="n"/>
      <c r="G26" s="12" t="n"/>
      <c r="H26" s="12" t="n"/>
      <c r="I26" s="12" t="n"/>
      <c r="J26" s="12" t="n"/>
      <c r="K26" s="12" t="n"/>
      <c r="L26" s="12">
        <f>SUM(E26:K26)</f>
        <v/>
      </c>
      <c r="M26" s="12" t="n"/>
      <c r="N26" s="11">
        <f>IFERROR((VLOOKUP(D26,WDTable,2,FALSE)*IFERROR(VLOOKUP(B26,'Workers Master'!A:G,7,FALSE),1))+VLOOKUP(D26,WDTable,4,FALSE),"")</f>
        <v/>
      </c>
      <c r="O26" s="11">
        <f>IFERROR((VLOOKUP(D26,WDTable,2,FALSE)*IFERROR(VLOOKUP(B26,'Workers Master'!A:G,7,FALSE),1)*VLOOKUP(D26,WDTable,6,FALSE))+VLOOKUP(D26,WDTable,4,FALSE),"")</f>
        <v/>
      </c>
      <c r="P26" s="11">
        <f>IF(N26="","",L26*N26)</f>
        <v/>
      </c>
      <c r="Q26" s="11">
        <f>IF(O26="","",M26*O26)</f>
        <v/>
      </c>
      <c r="R26" s="11">
        <f>IFERROR(VLOOKUP(D26,WDTable,5,FALSE)*(L26+M26),"")</f>
        <v/>
      </c>
      <c r="S26" s="11">
        <f>IF(P26="","",IFERROR(P26,0)+IFERROR(Q26,0))</f>
        <v/>
      </c>
      <c r="T26" s="11" t="n"/>
      <c r="U26" s="11">
        <f>IF(S26="","",IFERROR(S26,0)-IFERROR(T26,0))</f>
        <v/>
      </c>
      <c r="V26" s="10" t="n"/>
    </row>
    <row r="27">
      <c r="A27" s="10">
        <f>IF(B27="","",ROW()-5)</f>
        <v/>
      </c>
      <c r="B27" s="10" t="n"/>
      <c r="C27" s="10" t="n"/>
      <c r="D27" s="10" t="n"/>
      <c r="E27" s="12" t="n"/>
      <c r="F27" s="12" t="n"/>
      <c r="G27" s="12" t="n"/>
      <c r="H27" s="12" t="n"/>
      <c r="I27" s="12" t="n"/>
      <c r="J27" s="12" t="n"/>
      <c r="K27" s="12" t="n"/>
      <c r="L27" s="12">
        <f>SUM(E27:K27)</f>
        <v/>
      </c>
      <c r="M27" s="12" t="n"/>
      <c r="N27" s="11">
        <f>IFERROR((VLOOKUP(D27,WDTable,2,FALSE)*IFERROR(VLOOKUP(B27,'Workers Master'!A:G,7,FALSE),1))+VLOOKUP(D27,WDTable,4,FALSE),"")</f>
        <v/>
      </c>
      <c r="O27" s="11">
        <f>IFERROR((VLOOKUP(D27,WDTable,2,FALSE)*IFERROR(VLOOKUP(B27,'Workers Master'!A:G,7,FALSE),1)*VLOOKUP(D27,WDTable,6,FALSE))+VLOOKUP(D27,WDTable,4,FALSE),"")</f>
        <v/>
      </c>
      <c r="P27" s="11">
        <f>IF(N27="","",L27*N27)</f>
        <v/>
      </c>
      <c r="Q27" s="11">
        <f>IF(O27="","",M27*O27)</f>
        <v/>
      </c>
      <c r="R27" s="11">
        <f>IFERROR(VLOOKUP(D27,WDTable,5,FALSE)*(L27+M27),"")</f>
        <v/>
      </c>
      <c r="S27" s="11">
        <f>IF(P27="","",IFERROR(P27,0)+IFERROR(Q27,0))</f>
        <v/>
      </c>
      <c r="T27" s="11" t="n"/>
      <c r="U27" s="11">
        <f>IF(S27="","",IFERROR(S27,0)-IFERROR(T27,0))</f>
        <v/>
      </c>
      <c r="V27" s="10" t="n"/>
    </row>
    <row r="28">
      <c r="A28" s="10">
        <f>IF(B28="","",ROW()-5)</f>
        <v/>
      </c>
      <c r="B28" s="10" t="n"/>
      <c r="C28" s="10" t="n"/>
      <c r="D28" s="10" t="n"/>
      <c r="E28" s="12" t="n"/>
      <c r="F28" s="12" t="n"/>
      <c r="G28" s="12" t="n"/>
      <c r="H28" s="12" t="n"/>
      <c r="I28" s="12" t="n"/>
      <c r="J28" s="12" t="n"/>
      <c r="K28" s="12" t="n"/>
      <c r="L28" s="12">
        <f>SUM(E28:K28)</f>
        <v/>
      </c>
      <c r="M28" s="12" t="n"/>
      <c r="N28" s="11">
        <f>IFERROR((VLOOKUP(D28,WDTable,2,FALSE)*IFERROR(VLOOKUP(B28,'Workers Master'!A:G,7,FALSE),1))+VLOOKUP(D28,WDTable,4,FALSE),"")</f>
        <v/>
      </c>
      <c r="O28" s="11">
        <f>IFERROR((VLOOKUP(D28,WDTable,2,FALSE)*IFERROR(VLOOKUP(B28,'Workers Master'!A:G,7,FALSE),1)*VLOOKUP(D28,WDTable,6,FALSE))+VLOOKUP(D28,WDTable,4,FALSE),"")</f>
        <v/>
      </c>
      <c r="P28" s="11">
        <f>IF(N28="","",L28*N28)</f>
        <v/>
      </c>
      <c r="Q28" s="11">
        <f>IF(O28="","",M28*O28)</f>
        <v/>
      </c>
      <c r="R28" s="11">
        <f>IFERROR(VLOOKUP(D28,WDTable,5,FALSE)*(L28+M28),"")</f>
        <v/>
      </c>
      <c r="S28" s="11">
        <f>IF(P28="","",IFERROR(P28,0)+IFERROR(Q28,0))</f>
        <v/>
      </c>
      <c r="T28" s="11" t="n"/>
      <c r="U28" s="11">
        <f>IF(S28="","",IFERROR(S28,0)-IFERROR(T28,0))</f>
        <v/>
      </c>
      <c r="V28" s="10" t="n"/>
    </row>
    <row r="29">
      <c r="A29" s="10">
        <f>IF(B29="","",ROW()-5)</f>
        <v/>
      </c>
      <c r="B29" s="10" t="n"/>
      <c r="C29" s="10" t="n"/>
      <c r="D29" s="10" t="n"/>
      <c r="E29" s="12" t="n"/>
      <c r="F29" s="12" t="n"/>
      <c r="G29" s="12" t="n"/>
      <c r="H29" s="12" t="n"/>
      <c r="I29" s="12" t="n"/>
      <c r="J29" s="12" t="n"/>
      <c r="K29" s="12" t="n"/>
      <c r="L29" s="12">
        <f>SUM(E29:K29)</f>
        <v/>
      </c>
      <c r="M29" s="12" t="n"/>
      <c r="N29" s="11">
        <f>IFERROR((VLOOKUP(D29,WDTable,2,FALSE)*IFERROR(VLOOKUP(B29,'Workers Master'!A:G,7,FALSE),1))+VLOOKUP(D29,WDTable,4,FALSE),"")</f>
        <v/>
      </c>
      <c r="O29" s="11">
        <f>IFERROR((VLOOKUP(D29,WDTable,2,FALSE)*IFERROR(VLOOKUP(B29,'Workers Master'!A:G,7,FALSE),1)*VLOOKUP(D29,WDTable,6,FALSE))+VLOOKUP(D29,WDTable,4,FALSE),"")</f>
        <v/>
      </c>
      <c r="P29" s="11">
        <f>IF(N29="","",L29*N29)</f>
        <v/>
      </c>
      <c r="Q29" s="11">
        <f>IF(O29="","",M29*O29)</f>
        <v/>
      </c>
      <c r="R29" s="11">
        <f>IFERROR(VLOOKUP(D29,WDTable,5,FALSE)*(L29+M29),"")</f>
        <v/>
      </c>
      <c r="S29" s="11">
        <f>IF(P29="","",IFERROR(P29,0)+IFERROR(Q29,0))</f>
        <v/>
      </c>
      <c r="T29" s="11" t="n"/>
      <c r="U29" s="11">
        <f>IF(S29="","",IFERROR(S29,0)-IFERROR(T29,0))</f>
        <v/>
      </c>
      <c r="V29" s="10" t="n"/>
    </row>
    <row r="30">
      <c r="A30" s="10">
        <f>IF(B30="","",ROW()-5)</f>
        <v/>
      </c>
      <c r="B30" s="10" t="n"/>
      <c r="C30" s="10" t="n"/>
      <c r="D30" s="10" t="n"/>
      <c r="E30" s="12" t="n"/>
      <c r="F30" s="12" t="n"/>
      <c r="G30" s="12" t="n"/>
      <c r="H30" s="12" t="n"/>
      <c r="I30" s="12" t="n"/>
      <c r="J30" s="12" t="n"/>
      <c r="K30" s="12" t="n"/>
      <c r="L30" s="12">
        <f>SUM(E30:K30)</f>
        <v/>
      </c>
      <c r="M30" s="12" t="n"/>
      <c r="N30" s="11">
        <f>IFERROR((VLOOKUP(D30,WDTable,2,FALSE)*IFERROR(VLOOKUP(B30,'Workers Master'!A:G,7,FALSE),1))+VLOOKUP(D30,WDTable,4,FALSE),"")</f>
        <v/>
      </c>
      <c r="O30" s="11">
        <f>IFERROR((VLOOKUP(D30,WDTable,2,FALSE)*IFERROR(VLOOKUP(B30,'Workers Master'!A:G,7,FALSE),1)*VLOOKUP(D30,WDTable,6,FALSE))+VLOOKUP(D30,WDTable,4,FALSE),"")</f>
        <v/>
      </c>
      <c r="P30" s="11">
        <f>IF(N30="","",L30*N30)</f>
        <v/>
      </c>
      <c r="Q30" s="11">
        <f>IF(O30="","",M30*O30)</f>
        <v/>
      </c>
      <c r="R30" s="11">
        <f>IFERROR(VLOOKUP(D30,WDTable,5,FALSE)*(L30+M30),"")</f>
        <v/>
      </c>
      <c r="S30" s="11">
        <f>IF(P30="","",IFERROR(P30,0)+IFERROR(Q30,0))</f>
        <v/>
      </c>
      <c r="T30" s="11" t="n"/>
      <c r="U30" s="11">
        <f>IF(S30="","",IFERROR(S30,0)-IFERROR(T30,0))</f>
        <v/>
      </c>
      <c r="V30" s="10" t="n"/>
    </row>
    <row r="31">
      <c r="A31" s="10">
        <f>IF(B31="","",ROW()-5)</f>
        <v/>
      </c>
      <c r="B31" s="10" t="n"/>
      <c r="C31" s="10" t="n"/>
      <c r="D31" s="10" t="n"/>
      <c r="E31" s="12" t="n"/>
      <c r="F31" s="12" t="n"/>
      <c r="G31" s="12" t="n"/>
      <c r="H31" s="12" t="n"/>
      <c r="I31" s="12" t="n"/>
      <c r="J31" s="12" t="n"/>
      <c r="K31" s="12" t="n"/>
      <c r="L31" s="12">
        <f>SUM(E31:K31)</f>
        <v/>
      </c>
      <c r="M31" s="12" t="n"/>
      <c r="N31" s="11">
        <f>IFERROR((VLOOKUP(D31,WDTable,2,FALSE)*IFERROR(VLOOKUP(B31,'Workers Master'!A:G,7,FALSE),1))+VLOOKUP(D31,WDTable,4,FALSE),"")</f>
        <v/>
      </c>
      <c r="O31" s="11">
        <f>IFERROR((VLOOKUP(D31,WDTable,2,FALSE)*IFERROR(VLOOKUP(B31,'Workers Master'!A:G,7,FALSE),1)*VLOOKUP(D31,WDTable,6,FALSE))+VLOOKUP(D31,WDTable,4,FALSE),"")</f>
        <v/>
      </c>
      <c r="P31" s="11">
        <f>IF(N31="","",L31*N31)</f>
        <v/>
      </c>
      <c r="Q31" s="11">
        <f>IF(O31="","",M31*O31)</f>
        <v/>
      </c>
      <c r="R31" s="11">
        <f>IFERROR(VLOOKUP(D31,WDTable,5,FALSE)*(L31+M31),"")</f>
        <v/>
      </c>
      <c r="S31" s="11">
        <f>IF(P31="","",IFERROR(P31,0)+IFERROR(Q31,0))</f>
        <v/>
      </c>
      <c r="T31" s="11" t="n"/>
      <c r="U31" s="11">
        <f>IF(S31="","",IFERROR(S31,0)-IFERROR(T31,0))</f>
        <v/>
      </c>
      <c r="V31" s="10" t="n"/>
    </row>
    <row r="32">
      <c r="A32" s="10">
        <f>IF(B32="","",ROW()-5)</f>
        <v/>
      </c>
      <c r="B32" s="10" t="n"/>
      <c r="C32" s="10" t="n"/>
      <c r="D32" s="10" t="n"/>
      <c r="E32" s="12" t="n"/>
      <c r="F32" s="12" t="n"/>
      <c r="G32" s="12" t="n"/>
      <c r="H32" s="12" t="n"/>
      <c r="I32" s="12" t="n"/>
      <c r="J32" s="12" t="n"/>
      <c r="K32" s="12" t="n"/>
      <c r="L32" s="12">
        <f>SUM(E32:K32)</f>
        <v/>
      </c>
      <c r="M32" s="12" t="n"/>
      <c r="N32" s="11">
        <f>IFERROR((VLOOKUP(D32,WDTable,2,FALSE)*IFERROR(VLOOKUP(B32,'Workers Master'!A:G,7,FALSE),1))+VLOOKUP(D32,WDTable,4,FALSE),"")</f>
        <v/>
      </c>
      <c r="O32" s="11">
        <f>IFERROR((VLOOKUP(D32,WDTable,2,FALSE)*IFERROR(VLOOKUP(B32,'Workers Master'!A:G,7,FALSE),1)*VLOOKUP(D32,WDTable,6,FALSE))+VLOOKUP(D32,WDTable,4,FALSE),"")</f>
        <v/>
      </c>
      <c r="P32" s="11">
        <f>IF(N32="","",L32*N32)</f>
        <v/>
      </c>
      <c r="Q32" s="11">
        <f>IF(O32="","",M32*O32)</f>
        <v/>
      </c>
      <c r="R32" s="11">
        <f>IFERROR(VLOOKUP(D32,WDTable,5,FALSE)*(L32+M32),"")</f>
        <v/>
      </c>
      <c r="S32" s="11">
        <f>IF(P32="","",IFERROR(P32,0)+IFERROR(Q32,0))</f>
        <v/>
      </c>
      <c r="T32" s="11" t="n"/>
      <c r="U32" s="11">
        <f>IF(S32="","",IFERROR(S32,0)-IFERROR(T32,0))</f>
        <v/>
      </c>
      <c r="V32" s="10" t="n"/>
    </row>
    <row r="33">
      <c r="A33" s="10">
        <f>IF(B33="","",ROW()-5)</f>
        <v/>
      </c>
      <c r="B33" s="10" t="n"/>
      <c r="C33" s="10" t="n"/>
      <c r="D33" s="10" t="n"/>
      <c r="E33" s="12" t="n"/>
      <c r="F33" s="12" t="n"/>
      <c r="G33" s="12" t="n"/>
      <c r="H33" s="12" t="n"/>
      <c r="I33" s="12" t="n"/>
      <c r="J33" s="12" t="n"/>
      <c r="K33" s="12" t="n"/>
      <c r="L33" s="12">
        <f>SUM(E33:K33)</f>
        <v/>
      </c>
      <c r="M33" s="12" t="n"/>
      <c r="N33" s="11">
        <f>IFERROR((VLOOKUP(D33,WDTable,2,FALSE)*IFERROR(VLOOKUP(B33,'Workers Master'!A:G,7,FALSE),1))+VLOOKUP(D33,WDTable,4,FALSE),"")</f>
        <v/>
      </c>
      <c r="O33" s="11">
        <f>IFERROR((VLOOKUP(D33,WDTable,2,FALSE)*IFERROR(VLOOKUP(B33,'Workers Master'!A:G,7,FALSE),1)*VLOOKUP(D33,WDTable,6,FALSE))+VLOOKUP(D33,WDTable,4,FALSE),"")</f>
        <v/>
      </c>
      <c r="P33" s="11">
        <f>IF(N33="","",L33*N33)</f>
        <v/>
      </c>
      <c r="Q33" s="11">
        <f>IF(O33="","",M33*O33)</f>
        <v/>
      </c>
      <c r="R33" s="11">
        <f>IFERROR(VLOOKUP(D33,WDTable,5,FALSE)*(L33+M33),"")</f>
        <v/>
      </c>
      <c r="S33" s="11">
        <f>IF(P33="","",IFERROR(P33,0)+IFERROR(Q33,0))</f>
        <v/>
      </c>
      <c r="T33" s="11" t="n"/>
      <c r="U33" s="11">
        <f>IF(S33="","",IFERROR(S33,0)-IFERROR(T33,0))</f>
        <v/>
      </c>
      <c r="V33" s="10" t="n"/>
    </row>
    <row r="34">
      <c r="A34" s="10">
        <f>IF(B34="","",ROW()-5)</f>
        <v/>
      </c>
      <c r="B34" s="10" t="n"/>
      <c r="C34" s="10" t="n"/>
      <c r="D34" s="10" t="n"/>
      <c r="E34" s="12" t="n"/>
      <c r="F34" s="12" t="n"/>
      <c r="G34" s="12" t="n"/>
      <c r="H34" s="12" t="n"/>
      <c r="I34" s="12" t="n"/>
      <c r="J34" s="12" t="n"/>
      <c r="K34" s="12" t="n"/>
      <c r="L34" s="12">
        <f>SUM(E34:K34)</f>
        <v/>
      </c>
      <c r="M34" s="12" t="n"/>
      <c r="N34" s="11">
        <f>IFERROR((VLOOKUP(D34,WDTable,2,FALSE)*IFERROR(VLOOKUP(B34,'Workers Master'!A:G,7,FALSE),1))+VLOOKUP(D34,WDTable,4,FALSE),"")</f>
        <v/>
      </c>
      <c r="O34" s="11">
        <f>IFERROR((VLOOKUP(D34,WDTable,2,FALSE)*IFERROR(VLOOKUP(B34,'Workers Master'!A:G,7,FALSE),1)*VLOOKUP(D34,WDTable,6,FALSE))+VLOOKUP(D34,WDTable,4,FALSE),"")</f>
        <v/>
      </c>
      <c r="P34" s="11">
        <f>IF(N34="","",L34*N34)</f>
        <v/>
      </c>
      <c r="Q34" s="11">
        <f>IF(O34="","",M34*O34)</f>
        <v/>
      </c>
      <c r="R34" s="11">
        <f>IFERROR(VLOOKUP(D34,WDTable,5,FALSE)*(L34+M34),"")</f>
        <v/>
      </c>
      <c r="S34" s="11">
        <f>IF(P34="","",IFERROR(P34,0)+IFERROR(Q34,0))</f>
        <v/>
      </c>
      <c r="T34" s="11" t="n"/>
      <c r="U34" s="11">
        <f>IF(S34="","",IFERROR(S34,0)-IFERROR(T34,0))</f>
        <v/>
      </c>
      <c r="V34" s="10" t="n"/>
    </row>
    <row r="35">
      <c r="A35" s="10">
        <f>IF(B35="","",ROW()-5)</f>
        <v/>
      </c>
      <c r="B35" s="10" t="n"/>
      <c r="C35" s="10" t="n"/>
      <c r="D35" s="10" t="n"/>
      <c r="E35" s="12" t="n"/>
      <c r="F35" s="12" t="n"/>
      <c r="G35" s="12" t="n"/>
      <c r="H35" s="12" t="n"/>
      <c r="I35" s="12" t="n"/>
      <c r="J35" s="12" t="n"/>
      <c r="K35" s="12" t="n"/>
      <c r="L35" s="12">
        <f>SUM(E35:K35)</f>
        <v/>
      </c>
      <c r="M35" s="12" t="n"/>
      <c r="N35" s="11">
        <f>IFERROR((VLOOKUP(D35,WDTable,2,FALSE)*IFERROR(VLOOKUP(B35,'Workers Master'!A:G,7,FALSE),1))+VLOOKUP(D35,WDTable,4,FALSE),"")</f>
        <v/>
      </c>
      <c r="O35" s="11">
        <f>IFERROR((VLOOKUP(D35,WDTable,2,FALSE)*IFERROR(VLOOKUP(B35,'Workers Master'!A:G,7,FALSE),1)*VLOOKUP(D35,WDTable,6,FALSE))+VLOOKUP(D35,WDTable,4,FALSE),"")</f>
        <v/>
      </c>
      <c r="P35" s="11">
        <f>IF(N35="","",L35*N35)</f>
        <v/>
      </c>
      <c r="Q35" s="11">
        <f>IF(O35="","",M35*O35)</f>
        <v/>
      </c>
      <c r="R35" s="11">
        <f>IFERROR(VLOOKUP(D35,WDTable,5,FALSE)*(L35+M35),"")</f>
        <v/>
      </c>
      <c r="S35" s="11">
        <f>IF(P35="","",IFERROR(P35,0)+IFERROR(Q35,0))</f>
        <v/>
      </c>
      <c r="T35" s="11" t="n"/>
      <c r="U35" s="11">
        <f>IF(S35="","",IFERROR(S35,0)-IFERROR(T35,0))</f>
        <v/>
      </c>
      <c r="V35" s="10" t="n"/>
    </row>
    <row r="37">
      <c r="D37" s="17" t="inlineStr">
        <is>
          <t>WEEKLY TOTALS</t>
        </is>
      </c>
      <c r="L37" s="18">
        <f>SUM(L6:L35)</f>
        <v/>
      </c>
      <c r="M37" s="18">
        <f>SUM(M6:M35)</f>
        <v/>
      </c>
      <c r="P37" s="19">
        <f>SUM(P6:P35)</f>
        <v/>
      </c>
      <c r="Q37" s="19">
        <f>SUM(Q6:Q35)</f>
        <v/>
      </c>
      <c r="R37" s="19">
        <f>SUM(R6:R35)</f>
        <v/>
      </c>
      <c r="S37" s="19">
        <f>SUM(S6:S35)</f>
        <v/>
      </c>
      <c r="T37" s="19">
        <f>SUM(T6:T35)</f>
        <v/>
      </c>
      <c r="U37" s="19">
        <f>SUM(U6:U35)</f>
        <v/>
      </c>
    </row>
  </sheetData>
  <mergeCells count="4">
    <mergeCell ref="P2:R2"/>
    <mergeCell ref="K2:N2"/>
    <mergeCell ref="A1:V1"/>
    <mergeCell ref="B2:E2"/>
  </mergeCells>
  <pageMargins left="0.75" right="0.75" top="1" bottom="1" header="0.5" footer="0.5"/>
  <pageSetup orientation="landscape" paperSize="1" fitToHeight="0" fitToWidth="1"/>
</worksheet>
</file>

<file path=xl/worksheets/sheet6.xml><?xml version="1.0" encoding="utf-8"?>
<worksheet xmlns="http://schemas.openxmlformats.org/spreadsheetml/2006/main">
  <sheetPr>
    <outlinePr summaryBelow="1" summaryRight="1"/>
    <pageSetUpPr/>
  </sheetPr>
  <dimension ref="B1:B22"/>
  <sheetViews>
    <sheetView showGridLines="0" workbookViewId="0">
      <selection activeCell="A1" sqref="A1"/>
    </sheetView>
  </sheetViews>
  <sheetFormatPr baseColWidth="8" defaultRowHeight="15"/>
  <cols>
    <col width="4" customWidth="1" min="1" max="1"/>
    <col width="100" customWidth="1" min="2" max="2"/>
  </cols>
  <sheetData>
    <row r="1" ht="32" customHeight="1">
      <c r="B1" s="1" t="inlineStr">
        <is>
          <t>STATEMENT OF COMPLIANCE (WH-348-style)</t>
        </is>
      </c>
    </row>
    <row r="3">
      <c r="B3" s="2" t="inlineStr"/>
    </row>
    <row r="4">
      <c r="B4" s="20" t="inlineStr">
        <is>
          <t>Date: ____________________   Payroll #: =PayrollNo   Week Ending: =WeekEnding</t>
        </is>
      </c>
    </row>
    <row r="5">
      <c r="B5" s="2" t="inlineStr"/>
    </row>
    <row r="6">
      <c r="B6" s="2" t="inlineStr">
        <is>
          <t>I, the undersigned, do hereby state, under penalty of perjury (18 U.S.C. § 1001 and 31 U.S.C. § 3729):</t>
        </is>
      </c>
    </row>
    <row r="7">
      <c r="B7" s="2" t="inlineStr"/>
    </row>
    <row r="8">
      <c r="B8" s="2" t="inlineStr">
        <is>
          <t>(1)  That I pay or supervise the payment of the persons employed by =SubName on the project identified as =ProjectName (Prime Contract No. =PrimeContractNo); that during the payroll period commencing on ____________________ and ending on =WeekEnding all persons employed on said project have been paid the full weekly wages earned, that no rebates have been or will be made either directly or indirectly to or on behalf of said =SubName from the full weekly wages earned by any person and that no deductions have been made either directly or indirectly from the full wages earned by any person, other than permissible deductions as defined in Regulations, Part 3 (29 C.F.R. Subtitle A), issued by the Secretary of Labor under the Copeland Act (40 U.S.C. § 3145), and described below: ____________________________________________________________________________</t>
        </is>
      </c>
    </row>
    <row r="9">
      <c r="B9" s="2" t="inlineStr"/>
    </row>
    <row r="10">
      <c r="B10" s="2" t="inlineStr">
        <is>
          <t>(2)  That any payrolls otherwise under this contract required to be submitted for the above period are correct and complete; that the wage rates for laborers or mechanics contained therein are not less than the applicable wage rates contained in any wage determination incorporated into the contract; that the classifications set forth therein for each laborer or mechanic conform with the work each performed.</t>
        </is>
      </c>
    </row>
    <row r="11">
      <c r="B11" s="2" t="inlineStr"/>
    </row>
    <row r="12">
      <c r="B12" s="2" t="inlineStr">
        <is>
          <t>(3)  That any apprentices employed in the above period are duly registered in a bona fide apprenticeship program registered with a State apprenticeship agency recognized by the Bureau of Apprenticeship and Training, United States Department of Labor, or if no such recognized agency exists in a State, are registered with the Bureau of Apprenticeship and Training, United States Department of Labor.</t>
        </is>
      </c>
    </row>
    <row r="13">
      <c r="B13" s="2" t="inlineStr"/>
    </row>
    <row r="14">
      <c r="B14" s="2" t="inlineStr">
        <is>
          <t>(4)  That:  (a)  WHERE FRINGE BENEFITS ARE PAID TO APPROVED PLANS, FUNDS, OR PROGRAMS — in addition to the basic hourly wage rates paid to each laborer or mechanic listed in the above referenced payroll, payments of fringe benefits as listed in the contract have been or will be made to appropriate programs for the benefit of such employees, except as noted in section 4(c) below.   (b)  WHERE FRINGE BENEFITS ARE PAID IN CASH — Each laborer or mechanic listed in the above referenced payroll has been paid, as indicated on the payroll, an amount not less than the sum of the applicable basic hourly wage rate plus the amount of the required fringe benefits as listed in the contract, except as noted in section 4(c) below.   (c)  EXCEPTIONS (specify by name of worker, basic hourly wage rate, fringe benefit method): _______________________________</t>
        </is>
      </c>
    </row>
    <row r="15">
      <c r="B15" s="2" t="inlineStr"/>
    </row>
    <row r="16">
      <c r="B16" s="20" t="inlineStr">
        <is>
          <t>THE WILLFUL FALSIFICATION OF ANY OF THE ABOVE STATEMENTS MAY SUBJECT THE CONTRACTOR OR SUBCONTRACTOR TO CIVIL OR CRIMINAL PROSECUTION. SEE SECTION 1001 OF TITLE 18 AND SECTION 3729 OF TITLE 31 OF THE UNITED STATES CODE.</t>
        </is>
      </c>
    </row>
    <row r="17">
      <c r="B17" s="2" t="inlineStr"/>
    </row>
    <row r="18">
      <c r="B18" s="2" t="inlineStr"/>
    </row>
    <row r="19">
      <c r="B19" s="20" t="inlineStr">
        <is>
          <t>Signature: _____________________________________   Date: ___________</t>
        </is>
      </c>
    </row>
    <row r="20">
      <c r="B20" s="2" t="inlineStr">
        <is>
          <t>Printed Name: =SignatoryName</t>
        </is>
      </c>
    </row>
    <row r="21">
      <c r="B21" s="2" t="inlineStr">
        <is>
          <t>Title: =SignatoryTitle</t>
        </is>
      </c>
    </row>
    <row r="22">
      <c r="B22" s="2" t="inlineStr">
        <is>
          <t>Company: =SubName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showGridLines="0" workbookViewId="0">
      <selection activeCell="A1" sqref="A1"/>
    </sheetView>
  </sheetViews>
  <sheetFormatPr baseColWidth="8" defaultRowHeight="15"/>
  <cols>
    <col width="10" customWidth="1" min="1" max="1"/>
    <col width="60" customWidth="1" min="2" max="2"/>
  </cols>
  <sheetData>
    <row r="1">
      <c r="A1" s="21" t="inlineStr">
        <is>
          <t>CSI MasterFormat Divisions (reference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2026-05-17T12:04:33Z</dcterms:created>
  <dcterms:modified xmlns:dcterms="http://purl.org/dc/terms/" xmlns:xsi="http://www.w3.org/2001/XMLSchema-instance" xsi:type="dcterms:W3CDTF">2026-05-17T12:04:33Z</dcterms:modified>
</cp:coreProperties>
</file>