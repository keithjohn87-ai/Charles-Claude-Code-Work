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Info" sheetId="2" state="visible" r:id="rId2"/>
    <sheet xmlns:r="http://schemas.openxmlformats.org/officeDocument/2006/relationships" name="Monthly Roll-Up" sheetId="3" state="visible" r:id="rId3"/>
    <sheet xmlns:r="http://schemas.openxmlformats.org/officeDocument/2006/relationships" name="Day 01" sheetId="4" state="visible" r:id="rId4"/>
    <sheet xmlns:r="http://schemas.openxmlformats.org/officeDocument/2006/relationships" name="Day 02" sheetId="5" state="visible" r:id="rId5"/>
    <sheet xmlns:r="http://schemas.openxmlformats.org/officeDocument/2006/relationships" name="Day 03" sheetId="6" state="visible" r:id="rId6"/>
    <sheet xmlns:r="http://schemas.openxmlformats.org/officeDocument/2006/relationships" name="Day 04" sheetId="7" state="visible" r:id="rId7"/>
    <sheet xmlns:r="http://schemas.openxmlformats.org/officeDocument/2006/relationships" name="Day 05" sheetId="8" state="visible" r:id="rId8"/>
    <sheet xmlns:r="http://schemas.openxmlformats.org/officeDocument/2006/relationships" name="Day 06" sheetId="9" state="visible" r:id="rId9"/>
    <sheet xmlns:r="http://schemas.openxmlformats.org/officeDocument/2006/relationships" name="Day 07" sheetId="10" state="visible" r:id="rId10"/>
    <sheet xmlns:r="http://schemas.openxmlformats.org/officeDocument/2006/relationships" name="Day 08" sheetId="11" state="visible" r:id="rId11"/>
    <sheet xmlns:r="http://schemas.openxmlformats.org/officeDocument/2006/relationships" name="Day 09" sheetId="12" state="visible" r:id="rId12"/>
    <sheet xmlns:r="http://schemas.openxmlformats.org/officeDocument/2006/relationships" name="Day 10" sheetId="13" state="visible" r:id="rId13"/>
    <sheet xmlns:r="http://schemas.openxmlformats.org/officeDocument/2006/relationships" name="Day 11" sheetId="14" state="visible" r:id="rId14"/>
    <sheet xmlns:r="http://schemas.openxmlformats.org/officeDocument/2006/relationships" name="Day 12" sheetId="15" state="visible" r:id="rId15"/>
    <sheet xmlns:r="http://schemas.openxmlformats.org/officeDocument/2006/relationships" name="Day 13" sheetId="16" state="visible" r:id="rId16"/>
    <sheet xmlns:r="http://schemas.openxmlformats.org/officeDocument/2006/relationships" name="Day 14" sheetId="17" state="visible" r:id="rId17"/>
    <sheet xmlns:r="http://schemas.openxmlformats.org/officeDocument/2006/relationships" name="Day 15" sheetId="18" state="visible" r:id="rId18"/>
    <sheet xmlns:r="http://schemas.openxmlformats.org/officeDocument/2006/relationships" name="Day 16" sheetId="19" state="visible" r:id="rId19"/>
    <sheet xmlns:r="http://schemas.openxmlformats.org/officeDocument/2006/relationships" name="Day 17" sheetId="20" state="visible" r:id="rId20"/>
    <sheet xmlns:r="http://schemas.openxmlformats.org/officeDocument/2006/relationships" name="Day 18" sheetId="21" state="visible" r:id="rId21"/>
    <sheet xmlns:r="http://schemas.openxmlformats.org/officeDocument/2006/relationships" name="Day 19" sheetId="22" state="visible" r:id="rId22"/>
    <sheet xmlns:r="http://schemas.openxmlformats.org/officeDocument/2006/relationships" name="Day 20" sheetId="23" state="visible" r:id="rId23"/>
    <sheet xmlns:r="http://schemas.openxmlformats.org/officeDocument/2006/relationships" name="Day 21" sheetId="24" state="visible" r:id="rId24"/>
    <sheet xmlns:r="http://schemas.openxmlformats.org/officeDocument/2006/relationships" name="Day 22" sheetId="25" state="visible" r:id="rId25"/>
    <sheet xmlns:r="http://schemas.openxmlformats.org/officeDocument/2006/relationships" name="Day 23" sheetId="26" state="visible" r:id="rId26"/>
    <sheet xmlns:r="http://schemas.openxmlformats.org/officeDocument/2006/relationships" name="Day 24" sheetId="27" state="visible" r:id="rId27"/>
    <sheet xmlns:r="http://schemas.openxmlformats.org/officeDocument/2006/relationships" name="Day 25" sheetId="28" state="visible" r:id="rId28"/>
    <sheet xmlns:r="http://schemas.openxmlformats.org/officeDocument/2006/relationships" name="Day 26" sheetId="29" state="visible" r:id="rId29"/>
    <sheet xmlns:r="http://schemas.openxmlformats.org/officeDocument/2006/relationships" name="Day 27" sheetId="30" state="visible" r:id="rId30"/>
    <sheet xmlns:r="http://schemas.openxmlformats.org/officeDocument/2006/relationships" name="Day 28" sheetId="31" state="visible" r:id="rId31"/>
    <sheet xmlns:r="http://schemas.openxmlformats.org/officeDocument/2006/relationships" name="Day 29" sheetId="32" state="visible" r:id="rId32"/>
    <sheet xmlns:r="http://schemas.openxmlformats.org/officeDocument/2006/relationships" name="Day 30" sheetId="33" state="visible" r:id="rId33"/>
    <sheet xmlns:r="http://schemas.openxmlformats.org/officeDocument/2006/relationships" name="Day 31" sheetId="34" state="visible" r:id="rId34"/>
  </sheets>
  <definedNames>
    <definedName name="ProjectName">'Project Info'!$C$3</definedName>
    <definedName name="GCName">'Project Info'!$C$5</definedName>
    <definedName name="SubName">'Project Info'!$C$7</definedName>
    <definedName name="TradeScope">'Project Info'!$C$8</definedName>
    <definedName name="Foreman">'Project Info'!$C$10</definedName>
    <definedName name="FirstDay">'Project Info'!$C$13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sz val="11"/>
    </font>
    <font>
      <name val="Calibri"/>
      <b val="1"/>
      <color rgb="001E3A5F"/>
      <sz val="12"/>
    </font>
    <font>
      <name val="Calibri"/>
      <b val="1"/>
      <sz val="11"/>
    </font>
    <font>
      <name val="Calibri"/>
      <i val="1"/>
      <color rgb="0080808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0EC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B0B7BF"/>
      </left>
      <right style="thin">
        <color rgb="00B0B7BF"/>
      </right>
      <top style="thin">
        <color rgb="00B0B7BF"/>
      </top>
      <bottom style="thin">
        <color rgb="00B0B7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1" fontId="2" fillId="0" borderId="1" applyAlignment="1" pivotButton="0" quotePrefix="0" xfId="0">
      <alignment vertical="center" wrapText="1"/>
    </xf>
    <xf numFmtId="0" fontId="4" fillId="2" borderId="0" pivotButton="0" quotePrefix="0" xfId="0"/>
    <xf numFmtId="2" fontId="4" fillId="2" borderId="1" pivotButton="0" quotePrefix="0" xfId="0"/>
    <xf numFmtId="1" fontId="4" fillId="2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2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36" customHeight="1">
      <c r="A1" s="1" t="inlineStr">
        <is>
          <t>DAILY FIELD REPORT — Instructions</t>
        </is>
      </c>
    </row>
    <row r="2">
      <c r="A2" s="2" t="inlineStr"/>
    </row>
    <row r="3">
      <c r="A3" s="3" t="inlineStr">
        <is>
          <t>WHAT THIS WORKBOOK IS</t>
        </is>
      </c>
    </row>
    <row r="4">
      <c r="A4" s="2" t="inlineStr">
        <is>
          <t>Digital companion to the printable DFR (daily-field-report-template-and-guide.html). This workbook provides one tab per day for a single calendar month (Day 01 through Day 31), plus a Monthly Roll-Up tab that aggregates labor hours, crew counts, equipment hours, safety incidents, and weather lost-time. Use one workbook per project per month.</t>
        </is>
      </c>
    </row>
    <row r="5">
      <c r="A5" s="2" t="inlineStr"/>
    </row>
    <row r="6">
      <c r="A6" s="3" t="inlineStr">
        <is>
          <t>DAILY WORKFLOW</t>
        </is>
      </c>
    </row>
    <row r="7">
      <c r="A7" s="2" t="inlineStr">
        <is>
          <t xml:space="preserve">  1. Open the appropriate Day tab at the start of the shift.</t>
        </is>
      </c>
    </row>
    <row r="8">
      <c r="A8" s="2" t="inlineStr">
        <is>
          <t xml:space="preserve">  2. Foreman enters crew, classification, hours, and tasks throughout the day or at end of shift.</t>
        </is>
      </c>
    </row>
    <row r="9">
      <c r="A9" s="2" t="inlineStr">
        <is>
          <t xml:space="preserve">  3. Materials delivered, equipment used, conditions affecting work, directives, RFIs, photos, safety, and visitors logged.</t>
        </is>
      </c>
    </row>
    <row r="10">
      <c r="A10" s="2" t="inlineStr">
        <is>
          <t xml:space="preserve">  4. Sign in the Foreman field. Request GC field-rep countersignature where practical.</t>
        </is>
      </c>
    </row>
    <row r="11">
      <c r="A11" s="2" t="inlineStr">
        <is>
          <t xml:space="preserve">  5. Save and back up the workbook the same day.</t>
        </is>
      </c>
    </row>
    <row r="12">
      <c r="A12" s="2" t="inlineStr"/>
    </row>
    <row r="13">
      <c r="A13" s="3" t="inlineStr">
        <is>
          <t>MONTHLY ROLL-UP</t>
        </is>
      </c>
    </row>
    <row r="14">
      <c r="A14" s="2" t="inlineStr">
        <is>
          <t>The Monthly Roll-Up tab pulls totals from each Day tab automatically. Submit the roll-up with the monthly pay app or to the GC PM as the consolidated monthly report.</t>
        </is>
      </c>
    </row>
    <row r="15">
      <c r="A15" s="2" t="inlineStr"/>
    </row>
    <row r="16">
      <c r="A16" s="3" t="inlineStr">
        <is>
          <t>MULTIPLE PROJECTS / MONTHS</t>
        </is>
      </c>
    </row>
    <row r="17">
      <c r="A17" s="2" t="inlineStr">
        <is>
          <t>Duplicate this workbook for each project + month combination. Project Info propagates to every Day tab via named ranges, so updating Project Info once updates all Day tabs.</t>
        </is>
      </c>
    </row>
    <row r="18">
      <c r="A18" s="2" t="inlineStr"/>
    </row>
    <row r="19">
      <c r="A19" s="3" t="inlineStr">
        <is>
          <t>PHOTOS</t>
        </is>
      </c>
    </row>
    <row r="20">
      <c r="A20" s="2" t="inlineStr">
        <is>
          <t>Photos are not embedded in the workbook (file-size would balloon). Maintain a separate photo folder named by date — e.g., 'photos/2026-05-17/' — and reference filenames in the Photo Log section of the Day tab. The XLSX is the index; the photo folder is the storage.</t>
        </is>
      </c>
    </row>
    <row r="21">
      <c r="A21" s="2" t="inlineStr"/>
    </row>
    <row r="22">
      <c r="A22" s="3" t="inlineStr">
        <is>
          <t>BACKCHARGE / DELAY DEFENSE</t>
        </is>
      </c>
    </row>
    <row r="23">
      <c r="A23" s="2" t="inlineStr">
        <is>
          <t>If a backcharge or delay claim arises, the relevant Day tabs are the first evidence pulled. Keep this workbook clean and contemporaneous. Do not edit a Day tab more than 24 hours after the fact without adding a 'Late Entry' note dated when the edit was made.</t>
        </is>
      </c>
    </row>
    <row r="24">
      <c r="A24" s="2" t="inlineStr"/>
    </row>
    <row r="25">
      <c r="A25" s="3" t="inlineStr">
        <is>
          <t>AUDIT TRAIL</t>
        </is>
      </c>
    </row>
    <row r="26">
      <c r="A26" s="2" t="inlineStr">
        <is>
          <t>Save each completed Day tab as PDF at end-of-week and store with the project file. Excel files can be edited; PDF snapshots cannot. Both should exist.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6" customWidth="1" min="3" max="3"/>
  </cols>
  <sheetData>
    <row r="1" ht="32" customHeight="1">
      <c r="B1" s="1" t="inlineStr">
        <is>
          <t>PROJECT INFORMATION</t>
        </is>
      </c>
    </row>
    <row r="3">
      <c r="B3" s="4" t="inlineStr">
        <is>
          <t>Project Name</t>
        </is>
      </c>
      <c r="C3" s="5" t="inlineStr"/>
    </row>
    <row r="4">
      <c r="B4" s="4" t="inlineStr">
        <is>
          <t>Project Address</t>
        </is>
      </c>
      <c r="C4" s="5" t="inlineStr"/>
    </row>
    <row r="5">
      <c r="B5" s="4" t="inlineStr">
        <is>
          <t>GC</t>
        </is>
      </c>
      <c r="C5" s="5" t="inlineStr"/>
    </row>
    <row r="6">
      <c r="B6" s="4" t="inlineStr">
        <is>
          <t>Owner</t>
        </is>
      </c>
      <c r="C6" s="5" t="inlineStr"/>
    </row>
    <row r="7">
      <c r="B7" s="4" t="inlineStr">
        <is>
          <t>Subcontractor (legal name)</t>
        </is>
      </c>
      <c r="C7" s="5" t="inlineStr"/>
    </row>
    <row r="8">
      <c r="B8" s="4" t="inlineStr">
        <is>
          <t>Trade / Scope</t>
        </is>
      </c>
      <c r="C8" s="5" t="inlineStr"/>
    </row>
    <row r="9">
      <c r="B9" s="4" t="inlineStr">
        <is>
          <t>Subcontract No.</t>
        </is>
      </c>
      <c r="C9" s="5" t="inlineStr"/>
    </row>
    <row r="10">
      <c r="B10" s="4" t="inlineStr">
        <is>
          <t>Foreman</t>
        </is>
      </c>
      <c r="C10" s="5" t="inlineStr"/>
    </row>
    <row r="11">
      <c r="B11" s="4" t="inlineStr">
        <is>
          <t>Sub's PM</t>
        </is>
      </c>
      <c r="C11" s="5" t="inlineStr"/>
    </row>
    <row r="12">
      <c r="B12" s="4" t="inlineStr">
        <is>
          <t>Month (YYYY-MM)</t>
        </is>
      </c>
      <c r="C12" s="6" t="inlineStr"/>
    </row>
    <row r="13">
      <c r="B13" s="4" t="inlineStr">
        <is>
          <t>First Day of Month (date)</t>
        </is>
      </c>
      <c r="C13" s="6" t="inlineStr"/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</cols>
  <sheetData>
    <row r="1" ht="32" customHeight="1">
      <c r="B1" s="1" t="inlineStr">
        <is>
          <t>MONTHLY ROLL-UP</t>
        </is>
      </c>
    </row>
    <row r="2">
      <c r="B2" s="7" t="inlineStr">
        <is>
          <t>Auto-aggregated from Day 01 through Day 31 tabs. Blank rows = day not yet logged.</t>
        </is>
      </c>
    </row>
    <row r="4" ht="26" customHeight="1">
      <c r="B4" s="8" t="inlineStr">
        <is>
          <t>Day</t>
        </is>
      </c>
      <c r="C4" s="8" t="inlineStr">
        <is>
          <t>Date</t>
        </is>
      </c>
      <c r="D4" s="8" t="inlineStr">
        <is>
          <t>ST Hrs</t>
        </is>
      </c>
      <c r="E4" s="8" t="inlineStr">
        <is>
          <t>OT Hrs</t>
        </is>
      </c>
      <c r="F4" s="8" t="inlineStr">
        <is>
          <t>Total Hrs</t>
        </is>
      </c>
      <c r="G4" s="8" t="inlineStr">
        <is>
          <t>Equip Op Hrs</t>
        </is>
      </c>
      <c r="H4" s="8" t="inlineStr">
        <is>
          <t>Weather Lost Hrs</t>
        </is>
      </c>
      <c r="I4" s="8" t="inlineStr">
        <is>
          <t>Recordable Inc.</t>
        </is>
      </c>
    </row>
    <row r="5">
      <c r="B5" s="9" t="n">
        <v>1</v>
      </c>
      <c r="C5" s="10">
        <f>IF(FirstDay="","",FirstDay+0)</f>
        <v/>
      </c>
      <c r="D5" s="11">
        <f>'Day 01'!B200</f>
        <v/>
      </c>
      <c r="E5" s="11">
        <f>'Day 01'!B201</f>
        <v/>
      </c>
      <c r="F5" s="11">
        <f>D5+E5</f>
        <v/>
      </c>
      <c r="G5" s="11">
        <f>'Day 01'!B202</f>
        <v/>
      </c>
      <c r="H5" s="11">
        <f>'Day 01'!B203</f>
        <v/>
      </c>
      <c r="I5" s="12">
        <f>'Day 01'!B204</f>
        <v/>
      </c>
    </row>
    <row r="6">
      <c r="B6" s="9" t="n">
        <v>2</v>
      </c>
      <c r="C6" s="10">
        <f>IF(FirstDay="","",FirstDay+1)</f>
        <v/>
      </c>
      <c r="D6" s="11">
        <f>'Day 02'!B200</f>
        <v/>
      </c>
      <c r="E6" s="11">
        <f>'Day 02'!B201</f>
        <v/>
      </c>
      <c r="F6" s="11">
        <f>D6+E6</f>
        <v/>
      </c>
      <c r="G6" s="11">
        <f>'Day 02'!B202</f>
        <v/>
      </c>
      <c r="H6" s="11">
        <f>'Day 02'!B203</f>
        <v/>
      </c>
      <c r="I6" s="12">
        <f>'Day 02'!B204</f>
        <v/>
      </c>
    </row>
    <row r="7">
      <c r="B7" s="9" t="n">
        <v>3</v>
      </c>
      <c r="C7" s="10">
        <f>IF(FirstDay="","",FirstDay+2)</f>
        <v/>
      </c>
      <c r="D7" s="11">
        <f>'Day 03'!B200</f>
        <v/>
      </c>
      <c r="E7" s="11">
        <f>'Day 03'!B201</f>
        <v/>
      </c>
      <c r="F7" s="11">
        <f>D7+E7</f>
        <v/>
      </c>
      <c r="G7" s="11">
        <f>'Day 03'!B202</f>
        <v/>
      </c>
      <c r="H7" s="11">
        <f>'Day 03'!B203</f>
        <v/>
      </c>
      <c r="I7" s="12">
        <f>'Day 03'!B204</f>
        <v/>
      </c>
    </row>
    <row r="8">
      <c r="B8" s="9" t="n">
        <v>4</v>
      </c>
      <c r="C8" s="10">
        <f>IF(FirstDay="","",FirstDay+3)</f>
        <v/>
      </c>
      <c r="D8" s="11">
        <f>'Day 04'!B200</f>
        <v/>
      </c>
      <c r="E8" s="11">
        <f>'Day 04'!B201</f>
        <v/>
      </c>
      <c r="F8" s="11">
        <f>D8+E8</f>
        <v/>
      </c>
      <c r="G8" s="11">
        <f>'Day 04'!B202</f>
        <v/>
      </c>
      <c r="H8" s="11">
        <f>'Day 04'!B203</f>
        <v/>
      </c>
      <c r="I8" s="12">
        <f>'Day 04'!B204</f>
        <v/>
      </c>
    </row>
    <row r="9">
      <c r="B9" s="9" t="n">
        <v>5</v>
      </c>
      <c r="C9" s="10">
        <f>IF(FirstDay="","",FirstDay+4)</f>
        <v/>
      </c>
      <c r="D9" s="11">
        <f>'Day 05'!B200</f>
        <v/>
      </c>
      <c r="E9" s="11">
        <f>'Day 05'!B201</f>
        <v/>
      </c>
      <c r="F9" s="11">
        <f>D9+E9</f>
        <v/>
      </c>
      <c r="G9" s="11">
        <f>'Day 05'!B202</f>
        <v/>
      </c>
      <c r="H9" s="11">
        <f>'Day 05'!B203</f>
        <v/>
      </c>
      <c r="I9" s="12">
        <f>'Day 05'!B204</f>
        <v/>
      </c>
    </row>
    <row r="10">
      <c r="B10" s="9" t="n">
        <v>6</v>
      </c>
      <c r="C10" s="10">
        <f>IF(FirstDay="","",FirstDay+5)</f>
        <v/>
      </c>
      <c r="D10" s="11">
        <f>'Day 06'!B200</f>
        <v/>
      </c>
      <c r="E10" s="11">
        <f>'Day 06'!B201</f>
        <v/>
      </c>
      <c r="F10" s="11">
        <f>D10+E10</f>
        <v/>
      </c>
      <c r="G10" s="11">
        <f>'Day 06'!B202</f>
        <v/>
      </c>
      <c r="H10" s="11">
        <f>'Day 06'!B203</f>
        <v/>
      </c>
      <c r="I10" s="12">
        <f>'Day 06'!B204</f>
        <v/>
      </c>
    </row>
    <row r="11">
      <c r="B11" s="9" t="n">
        <v>7</v>
      </c>
      <c r="C11" s="10">
        <f>IF(FirstDay="","",FirstDay+6)</f>
        <v/>
      </c>
      <c r="D11" s="11">
        <f>'Day 07'!B200</f>
        <v/>
      </c>
      <c r="E11" s="11">
        <f>'Day 07'!B201</f>
        <v/>
      </c>
      <c r="F11" s="11">
        <f>D11+E11</f>
        <v/>
      </c>
      <c r="G11" s="11">
        <f>'Day 07'!B202</f>
        <v/>
      </c>
      <c r="H11" s="11">
        <f>'Day 07'!B203</f>
        <v/>
      </c>
      <c r="I11" s="12">
        <f>'Day 07'!B204</f>
        <v/>
      </c>
    </row>
    <row r="12">
      <c r="B12" s="9" t="n">
        <v>8</v>
      </c>
      <c r="C12" s="10">
        <f>IF(FirstDay="","",FirstDay+7)</f>
        <v/>
      </c>
      <c r="D12" s="11">
        <f>'Day 08'!B200</f>
        <v/>
      </c>
      <c r="E12" s="11">
        <f>'Day 08'!B201</f>
        <v/>
      </c>
      <c r="F12" s="11">
        <f>D12+E12</f>
        <v/>
      </c>
      <c r="G12" s="11">
        <f>'Day 08'!B202</f>
        <v/>
      </c>
      <c r="H12" s="11">
        <f>'Day 08'!B203</f>
        <v/>
      </c>
      <c r="I12" s="12">
        <f>'Day 08'!B204</f>
        <v/>
      </c>
    </row>
    <row r="13">
      <c r="B13" s="9" t="n">
        <v>9</v>
      </c>
      <c r="C13" s="10">
        <f>IF(FirstDay="","",FirstDay+8)</f>
        <v/>
      </c>
      <c r="D13" s="11">
        <f>'Day 09'!B200</f>
        <v/>
      </c>
      <c r="E13" s="11">
        <f>'Day 09'!B201</f>
        <v/>
      </c>
      <c r="F13" s="11">
        <f>D13+E13</f>
        <v/>
      </c>
      <c r="G13" s="11">
        <f>'Day 09'!B202</f>
        <v/>
      </c>
      <c r="H13" s="11">
        <f>'Day 09'!B203</f>
        <v/>
      </c>
      <c r="I13" s="12">
        <f>'Day 09'!B204</f>
        <v/>
      </c>
    </row>
    <row r="14">
      <c r="B14" s="9" t="n">
        <v>10</v>
      </c>
      <c r="C14" s="10">
        <f>IF(FirstDay="","",FirstDay+9)</f>
        <v/>
      </c>
      <c r="D14" s="11">
        <f>'Day 10'!B200</f>
        <v/>
      </c>
      <c r="E14" s="11">
        <f>'Day 10'!B201</f>
        <v/>
      </c>
      <c r="F14" s="11">
        <f>D14+E14</f>
        <v/>
      </c>
      <c r="G14" s="11">
        <f>'Day 10'!B202</f>
        <v/>
      </c>
      <c r="H14" s="11">
        <f>'Day 10'!B203</f>
        <v/>
      </c>
      <c r="I14" s="12">
        <f>'Day 10'!B204</f>
        <v/>
      </c>
    </row>
    <row r="15">
      <c r="B15" s="9" t="n">
        <v>11</v>
      </c>
      <c r="C15" s="10">
        <f>IF(FirstDay="","",FirstDay+10)</f>
        <v/>
      </c>
      <c r="D15" s="11">
        <f>'Day 11'!B200</f>
        <v/>
      </c>
      <c r="E15" s="11">
        <f>'Day 11'!B201</f>
        <v/>
      </c>
      <c r="F15" s="11">
        <f>D15+E15</f>
        <v/>
      </c>
      <c r="G15" s="11">
        <f>'Day 11'!B202</f>
        <v/>
      </c>
      <c r="H15" s="11">
        <f>'Day 11'!B203</f>
        <v/>
      </c>
      <c r="I15" s="12">
        <f>'Day 11'!B204</f>
        <v/>
      </c>
    </row>
    <row r="16">
      <c r="B16" s="9" t="n">
        <v>12</v>
      </c>
      <c r="C16" s="10">
        <f>IF(FirstDay="","",FirstDay+11)</f>
        <v/>
      </c>
      <c r="D16" s="11">
        <f>'Day 12'!B200</f>
        <v/>
      </c>
      <c r="E16" s="11">
        <f>'Day 12'!B201</f>
        <v/>
      </c>
      <c r="F16" s="11">
        <f>D16+E16</f>
        <v/>
      </c>
      <c r="G16" s="11">
        <f>'Day 12'!B202</f>
        <v/>
      </c>
      <c r="H16" s="11">
        <f>'Day 12'!B203</f>
        <v/>
      </c>
      <c r="I16" s="12">
        <f>'Day 12'!B204</f>
        <v/>
      </c>
    </row>
    <row r="17">
      <c r="B17" s="9" t="n">
        <v>13</v>
      </c>
      <c r="C17" s="10">
        <f>IF(FirstDay="","",FirstDay+12)</f>
        <v/>
      </c>
      <c r="D17" s="11">
        <f>'Day 13'!B200</f>
        <v/>
      </c>
      <c r="E17" s="11">
        <f>'Day 13'!B201</f>
        <v/>
      </c>
      <c r="F17" s="11">
        <f>D17+E17</f>
        <v/>
      </c>
      <c r="G17" s="11">
        <f>'Day 13'!B202</f>
        <v/>
      </c>
      <c r="H17" s="11">
        <f>'Day 13'!B203</f>
        <v/>
      </c>
      <c r="I17" s="12">
        <f>'Day 13'!B204</f>
        <v/>
      </c>
    </row>
    <row r="18">
      <c r="B18" s="9" t="n">
        <v>14</v>
      </c>
      <c r="C18" s="10">
        <f>IF(FirstDay="","",FirstDay+13)</f>
        <v/>
      </c>
      <c r="D18" s="11">
        <f>'Day 14'!B200</f>
        <v/>
      </c>
      <c r="E18" s="11">
        <f>'Day 14'!B201</f>
        <v/>
      </c>
      <c r="F18" s="11">
        <f>D18+E18</f>
        <v/>
      </c>
      <c r="G18" s="11">
        <f>'Day 14'!B202</f>
        <v/>
      </c>
      <c r="H18" s="11">
        <f>'Day 14'!B203</f>
        <v/>
      </c>
      <c r="I18" s="12">
        <f>'Day 14'!B204</f>
        <v/>
      </c>
    </row>
    <row r="19">
      <c r="B19" s="9" t="n">
        <v>15</v>
      </c>
      <c r="C19" s="10">
        <f>IF(FirstDay="","",FirstDay+14)</f>
        <v/>
      </c>
      <c r="D19" s="11">
        <f>'Day 15'!B200</f>
        <v/>
      </c>
      <c r="E19" s="11">
        <f>'Day 15'!B201</f>
        <v/>
      </c>
      <c r="F19" s="11">
        <f>D19+E19</f>
        <v/>
      </c>
      <c r="G19" s="11">
        <f>'Day 15'!B202</f>
        <v/>
      </c>
      <c r="H19" s="11">
        <f>'Day 15'!B203</f>
        <v/>
      </c>
      <c r="I19" s="12">
        <f>'Day 15'!B204</f>
        <v/>
      </c>
    </row>
    <row r="20">
      <c r="B20" s="9" t="n">
        <v>16</v>
      </c>
      <c r="C20" s="10">
        <f>IF(FirstDay="","",FirstDay+15)</f>
        <v/>
      </c>
      <c r="D20" s="11">
        <f>'Day 16'!B200</f>
        <v/>
      </c>
      <c r="E20" s="11">
        <f>'Day 16'!B201</f>
        <v/>
      </c>
      <c r="F20" s="11">
        <f>D20+E20</f>
        <v/>
      </c>
      <c r="G20" s="11">
        <f>'Day 16'!B202</f>
        <v/>
      </c>
      <c r="H20" s="11">
        <f>'Day 16'!B203</f>
        <v/>
      </c>
      <c r="I20" s="12">
        <f>'Day 16'!B204</f>
        <v/>
      </c>
    </row>
    <row r="21">
      <c r="B21" s="9" t="n">
        <v>17</v>
      </c>
      <c r="C21" s="10">
        <f>IF(FirstDay="","",FirstDay+16)</f>
        <v/>
      </c>
      <c r="D21" s="11">
        <f>'Day 17'!B200</f>
        <v/>
      </c>
      <c r="E21" s="11">
        <f>'Day 17'!B201</f>
        <v/>
      </c>
      <c r="F21" s="11">
        <f>D21+E21</f>
        <v/>
      </c>
      <c r="G21" s="11">
        <f>'Day 17'!B202</f>
        <v/>
      </c>
      <c r="H21" s="11">
        <f>'Day 17'!B203</f>
        <v/>
      </c>
      <c r="I21" s="12">
        <f>'Day 17'!B204</f>
        <v/>
      </c>
    </row>
    <row r="22">
      <c r="B22" s="9" t="n">
        <v>18</v>
      </c>
      <c r="C22" s="10">
        <f>IF(FirstDay="","",FirstDay+17)</f>
        <v/>
      </c>
      <c r="D22" s="11">
        <f>'Day 18'!B200</f>
        <v/>
      </c>
      <c r="E22" s="11">
        <f>'Day 18'!B201</f>
        <v/>
      </c>
      <c r="F22" s="11">
        <f>D22+E22</f>
        <v/>
      </c>
      <c r="G22" s="11">
        <f>'Day 18'!B202</f>
        <v/>
      </c>
      <c r="H22" s="11">
        <f>'Day 18'!B203</f>
        <v/>
      </c>
      <c r="I22" s="12">
        <f>'Day 18'!B204</f>
        <v/>
      </c>
    </row>
    <row r="23">
      <c r="B23" s="9" t="n">
        <v>19</v>
      </c>
      <c r="C23" s="10">
        <f>IF(FirstDay="","",FirstDay+18)</f>
        <v/>
      </c>
      <c r="D23" s="11">
        <f>'Day 19'!B200</f>
        <v/>
      </c>
      <c r="E23" s="11">
        <f>'Day 19'!B201</f>
        <v/>
      </c>
      <c r="F23" s="11">
        <f>D23+E23</f>
        <v/>
      </c>
      <c r="G23" s="11">
        <f>'Day 19'!B202</f>
        <v/>
      </c>
      <c r="H23" s="11">
        <f>'Day 19'!B203</f>
        <v/>
      </c>
      <c r="I23" s="12">
        <f>'Day 19'!B204</f>
        <v/>
      </c>
    </row>
    <row r="24">
      <c r="B24" s="9" t="n">
        <v>20</v>
      </c>
      <c r="C24" s="10">
        <f>IF(FirstDay="","",FirstDay+19)</f>
        <v/>
      </c>
      <c r="D24" s="11">
        <f>'Day 20'!B200</f>
        <v/>
      </c>
      <c r="E24" s="11">
        <f>'Day 20'!B201</f>
        <v/>
      </c>
      <c r="F24" s="11">
        <f>D24+E24</f>
        <v/>
      </c>
      <c r="G24" s="11">
        <f>'Day 20'!B202</f>
        <v/>
      </c>
      <c r="H24" s="11">
        <f>'Day 20'!B203</f>
        <v/>
      </c>
      <c r="I24" s="12">
        <f>'Day 20'!B204</f>
        <v/>
      </c>
    </row>
    <row r="25">
      <c r="B25" s="9" t="n">
        <v>21</v>
      </c>
      <c r="C25" s="10">
        <f>IF(FirstDay="","",FirstDay+20)</f>
        <v/>
      </c>
      <c r="D25" s="11">
        <f>'Day 21'!B200</f>
        <v/>
      </c>
      <c r="E25" s="11">
        <f>'Day 21'!B201</f>
        <v/>
      </c>
      <c r="F25" s="11">
        <f>D25+E25</f>
        <v/>
      </c>
      <c r="G25" s="11">
        <f>'Day 21'!B202</f>
        <v/>
      </c>
      <c r="H25" s="11">
        <f>'Day 21'!B203</f>
        <v/>
      </c>
      <c r="I25" s="12">
        <f>'Day 21'!B204</f>
        <v/>
      </c>
    </row>
    <row r="26">
      <c r="B26" s="9" t="n">
        <v>22</v>
      </c>
      <c r="C26" s="10">
        <f>IF(FirstDay="","",FirstDay+21)</f>
        <v/>
      </c>
      <c r="D26" s="11">
        <f>'Day 22'!B200</f>
        <v/>
      </c>
      <c r="E26" s="11">
        <f>'Day 22'!B201</f>
        <v/>
      </c>
      <c r="F26" s="11">
        <f>D26+E26</f>
        <v/>
      </c>
      <c r="G26" s="11">
        <f>'Day 22'!B202</f>
        <v/>
      </c>
      <c r="H26" s="11">
        <f>'Day 22'!B203</f>
        <v/>
      </c>
      <c r="I26" s="12">
        <f>'Day 22'!B204</f>
        <v/>
      </c>
    </row>
    <row r="27">
      <c r="B27" s="9" t="n">
        <v>23</v>
      </c>
      <c r="C27" s="10">
        <f>IF(FirstDay="","",FirstDay+22)</f>
        <v/>
      </c>
      <c r="D27" s="11">
        <f>'Day 23'!B200</f>
        <v/>
      </c>
      <c r="E27" s="11">
        <f>'Day 23'!B201</f>
        <v/>
      </c>
      <c r="F27" s="11">
        <f>D27+E27</f>
        <v/>
      </c>
      <c r="G27" s="11">
        <f>'Day 23'!B202</f>
        <v/>
      </c>
      <c r="H27" s="11">
        <f>'Day 23'!B203</f>
        <v/>
      </c>
      <c r="I27" s="12">
        <f>'Day 23'!B204</f>
        <v/>
      </c>
    </row>
    <row r="28">
      <c r="B28" s="9" t="n">
        <v>24</v>
      </c>
      <c r="C28" s="10">
        <f>IF(FirstDay="","",FirstDay+23)</f>
        <v/>
      </c>
      <c r="D28" s="11">
        <f>'Day 24'!B200</f>
        <v/>
      </c>
      <c r="E28" s="11">
        <f>'Day 24'!B201</f>
        <v/>
      </c>
      <c r="F28" s="11">
        <f>D28+E28</f>
        <v/>
      </c>
      <c r="G28" s="11">
        <f>'Day 24'!B202</f>
        <v/>
      </c>
      <c r="H28" s="11">
        <f>'Day 24'!B203</f>
        <v/>
      </c>
      <c r="I28" s="12">
        <f>'Day 24'!B204</f>
        <v/>
      </c>
    </row>
    <row r="29">
      <c r="B29" s="9" t="n">
        <v>25</v>
      </c>
      <c r="C29" s="10">
        <f>IF(FirstDay="","",FirstDay+24)</f>
        <v/>
      </c>
      <c r="D29" s="11">
        <f>'Day 25'!B200</f>
        <v/>
      </c>
      <c r="E29" s="11">
        <f>'Day 25'!B201</f>
        <v/>
      </c>
      <c r="F29" s="11">
        <f>D29+E29</f>
        <v/>
      </c>
      <c r="G29" s="11">
        <f>'Day 25'!B202</f>
        <v/>
      </c>
      <c r="H29" s="11">
        <f>'Day 25'!B203</f>
        <v/>
      </c>
      <c r="I29" s="12">
        <f>'Day 25'!B204</f>
        <v/>
      </c>
    </row>
    <row r="30">
      <c r="B30" s="9" t="n">
        <v>26</v>
      </c>
      <c r="C30" s="10">
        <f>IF(FirstDay="","",FirstDay+25)</f>
        <v/>
      </c>
      <c r="D30" s="11">
        <f>'Day 26'!B200</f>
        <v/>
      </c>
      <c r="E30" s="11">
        <f>'Day 26'!B201</f>
        <v/>
      </c>
      <c r="F30" s="11">
        <f>D30+E30</f>
        <v/>
      </c>
      <c r="G30" s="11">
        <f>'Day 26'!B202</f>
        <v/>
      </c>
      <c r="H30" s="11">
        <f>'Day 26'!B203</f>
        <v/>
      </c>
      <c r="I30" s="12">
        <f>'Day 26'!B204</f>
        <v/>
      </c>
    </row>
    <row r="31">
      <c r="B31" s="9" t="n">
        <v>27</v>
      </c>
      <c r="C31" s="10">
        <f>IF(FirstDay="","",FirstDay+26)</f>
        <v/>
      </c>
      <c r="D31" s="11">
        <f>'Day 27'!B200</f>
        <v/>
      </c>
      <c r="E31" s="11">
        <f>'Day 27'!B201</f>
        <v/>
      </c>
      <c r="F31" s="11">
        <f>D31+E31</f>
        <v/>
      </c>
      <c r="G31" s="11">
        <f>'Day 27'!B202</f>
        <v/>
      </c>
      <c r="H31" s="11">
        <f>'Day 27'!B203</f>
        <v/>
      </c>
      <c r="I31" s="12">
        <f>'Day 27'!B204</f>
        <v/>
      </c>
    </row>
    <row r="32">
      <c r="B32" s="9" t="n">
        <v>28</v>
      </c>
      <c r="C32" s="10">
        <f>IF(FirstDay="","",FirstDay+27)</f>
        <v/>
      </c>
      <c r="D32" s="11">
        <f>'Day 28'!B200</f>
        <v/>
      </c>
      <c r="E32" s="11">
        <f>'Day 28'!B201</f>
        <v/>
      </c>
      <c r="F32" s="11">
        <f>D32+E32</f>
        <v/>
      </c>
      <c r="G32" s="11">
        <f>'Day 28'!B202</f>
        <v/>
      </c>
      <c r="H32" s="11">
        <f>'Day 28'!B203</f>
        <v/>
      </c>
      <c r="I32" s="12">
        <f>'Day 28'!B204</f>
        <v/>
      </c>
    </row>
    <row r="33">
      <c r="B33" s="9" t="n">
        <v>29</v>
      </c>
      <c r="C33" s="10">
        <f>IF(FirstDay="","",FirstDay+28)</f>
        <v/>
      </c>
      <c r="D33" s="11">
        <f>'Day 29'!B200</f>
        <v/>
      </c>
      <c r="E33" s="11">
        <f>'Day 29'!B201</f>
        <v/>
      </c>
      <c r="F33" s="11">
        <f>D33+E33</f>
        <v/>
      </c>
      <c r="G33" s="11">
        <f>'Day 29'!B202</f>
        <v/>
      </c>
      <c r="H33" s="11">
        <f>'Day 29'!B203</f>
        <v/>
      </c>
      <c r="I33" s="12">
        <f>'Day 29'!B204</f>
        <v/>
      </c>
    </row>
    <row r="34">
      <c r="B34" s="9" t="n">
        <v>30</v>
      </c>
      <c r="C34" s="10">
        <f>IF(FirstDay="","",FirstDay+29)</f>
        <v/>
      </c>
      <c r="D34" s="11">
        <f>'Day 30'!B200</f>
        <v/>
      </c>
      <c r="E34" s="11">
        <f>'Day 30'!B201</f>
        <v/>
      </c>
      <c r="F34" s="11">
        <f>D34+E34</f>
        <v/>
      </c>
      <c r="G34" s="11">
        <f>'Day 30'!B202</f>
        <v/>
      </c>
      <c r="H34" s="11">
        <f>'Day 30'!B203</f>
        <v/>
      </c>
      <c r="I34" s="12">
        <f>'Day 30'!B204</f>
        <v/>
      </c>
    </row>
    <row r="35">
      <c r="B35" s="9" t="n">
        <v>31</v>
      </c>
      <c r="C35" s="10">
        <f>IF(FirstDay="","",FirstDay+30)</f>
        <v/>
      </c>
      <c r="D35" s="11">
        <f>'Day 31'!B200</f>
        <v/>
      </c>
      <c r="E35" s="11">
        <f>'Day 31'!B201</f>
        <v/>
      </c>
      <c r="F35" s="11">
        <f>D35+E35</f>
        <v/>
      </c>
      <c r="G35" s="11">
        <f>'Day 31'!B202</f>
        <v/>
      </c>
      <c r="H35" s="11">
        <f>'Day 31'!B203</f>
        <v/>
      </c>
      <c r="I35" s="12">
        <f>'Day 31'!B204</f>
        <v/>
      </c>
    </row>
    <row r="36">
      <c r="B36" s="13" t="inlineStr">
        <is>
          <t>MONTH TOTAL</t>
        </is>
      </c>
      <c r="D36" s="14">
        <f>SUM(D5:D35)</f>
        <v/>
      </c>
      <c r="E36" s="14">
        <f>SUM(E5:E35)</f>
        <v/>
      </c>
      <c r="F36" s="14">
        <f>SUM(F5:F35)</f>
        <v/>
      </c>
      <c r="G36" s="14">
        <f>SUM(G5:G35)</f>
        <v/>
      </c>
      <c r="H36" s="14">
        <f>SUM(H5:H35)</f>
        <v/>
      </c>
      <c r="I36" s="15">
        <f>SUM(I5:I35)</f>
        <v/>
      </c>
    </row>
  </sheetData>
  <mergeCells count="2">
    <mergeCell ref="B1:I1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IF(FirstDay="","",FirstDay+0)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3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4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IF(FirstDay="","",FirstDay+3)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5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IF(FirstDay="","",FirstDay+4)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6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IF(FirstDay="","",FirstDay+5)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7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IF(FirstDay="","",FirstDay+6)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8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IF(FirstDay="","",FirstDay+7)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9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IF(FirstDay="","",FirstDay+8)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10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IF(FirstDay="","",FirstDay+9)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11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IF(FirstDay="","",FirstDay+10)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12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IF(FirstDay="","",FirstDay+11)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13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IF(FirstDay="","",FirstDay+12)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14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IF(FirstDay="","",FirstDay+13)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15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IF(FirstDay="","",FirstDay+14)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16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IF(FirstDay="","",FirstDay+15)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17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IF(FirstDay="","",FirstDay+16)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18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IF(FirstDay="","",FirstDay+17)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19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IF(FirstDay="","",FirstDay+18)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20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IF(FirstDay="","",FirstDay+19)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21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IF(FirstDay="","",FirstDay+20)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22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IF(FirstDay="","",FirstDay+21)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23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IF(FirstDay="","",FirstDay+22)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24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IF(FirstDay="","",FirstDay+23)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25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IF(FirstDay="","",FirstDay+24)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26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IF(FirstDay="","",FirstDay+25)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27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IF(FirstDay="","",FirstDay+26)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28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IF(FirstDay="","",FirstDay+27)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29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IF(FirstDay="","",FirstDay+28)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30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IF(FirstDay="","",FirstDay+29)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0" customWidth="1" min="4" max="4"/>
    <col width="10" customWidth="1" min="5" max="5"/>
    <col width="32" customWidth="1" min="6" max="6"/>
  </cols>
  <sheetData>
    <row r="1" ht="32" customHeight="1">
      <c r="B1" s="1" t="inlineStr">
        <is>
          <t>DAILY FIELD REPORT — Day 31</t>
        </is>
      </c>
    </row>
    <row r="2">
      <c r="B2" s="16" t="inlineStr">
        <is>
          <t>DFR #:</t>
        </is>
      </c>
      <c r="C2" t="inlineStr"/>
      <c r="D2" s="16" t="inlineStr">
        <is>
          <t>Date:</t>
        </is>
      </c>
      <c r="E2" s="17">
        <f>IF(FirstDay="","",FirstDay+30)</f>
        <v/>
      </c>
      <c r="F2" s="18" t="inlineStr">
        <is>
          <t>Project: =ProjectName</t>
        </is>
      </c>
    </row>
    <row r="3">
      <c r="B3" s="16" t="inlineStr">
        <is>
          <t>Foreman:</t>
        </is>
      </c>
      <c r="C3">
        <f>Foreman</f>
        <v/>
      </c>
      <c r="D3" s="16" t="inlineStr">
        <is>
          <t>Sub:</t>
        </is>
      </c>
      <c r="E3">
        <f>SubName</f>
        <v/>
      </c>
    </row>
    <row r="5">
      <c r="B5" s="19" t="inlineStr">
        <is>
          <t>WEATHER</t>
        </is>
      </c>
    </row>
    <row r="6">
      <c r="B6" s="20" t="inlineStr">
        <is>
          <t>AM Temp (°F) / Conditions</t>
        </is>
      </c>
      <c r="C6" s="5" t="inlineStr"/>
    </row>
    <row r="7">
      <c r="B7" s="20" t="inlineStr">
        <is>
          <t>PM Temp (°F) / Conditions</t>
        </is>
      </c>
      <c r="C7" s="5" t="inlineStr"/>
    </row>
    <row r="8">
      <c r="B8" s="20" t="inlineStr">
        <is>
          <t>Wind / Visibility</t>
        </is>
      </c>
      <c r="C8" s="5" t="inlineStr"/>
    </row>
    <row r="9">
      <c r="B9" s="20" t="inlineStr">
        <is>
          <t>Impact on Work (None / Minor / Hours lost #)</t>
        </is>
      </c>
      <c r="C9" s="21" t="inlineStr"/>
    </row>
    <row r="10">
      <c r="B10" s="20" t="inlineStr">
        <is>
          <t>Idle Hours Lost to Weather</t>
        </is>
      </c>
      <c r="C10" s="21" t="n">
        <v>0</v>
      </c>
    </row>
    <row r="12">
      <c r="B12" s="19" t="inlineStr">
        <is>
          <t>CREW ON SITE</t>
        </is>
      </c>
    </row>
    <row r="13" ht="26" customHeight="1">
      <c r="B13" s="8" t="inlineStr">
        <is>
          <t>Name</t>
        </is>
      </c>
      <c r="C13" s="8" t="inlineStr">
        <is>
          <t>Classification</t>
        </is>
      </c>
      <c r="D13" s="8" t="inlineStr">
        <is>
          <t>ST Hrs</t>
        </is>
      </c>
      <c r="E13" s="8" t="inlineStr">
        <is>
          <t>OT Hrs</t>
        </is>
      </c>
      <c r="F13" s="8" t="inlineStr">
        <is>
          <t>Task / Location</t>
        </is>
      </c>
    </row>
    <row r="14">
      <c r="B14" s="9" t="n"/>
      <c r="C14" s="9" t="n"/>
      <c r="D14" s="11" t="n"/>
      <c r="E14" s="11" t="n"/>
      <c r="F14" s="9" t="n"/>
    </row>
    <row r="15">
      <c r="B15" s="9" t="n"/>
      <c r="C15" s="9" t="n"/>
      <c r="D15" s="11" t="n"/>
      <c r="E15" s="11" t="n"/>
      <c r="F15" s="9" t="n"/>
    </row>
    <row r="16">
      <c r="B16" s="9" t="n"/>
      <c r="C16" s="9" t="n"/>
      <c r="D16" s="11" t="n"/>
      <c r="E16" s="11" t="n"/>
      <c r="F16" s="9" t="n"/>
    </row>
    <row r="17">
      <c r="B17" s="9" t="n"/>
      <c r="C17" s="9" t="n"/>
      <c r="D17" s="11" t="n"/>
      <c r="E17" s="11" t="n"/>
      <c r="F17" s="9" t="n"/>
    </row>
    <row r="18">
      <c r="B18" s="9" t="n"/>
      <c r="C18" s="9" t="n"/>
      <c r="D18" s="11" t="n"/>
      <c r="E18" s="11" t="n"/>
      <c r="F18" s="9" t="n"/>
    </row>
    <row r="19">
      <c r="B19" s="9" t="n"/>
      <c r="C19" s="9" t="n"/>
      <c r="D19" s="11" t="n"/>
      <c r="E19" s="11" t="n"/>
      <c r="F19" s="9" t="n"/>
    </row>
    <row r="20">
      <c r="B20" s="9" t="n"/>
      <c r="C20" s="9" t="n"/>
      <c r="D20" s="11" t="n"/>
      <c r="E20" s="11" t="n"/>
      <c r="F20" s="9" t="n"/>
    </row>
    <row r="21">
      <c r="B21" s="9" t="n"/>
      <c r="C21" s="9" t="n"/>
      <c r="D21" s="11" t="n"/>
      <c r="E21" s="11" t="n"/>
      <c r="F21" s="9" t="n"/>
    </row>
    <row r="22">
      <c r="B22" s="9" t="n"/>
      <c r="C22" s="9" t="n"/>
      <c r="D22" s="11" t="n"/>
      <c r="E22" s="11" t="n"/>
      <c r="F22" s="9" t="n"/>
    </row>
    <row r="23">
      <c r="B23" s="9" t="n"/>
      <c r="C23" s="9" t="n"/>
      <c r="D23" s="11" t="n"/>
      <c r="E23" s="11" t="n"/>
      <c r="F23" s="9" t="n"/>
    </row>
    <row r="24">
      <c r="B24" s="13" t="inlineStr">
        <is>
          <t>CREW TOTALS</t>
        </is>
      </c>
      <c r="D24" s="14">
        <f>SUM(D14:D23)</f>
        <v/>
      </c>
      <c r="E24" s="14">
        <f>SUM(E14:E23)</f>
        <v/>
      </c>
    </row>
    <row r="26">
      <c r="B26" s="19" t="inlineStr">
        <is>
          <t>EQUIPMENT ON SITE</t>
        </is>
      </c>
    </row>
    <row r="27" ht="26" customHeight="1">
      <c r="B27" s="8" t="inlineStr">
        <is>
          <t>Equipment</t>
        </is>
      </c>
      <c r="C27" s="8" t="inlineStr">
        <is>
          <t>Owned / Rented</t>
        </is>
      </c>
      <c r="D27" s="8" t="inlineStr">
        <is>
          <t>Op Hrs</t>
        </is>
      </c>
      <c r="E27" s="8" t="inlineStr">
        <is>
          <t>Idle Hrs</t>
        </is>
      </c>
      <c r="F27" s="8" t="inlineStr">
        <is>
          <t>Notes</t>
        </is>
      </c>
    </row>
    <row r="28">
      <c r="B28" s="9" t="n"/>
      <c r="C28" s="9" t="n"/>
      <c r="D28" s="11" t="n"/>
      <c r="E28" s="11" t="n"/>
      <c r="F28" s="9" t="n"/>
    </row>
    <row r="29">
      <c r="B29" s="9" t="n"/>
      <c r="C29" s="9" t="n"/>
      <c r="D29" s="11" t="n"/>
      <c r="E29" s="11" t="n"/>
      <c r="F29" s="9" t="n"/>
    </row>
    <row r="30">
      <c r="B30" s="9" t="n"/>
      <c r="C30" s="9" t="n"/>
      <c r="D30" s="11" t="n"/>
      <c r="E30" s="11" t="n"/>
      <c r="F30" s="9" t="n"/>
    </row>
    <row r="31">
      <c r="B31" s="9" t="n"/>
      <c r="C31" s="9" t="n"/>
      <c r="D31" s="11" t="n"/>
      <c r="E31" s="11" t="n"/>
      <c r="F31" s="9" t="n"/>
    </row>
    <row r="32">
      <c r="B32" s="9" t="n"/>
      <c r="C32" s="9" t="n"/>
      <c r="D32" s="11" t="n"/>
      <c r="E32" s="11" t="n"/>
      <c r="F32" s="9" t="n"/>
    </row>
    <row r="33">
      <c r="B33" s="9" t="n"/>
      <c r="C33" s="9" t="n"/>
      <c r="D33" s="11" t="n"/>
      <c r="E33" s="11" t="n"/>
      <c r="F33" s="9" t="n"/>
    </row>
    <row r="34">
      <c r="B34" s="13" t="inlineStr">
        <is>
          <t>EQUIP TOTALS</t>
        </is>
      </c>
      <c r="D34" s="14">
        <f>SUM(D28:D33)</f>
        <v/>
      </c>
      <c r="E34" s="14">
        <f>SUM(E28:E33)</f>
        <v/>
      </c>
    </row>
    <row r="36">
      <c r="B36" s="19" t="inlineStr">
        <is>
          <t>MATERIALS DELIVERED / INSTALLED</t>
        </is>
      </c>
    </row>
    <row r="37" ht="26" customHeight="1">
      <c r="B37" s="8" t="inlineStr">
        <is>
          <t>Material</t>
        </is>
      </c>
      <c r="C37" s="8" t="inlineStr">
        <is>
          <t>Supplier</t>
        </is>
      </c>
      <c r="D37" s="8" t="inlineStr">
        <is>
          <t>Qty Delivered</t>
        </is>
      </c>
      <c r="E37" s="8" t="inlineStr">
        <is>
          <t>Qty Installed</t>
        </is>
      </c>
      <c r="F37" s="8" t="inlineStr">
        <is>
          <t>Location</t>
        </is>
      </c>
    </row>
    <row r="38">
      <c r="B38" s="9" t="n"/>
      <c r="C38" s="9" t="n"/>
      <c r="D38" s="9" t="n"/>
      <c r="E38" s="9" t="n"/>
      <c r="F38" s="9" t="n"/>
    </row>
    <row r="39">
      <c r="B39" s="9" t="n"/>
      <c r="C39" s="9" t="n"/>
      <c r="D39" s="9" t="n"/>
      <c r="E39" s="9" t="n"/>
      <c r="F39" s="9" t="n"/>
    </row>
    <row r="40">
      <c r="B40" s="9" t="n"/>
      <c r="C40" s="9" t="n"/>
      <c r="D40" s="9" t="n"/>
      <c r="E40" s="9" t="n"/>
      <c r="F40" s="9" t="n"/>
    </row>
    <row r="41">
      <c r="B41" s="9" t="n"/>
      <c r="C41" s="9" t="n"/>
      <c r="D41" s="9" t="n"/>
      <c r="E41" s="9" t="n"/>
      <c r="F41" s="9" t="n"/>
    </row>
    <row r="42">
      <c r="B42" s="9" t="n"/>
      <c r="C42" s="9" t="n"/>
      <c r="D42" s="9" t="n"/>
      <c r="E42" s="9" t="n"/>
      <c r="F42" s="9" t="n"/>
    </row>
    <row r="43">
      <c r="B43" s="9" t="n"/>
      <c r="C43" s="9" t="n"/>
      <c r="D43" s="9" t="n"/>
      <c r="E43" s="9" t="n"/>
      <c r="F43" s="9" t="n"/>
    </row>
    <row r="45">
      <c r="B45" s="19" t="inlineStr">
        <is>
          <t>WORK PERFORMED (NARRATIVE)</t>
        </is>
      </c>
    </row>
    <row r="46">
      <c r="B46" s="22" t="inlineStr"/>
      <c r="C46" s="23" t="n"/>
      <c r="D46" s="23" t="n"/>
      <c r="E46" s="23" t="n"/>
      <c r="F46" s="23" t="n"/>
    </row>
    <row r="47">
      <c r="B47" s="23" t="n"/>
      <c r="C47" s="23" t="n"/>
      <c r="D47" s="23" t="n"/>
      <c r="E47" s="23" t="n"/>
      <c r="F47" s="23" t="n"/>
    </row>
    <row r="48">
      <c r="B48" s="23" t="n"/>
      <c r="C48" s="23" t="n"/>
      <c r="D48" s="23" t="n"/>
      <c r="E48" s="23" t="n"/>
      <c r="F48" s="23" t="n"/>
    </row>
    <row r="49">
      <c r="B49" s="23" t="n"/>
      <c r="C49" s="23" t="n"/>
      <c r="D49" s="23" t="n"/>
      <c r="E49" s="23" t="n"/>
      <c r="F49" s="23" t="n"/>
    </row>
    <row r="51">
      <c r="B51" s="19" t="inlineStr">
        <is>
          <t>CONDITIONS AFFECTING WORK</t>
        </is>
      </c>
    </row>
    <row r="52">
      <c r="B52" s="20" t="inlineStr">
        <is>
          <t>Differing site conditions</t>
        </is>
      </c>
      <c r="C52" s="5" t="inlineStr"/>
    </row>
    <row r="53">
      <c r="B53" s="20" t="inlineStr">
        <is>
          <t>Missing GC trade / access</t>
        </is>
      </c>
      <c r="C53" s="5" t="inlineStr"/>
    </row>
    <row r="54">
      <c r="B54" s="20" t="inlineStr">
        <is>
          <t>Utility / power issue</t>
        </is>
      </c>
      <c r="C54" s="5" t="inlineStr"/>
    </row>
    <row r="55">
      <c r="B55" s="20" t="inlineStr">
        <is>
          <t>Inspection / AHJ</t>
        </is>
      </c>
      <c r="C55" s="5" t="inlineStr"/>
    </row>
    <row r="56">
      <c r="B56" s="20" t="inlineStr">
        <is>
          <t>Idle crew hours due to conditions (#)</t>
        </is>
      </c>
      <c r="C56" s="21" t="inlineStr"/>
    </row>
    <row r="58">
      <c r="B58" s="19" t="inlineStr">
        <is>
          <t>DIRECTIVES / RFIs / T&amp;M TICKETS</t>
        </is>
      </c>
    </row>
    <row r="59" ht="26" customHeight="1">
      <c r="B59" s="8" t="inlineStr">
        <is>
          <t>Type</t>
        </is>
      </c>
      <c r="C59" s="8" t="inlineStr">
        <is>
          <t>Originator</t>
        </is>
      </c>
      <c r="D59" s="8" t="inlineStr">
        <is>
          <t>Description</t>
        </is>
      </c>
      <c r="E59" s="8" t="inlineStr">
        <is>
          <t>Status</t>
        </is>
      </c>
      <c r="F59" s="8" t="inlineStr">
        <is>
          <t>Notes</t>
        </is>
      </c>
    </row>
    <row r="60">
      <c r="B60" s="9" t="n"/>
      <c r="C60" s="9" t="n"/>
      <c r="D60" s="9" t="n"/>
      <c r="E60" s="9" t="n"/>
      <c r="F60" s="9" t="n"/>
    </row>
    <row r="61">
      <c r="B61" s="9" t="n"/>
      <c r="C61" s="9" t="n"/>
      <c r="D61" s="9" t="n"/>
      <c r="E61" s="9" t="n"/>
      <c r="F61" s="9" t="n"/>
    </row>
    <row r="62">
      <c r="B62" s="9" t="n"/>
      <c r="C62" s="9" t="n"/>
      <c r="D62" s="9" t="n"/>
      <c r="E62" s="9" t="n"/>
      <c r="F62" s="9" t="n"/>
    </row>
    <row r="63">
      <c r="B63" s="9" t="n"/>
      <c r="C63" s="9" t="n"/>
      <c r="D63" s="9" t="n"/>
      <c r="E63" s="9" t="n"/>
      <c r="F63" s="9" t="n"/>
    </row>
    <row r="64">
      <c r="B64" s="9" t="n"/>
      <c r="C64" s="9" t="n"/>
      <c r="D64" s="9" t="n"/>
      <c r="E64" s="9" t="n"/>
      <c r="F64" s="9" t="n"/>
    </row>
    <row r="66">
      <c r="B66" s="19" t="inlineStr">
        <is>
          <t>SAFETY</t>
        </is>
      </c>
    </row>
    <row r="67">
      <c r="B67" s="20" t="inlineStr">
        <is>
          <t>Toolbox topic</t>
        </is>
      </c>
      <c r="C67" s="5" t="inlineStr"/>
    </row>
    <row r="68">
      <c r="B68" s="20" t="inlineStr">
        <is>
          <t>Near-miss (count)</t>
        </is>
      </c>
      <c r="C68" s="24" t="n">
        <v>0</v>
      </c>
    </row>
    <row r="69">
      <c r="B69" s="20" t="inlineStr">
        <is>
          <t>First aid only (count)</t>
        </is>
      </c>
      <c r="C69" s="24" t="n">
        <v>0</v>
      </c>
    </row>
    <row r="70">
      <c r="B70" s="20" t="inlineStr">
        <is>
          <t>Recordable incident (count)</t>
        </is>
      </c>
      <c r="C70" s="24" t="n">
        <v>0</v>
      </c>
    </row>
    <row r="71">
      <c r="B71" s="20" t="inlineStr">
        <is>
          <t>OSHA visit</t>
        </is>
      </c>
      <c r="C71" s="5" t="inlineStr">
        <is>
          <t>No</t>
        </is>
      </c>
    </row>
    <row r="72">
      <c r="B72" s="20" t="inlineStr">
        <is>
          <t>PPE audit notes</t>
        </is>
      </c>
      <c r="C72" s="5" t="inlineStr"/>
    </row>
    <row r="74">
      <c r="B74" s="19" t="inlineStr">
        <is>
          <t>PHOTO LOG</t>
        </is>
      </c>
    </row>
    <row r="75" ht="26" customHeight="1">
      <c r="B75" s="8" t="inlineStr">
        <is>
          <t>File / Frame</t>
        </is>
      </c>
      <c r="C75" s="8" t="inlineStr">
        <is>
          <t>Time</t>
        </is>
      </c>
      <c r="D75" s="8" t="inlineStr">
        <is>
          <t>Location</t>
        </is>
      </c>
      <c r="E75" s="8" t="inlineStr">
        <is>
          <t>Description</t>
        </is>
      </c>
      <c r="F75" s="8" t="inlineStr">
        <is>
          <t>Notes</t>
        </is>
      </c>
    </row>
    <row r="76">
      <c r="B76" s="9" t="n"/>
      <c r="C76" s="9" t="n"/>
      <c r="D76" s="9" t="n"/>
      <c r="E76" s="9" t="n"/>
      <c r="F76" s="9" t="n"/>
    </row>
    <row r="77">
      <c r="B77" s="9" t="n"/>
      <c r="C77" s="9" t="n"/>
      <c r="D77" s="9" t="n"/>
      <c r="E77" s="9" t="n"/>
      <c r="F77" s="9" t="n"/>
    </row>
    <row r="78">
      <c r="B78" s="9" t="n"/>
      <c r="C78" s="9" t="n"/>
      <c r="D78" s="9" t="n"/>
      <c r="E78" s="9" t="n"/>
      <c r="F78" s="9" t="n"/>
    </row>
    <row r="79">
      <c r="B79" s="9" t="n"/>
      <c r="C79" s="9" t="n"/>
      <c r="D79" s="9" t="n"/>
      <c r="E79" s="9" t="n"/>
      <c r="F79" s="9" t="n"/>
    </row>
    <row r="80">
      <c r="B80" s="9" t="n"/>
      <c r="C80" s="9" t="n"/>
      <c r="D80" s="9" t="n"/>
      <c r="E80" s="9" t="n"/>
      <c r="F80" s="9" t="n"/>
    </row>
    <row r="81">
      <c r="B81" s="9" t="n"/>
      <c r="C81" s="9" t="n"/>
      <c r="D81" s="9" t="n"/>
      <c r="E81" s="9" t="n"/>
      <c r="F81" s="9" t="n"/>
    </row>
    <row r="82">
      <c r="B82" s="9" t="n"/>
      <c r="C82" s="9" t="n"/>
      <c r="D82" s="9" t="n"/>
      <c r="E82" s="9" t="n"/>
      <c r="F82" s="9" t="n"/>
    </row>
    <row r="83">
      <c r="B83" s="9" t="n"/>
      <c r="C83" s="9" t="n"/>
      <c r="D83" s="9" t="n"/>
      <c r="E83" s="9" t="n"/>
      <c r="F83" s="9" t="n"/>
    </row>
    <row r="85">
      <c r="B85" s="19" t="inlineStr">
        <is>
          <t>SIGNATURES</t>
        </is>
      </c>
    </row>
    <row r="86">
      <c r="B86" s="4" t="inlineStr">
        <is>
          <t>Foreman:</t>
        </is>
      </c>
      <c r="C86" s="23" t="inlineStr"/>
    </row>
    <row r="87">
      <c r="B87" s="4" t="inlineStr">
        <is>
          <t>GC Field Rep (countersig):</t>
        </is>
      </c>
      <c r="C87" s="23" t="inlineStr"/>
    </row>
    <row r="200">
      <c r="A200" s="7" t="inlineStr">
        <is>
          <t>Anchor:CrewST</t>
        </is>
      </c>
      <c r="B200">
        <f>D24</f>
        <v/>
      </c>
    </row>
    <row r="201">
      <c r="A201" s="7" t="inlineStr">
        <is>
          <t>Anchor:CrewOT</t>
        </is>
      </c>
      <c r="B201">
        <f>E24</f>
        <v/>
      </c>
    </row>
    <row r="202">
      <c r="A202" s="7" t="inlineStr">
        <is>
          <t>Anchor:EqOp</t>
        </is>
      </c>
      <c r="B202">
        <f>D34</f>
        <v/>
      </c>
    </row>
    <row r="203">
      <c r="A203" s="7" t="inlineStr">
        <is>
          <t>Anchor:WeatherLost</t>
        </is>
      </c>
      <c r="B203">
        <f>C9</f>
        <v/>
      </c>
    </row>
    <row r="204">
      <c r="A204" s="7" t="inlineStr">
        <is>
          <t>Anchor:Recordable</t>
        </is>
      </c>
      <c r="B204" t="n">
        <v>0</v>
      </c>
    </row>
  </sheetData>
  <mergeCells count="23">
    <mergeCell ref="C52:F52"/>
    <mergeCell ref="C70:F70"/>
    <mergeCell ref="C6:D6"/>
    <mergeCell ref="C72:F72"/>
    <mergeCell ref="C67:F67"/>
    <mergeCell ref="C53:F53"/>
    <mergeCell ref="C10:D10"/>
    <mergeCell ref="C69:F69"/>
    <mergeCell ref="C87:F87"/>
    <mergeCell ref="C86:F86"/>
    <mergeCell ref="C68:F68"/>
    <mergeCell ref="B1:F1"/>
    <mergeCell ref="C9:D9"/>
    <mergeCell ref="B34:C34"/>
    <mergeCell ref="C54:F54"/>
    <mergeCell ref="C55:F55"/>
    <mergeCell ref="C8:D8"/>
    <mergeCell ref="B24:C24"/>
    <mergeCell ref="C7:D7"/>
    <mergeCell ref="C56:F56"/>
    <mergeCell ref="B46:F49"/>
    <mergeCell ref="C71:F7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2026-05-17T12:12:00Z</dcterms:created>
  <dcterms:modified xmlns:dcterms="http://purl.org/dc/terms/" xmlns:xsi="http://www.w3.org/2001/XMLSchema-instance" xsi:type="dcterms:W3CDTF">2026-05-17T12:12:01Z</dcterms:modified>
</cp:coreProperties>
</file>