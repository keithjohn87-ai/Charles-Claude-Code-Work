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 Info" sheetId="2" state="visible" r:id="rId2"/>
    <sheet xmlns:r="http://schemas.openxmlformats.org/officeDocument/2006/relationships" name="Labor Rates" sheetId="3" state="visible" r:id="rId3"/>
    <sheet xmlns:r="http://schemas.openxmlformats.org/officeDocument/2006/relationships" name="Labor Tickets" sheetId="4" state="visible" r:id="rId4"/>
    <sheet xmlns:r="http://schemas.openxmlformats.org/officeDocument/2006/relationships" name="Equipment Tickets" sheetId="5" state="visible" r:id="rId5"/>
    <sheet xmlns:r="http://schemas.openxmlformats.org/officeDocument/2006/relationships" name="Material Tickets" sheetId="6" state="visible" r:id="rId6"/>
    <sheet xmlns:r="http://schemas.openxmlformats.org/officeDocument/2006/relationships" name="Subcontract Tickets" sheetId="7" state="visible" r:id="rId7"/>
    <sheet xmlns:r="http://schemas.openxmlformats.org/officeDocument/2006/relationships" name="Invoice Roll-Up" sheetId="8" state="visible" r:id="rId8"/>
    <sheet xmlns:r="http://schemas.openxmlformats.org/officeDocument/2006/relationships" name="CSI Reference" sheetId="9" state="hidden" r:id="rId9"/>
  </sheets>
  <definedNames>
    <definedName name="LaborOH">'Project Info'!$C$10</definedName>
    <definedName name="LaborProfit">'Project Info'!$C$11</definedName>
    <definedName name="MaterialMarkup">'Project Info'!$C$12</definedName>
    <definedName name="EquipOwnedMarkup">'Project Info'!$C$13</definedName>
    <definedName name="EquipRentedMarkup">'Project Info'!$C$14</definedName>
    <definedName name="SubMarkup">'Project Info'!$C$15</definedName>
    <definedName name="FringeBurden">'Project Info'!$C$18</definedName>
    <definedName name="OTPremium">'Project Info'!$C$19</definedName>
    <definedName name="DTPremium">'Project Info'!$C$20</definedName>
    <definedName name="PrevailingWage">'Project Info'!$C$21</definedName>
    <definedName name="LaborRates">'Labor Rates'!$A$5:$G$24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($* #,##0.00_);_($* (#,##0.00);_($* &quot;-&quot;??_);_(@_)"/>
    <numFmt numFmtId="166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sz val="11"/>
    </font>
    <font>
      <name val="Calibri"/>
      <b val="1"/>
      <color rgb="001E3A5F"/>
      <sz val="12"/>
    </font>
    <font>
      <name val="Calibri"/>
      <b val="1"/>
      <sz val="11"/>
    </font>
    <font>
      <name val="Calibri"/>
      <i val="1"/>
      <color rgb="00808080"/>
      <sz val="11"/>
    </font>
    <font>
      <name val="Calibri"/>
      <b val="1"/>
      <color rgb="00FFFFFF"/>
      <sz val="11"/>
    </font>
    <font>
      <name val="Calibri"/>
      <b val="1"/>
      <color rgb="001E3A5F"/>
      <sz val="18"/>
    </font>
  </fonts>
  <fills count="4">
    <fill>
      <patternFill/>
    </fill>
    <fill>
      <patternFill patternType="gray125"/>
    </fill>
    <fill>
      <patternFill patternType="solid">
        <fgColor rgb="00D6E0EC"/>
      </patternFill>
    </fill>
    <fill>
      <patternFill patternType="solid">
        <fgColor rgb="001E3A5F"/>
      </patternFill>
    </fill>
  </fills>
  <borders count="3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2" fillId="0" borderId="1" pivotButton="0" quotePrefix="0" xfId="0"/>
    <xf numFmtId="0" fontId="3" fillId="0" borderId="2" pivotButton="0" quotePrefix="0" xfId="0"/>
    <xf numFmtId="0" fontId="2" fillId="0" borderId="2" pivotButton="0" quotePrefix="0" xfId="0"/>
    <xf numFmtId="164" fontId="2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0" fontId="4" fillId="2" borderId="0" pivotButton="0" quotePrefix="0" xfId="0"/>
    <xf numFmtId="2" fontId="4" fillId="2" borderId="1" pivotButton="0" quotePrefix="0" xfId="0"/>
    <xf numFmtId="165" fontId="4" fillId="2" borderId="1" pivotButton="0" quotePrefix="0" xfId="0"/>
    <xf numFmtId="164" fontId="2" fillId="0" borderId="1" applyAlignment="1" pivotButton="0" quotePrefix="0" xfId="0">
      <alignment vertical="center"/>
    </xf>
    <xf numFmtId="0" fontId="4" fillId="0" borderId="1" pivotButton="0" quotePrefix="0" xfId="0"/>
    <xf numFmtId="165" fontId="0" fillId="0" borderId="1" pivotButton="0" quotePrefix="0" xfId="0"/>
    <xf numFmtId="165" fontId="7" fillId="2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6" fillId="3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6" customHeight="1">
      <c r="A1" s="1" t="inlineStr">
        <is>
          <t>T&amp;M TRACKER — Instructions</t>
        </is>
      </c>
    </row>
    <row r="2">
      <c r="A2" s="2" t="inlineStr"/>
    </row>
    <row r="3">
      <c r="A3" s="3" t="inlineStr">
        <is>
          <t>WHEN T&amp;M APPLIES</t>
        </is>
      </c>
    </row>
    <row r="4">
      <c r="A4" s="2" t="inlineStr">
        <is>
          <t>Time &amp; Material billing is the default pricing method when changed Work is authorized without an agreed lump-sum price (a 'force-account' or 'directive' instruction). The GC's right to direct T&amp;M work and the markup rates the sub may charge are governed by the Changes Article of the Subcontract and (on flow-down) the Prime Contract. Confirm both before invoicing.</t>
        </is>
      </c>
    </row>
    <row r="5">
      <c r="A5" s="2" t="inlineStr"/>
    </row>
    <row r="6">
      <c r="A6" s="3" t="inlineStr">
        <is>
          <t>DAILY DISCIPLINE — THE FIVE INPUTS</t>
        </is>
      </c>
    </row>
    <row r="7">
      <c r="A7" s="2" t="inlineStr">
        <is>
          <t>Each T&amp;M day on the project must capture: (1) labor — every worker, classification, hours straight time and overtime, task; (2) equipment — every piece of equipment used and for how long; (3) materials — every material consumed or installed during the directed Work, with receipts; (4) subcontract — any lower-tier sub work performed under T&amp;M; (5) GC field signature — a GC representative's same-day signature confirming the labor, equipment, and materials actually performed on directed Work. Without same-day signatures, T&amp;M tickets are routinely disputed on billing.</t>
        </is>
      </c>
    </row>
    <row r="8">
      <c r="A8" s="2" t="inlineStr"/>
    </row>
    <row r="9">
      <c r="A9" s="3" t="inlineStr">
        <is>
          <t>MARKUPS</t>
        </is>
      </c>
    </row>
    <row r="10">
      <c r="A10" s="2" t="inlineStr">
        <is>
          <t>Industry-standard commercial markups, subject to Subcontract:</t>
        </is>
      </c>
    </row>
    <row r="11">
      <c r="A11" s="2" t="inlineStr">
        <is>
          <t xml:space="preserve">  - Labor: cost + fringe burden + 10-15% overhead + 10% profit</t>
        </is>
      </c>
    </row>
    <row r="12">
      <c r="A12" s="2" t="inlineStr">
        <is>
          <t xml:space="preserve">  - Material: cost + 10-15% markup (or as Subcontract specifies)</t>
        </is>
      </c>
    </row>
    <row r="13">
      <c r="A13" s="2" t="inlineStr">
        <is>
          <t xml:space="preserve">  - Equipment (owned): published rental rate (e.g., RS Means or AED) with no further markup, OR internal rate + 10% (Subcontract controls)</t>
        </is>
      </c>
    </row>
    <row r="14">
      <c r="A14" s="2" t="inlineStr">
        <is>
          <t xml:space="preserve">  - Equipment (rented): pass-through + 5-10% markup</t>
        </is>
      </c>
    </row>
    <row r="15">
      <c r="A15" s="2" t="inlineStr">
        <is>
          <t xml:space="preserve">  - Subcontract: cost + 5-7% markup (lower than self-performed because no direct supervision risk)</t>
        </is>
      </c>
    </row>
    <row r="16">
      <c r="A16" s="2" t="inlineStr">
        <is>
          <t xml:space="preserve">  - Total: rarely exceeds 25-30% all-in markup on costs</t>
        </is>
      </c>
    </row>
    <row r="17">
      <c r="A17" s="2" t="inlineStr"/>
    </row>
    <row r="18">
      <c r="A18" s="3" t="inlineStr">
        <is>
          <t>FRINGE BURDEN</t>
        </is>
      </c>
    </row>
    <row r="19">
      <c r="A19" s="2" t="inlineStr">
        <is>
          <t>Fringe burden = the cost of employing a worker beyond bare wages: Workers' Compensation insurance, FICA, FUTA, SUTA, health/welfare, pension, vacation, holiday, and (on prevailing wage projects) the fringe portion of the prevailing wage. Industry-standard fringe burden on commercial non-union work is 30-45% of bare wage; on union or prevailing-wage work it can be 60-100%. Set the rate on Project Info and the Labor Tickets tab applies it automatically.</t>
        </is>
      </c>
    </row>
    <row r="20">
      <c r="A20" s="2" t="inlineStr"/>
    </row>
    <row r="21">
      <c r="A21" s="3" t="inlineStr">
        <is>
          <t>OVERTIME</t>
        </is>
      </c>
    </row>
    <row r="22">
      <c r="A22" s="2" t="inlineStr">
        <is>
          <t>OT premium = the multiplier above straight time (typically 1.5× for daily OT, 2.0× for double time / Sunday / holiday in some jurisdictions). Confirm against the controlling collective-bargaining agreement or state wage law. Note: on Davis-Bacon / prevailing-wage work, the OT premium is calculated on the bare wage only; the fringe portion does not multiply.</t>
        </is>
      </c>
    </row>
    <row r="23">
      <c r="A23" s="2" t="inlineStr"/>
    </row>
    <row r="24">
      <c r="A24" s="3" t="inlineStr">
        <is>
          <t>PREVAILING WAGE FLAG</t>
        </is>
      </c>
    </row>
    <row r="25">
      <c r="A25" s="2" t="inlineStr">
        <is>
          <t>If the Project is subject to Davis-Bacon or state prevailing wage, the Labor Rate Schedule must match (at minimum) the prevailing wage determination for each classification. The 'Prevailing Wage?' flag on Project Info exists as a reminder; the actual wage determination is project-specific and must be loaded into the Labor Rate Schedule manually before T&amp;M work begins.</t>
        </is>
      </c>
    </row>
    <row r="26">
      <c r="A26" s="2" t="inlineStr"/>
    </row>
    <row r="27">
      <c r="A27" s="3" t="inlineStr">
        <is>
          <t>WORKFLOW — DAILY</t>
        </is>
      </c>
    </row>
    <row r="28">
      <c r="A28" s="2" t="inlineStr">
        <is>
          <t xml:space="preserve">  1. Foreman fills paper T&amp;M tickets in the field, GC field rep signs same-day.</t>
        </is>
      </c>
    </row>
    <row r="29">
      <c r="A29" s="2" t="inlineStr">
        <is>
          <t xml:space="preserve">  2. End of shift: foreman enters tickets into the Labor / Equipment / Material / Subcontract tabs.</t>
        </is>
      </c>
    </row>
    <row r="30">
      <c r="A30" s="2" t="inlineStr">
        <is>
          <t xml:space="preserve">  3. PM reviews against directives and Subcontract.</t>
        </is>
      </c>
    </row>
    <row r="31">
      <c r="A31" s="2" t="inlineStr">
        <is>
          <t xml:space="preserve">  4. Tickets approved by GC roll up on the Invoice Roll-Up tab.</t>
        </is>
      </c>
    </row>
    <row r="32">
      <c r="A32" s="2" t="inlineStr">
        <is>
          <t xml:space="preserve">  5. Monthly: produce invoice from Roll-Up for inclusion in the regular Pay App or as a separate Change-Order invoice (per Subcontract).</t>
        </is>
      </c>
    </row>
    <row r="33">
      <c r="A33" s="2" t="inlineStr"/>
    </row>
    <row r="34">
      <c r="A34" s="3" t="inlineStr">
        <is>
          <t>DISPUTED TICKETS</t>
        </is>
      </c>
    </row>
    <row r="35">
      <c r="A35" s="2" t="inlineStr">
        <is>
          <t>If the GC field rep refuses to sign a ticket, do not throw the ticket away. Mark it 'Unsigned' in the Status column. Send the ticket with photos and timestamps to the PM same-day. Preserve the claim per the Changes Article notice provisions. An unsigned ticket is still a claim — but only if you preserve it on time.</t>
        </is>
      </c>
    </row>
    <row r="36">
      <c r="A36" s="2" t="inlineStr"/>
    </row>
    <row r="37">
      <c r="A37" s="3" t="inlineStr">
        <is>
          <t>AUDIT TRAIL</t>
        </is>
      </c>
    </row>
    <row r="38">
      <c r="A38" s="2" t="inlineStr">
        <is>
          <t>Keep paper tickets bundled by week, scanned into the project file. The XLSX is the working ledger; the paper is the evidence. In a dispute, the GC's PM will demand the original signed paper.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24" customWidth="1" min="3" max="3"/>
  </cols>
  <sheetData>
    <row r="1" ht="32" customHeight="1">
      <c r="B1" s="1" t="inlineStr">
        <is>
          <t>T&amp;M PROJECT INFORMATION</t>
        </is>
      </c>
    </row>
    <row r="3">
      <c r="B3" s="4" t="inlineStr">
        <is>
          <t>Project Name</t>
        </is>
      </c>
      <c r="C3" s="5" t="inlineStr"/>
    </row>
    <row r="4">
      <c r="B4" s="4" t="inlineStr">
        <is>
          <t>Subcontract No.</t>
        </is>
      </c>
      <c r="C4" s="5" t="inlineStr"/>
    </row>
    <row r="5">
      <c r="B5" s="4" t="inlineStr">
        <is>
          <t>GC</t>
        </is>
      </c>
      <c r="C5" s="5" t="inlineStr"/>
    </row>
    <row r="6">
      <c r="B6" s="4" t="inlineStr">
        <is>
          <t>Trade / Scope</t>
        </is>
      </c>
      <c r="C6" s="5" t="inlineStr"/>
    </row>
    <row r="7">
      <c r="B7" s="4" t="inlineStr">
        <is>
          <t>Subcontract Date</t>
        </is>
      </c>
      <c r="C7" s="5" t="inlineStr"/>
    </row>
    <row r="8">
      <c r="B8" s="6" t="inlineStr"/>
      <c r="C8" s="7" t="inlineStr"/>
    </row>
    <row r="9">
      <c r="B9" s="6" t="inlineStr">
        <is>
          <t>MARKUP RATES — confirm against Subcontract</t>
        </is>
      </c>
      <c r="C9" s="7" t="inlineStr"/>
    </row>
    <row r="10">
      <c r="B10" s="4" t="inlineStr">
        <is>
          <t>Labor Overhead %</t>
        </is>
      </c>
      <c r="C10" s="8" t="n">
        <v>0.15</v>
      </c>
    </row>
    <row r="11">
      <c r="B11" s="4" t="inlineStr">
        <is>
          <t>Labor Profit %</t>
        </is>
      </c>
      <c r="C11" s="8" t="n">
        <v>0.1</v>
      </c>
    </row>
    <row r="12">
      <c r="B12" s="4" t="inlineStr">
        <is>
          <t>Material Markup %</t>
        </is>
      </c>
      <c r="C12" s="8" t="n">
        <v>0.15</v>
      </c>
    </row>
    <row r="13">
      <c r="B13" s="4" t="inlineStr">
        <is>
          <t>Equipment (Owned) Markup %</t>
        </is>
      </c>
      <c r="C13" s="8" t="n">
        <v>0.1</v>
      </c>
    </row>
    <row r="14">
      <c r="B14" s="4" t="inlineStr">
        <is>
          <t>Equipment (Rented) Markup %</t>
        </is>
      </c>
      <c r="C14" s="8" t="n">
        <v>0.1</v>
      </c>
    </row>
    <row r="15">
      <c r="B15" s="4" t="inlineStr">
        <is>
          <t>Subcontract Markup %</t>
        </is>
      </c>
      <c r="C15" s="8" t="n">
        <v>0.07000000000000001</v>
      </c>
    </row>
    <row r="16">
      <c r="B16" s="6" t="inlineStr"/>
      <c r="C16" s="7" t="inlineStr"/>
    </row>
    <row r="17">
      <c r="B17" s="6" t="inlineStr">
        <is>
          <t>LABOR — burdens and OT</t>
        </is>
      </c>
      <c r="C17" s="7" t="inlineStr"/>
    </row>
    <row r="18">
      <c r="B18" s="4" t="inlineStr">
        <is>
          <t>Fringe Burden % (on bare wage)</t>
        </is>
      </c>
      <c r="C18" s="8" t="n">
        <v>0.35</v>
      </c>
    </row>
    <row r="19">
      <c r="B19" s="4" t="inlineStr">
        <is>
          <t>OT Premium Multiplier (daily)</t>
        </is>
      </c>
      <c r="C19" s="9" t="n">
        <v>1.5</v>
      </c>
    </row>
    <row r="20">
      <c r="B20" s="4" t="inlineStr">
        <is>
          <t>DT Premium Multiplier (Sun / Holiday)</t>
        </is>
      </c>
      <c r="C20" s="9" t="n">
        <v>2</v>
      </c>
    </row>
    <row r="21">
      <c r="B21" s="4" t="inlineStr">
        <is>
          <t>Prevailing Wage Project?</t>
        </is>
      </c>
      <c r="C21" s="5" t="inlineStr">
        <is>
          <t>No</t>
        </is>
      </c>
    </row>
    <row r="22">
      <c r="B22" s="6" t="inlineStr"/>
      <c r="C22" s="7" t="inlineStr"/>
    </row>
    <row r="23">
      <c r="B23" s="6" t="inlineStr">
        <is>
          <t>APPROVAL</t>
        </is>
      </c>
      <c r="C23" s="7" t="inlineStr"/>
    </row>
    <row r="24">
      <c r="B24" s="4" t="inlineStr">
        <is>
          <t>Project Manager (Sub)</t>
        </is>
      </c>
      <c r="C24" s="5" t="inlineStr"/>
    </row>
    <row r="25">
      <c r="B25" s="4" t="inlineStr">
        <is>
          <t>Project Manager (GC)</t>
        </is>
      </c>
      <c r="C25" s="5" t="inlineStr"/>
    </row>
  </sheetData>
  <mergeCells count="1">
    <mergeCell ref="B1:C1"/>
  </mergeCells>
  <dataValidations count="1">
    <dataValidation sqref="C21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</cols>
  <sheetData>
    <row r="1" ht="32" customHeight="1">
      <c r="A1" s="1" t="inlineStr">
        <is>
          <t>LABOR RATE SCHEDULE</t>
        </is>
      </c>
    </row>
    <row r="2" ht="32" customHeight="1">
      <c r="A2" s="10" t="inlineStr">
        <is>
          <t>Bare Wage = pre-burden hourly wage. Burdened = wage * (1 + fringe burden). Billed = burdened * (1 + LaborOH) * (1 + LaborProfit). On prevailing-wage projects, replace the default rates with the project-specific wage determination.</t>
        </is>
      </c>
    </row>
    <row r="4" ht="30" customHeight="1">
      <c r="A4" s="11" t="inlineStr">
        <is>
          <t>Classification</t>
        </is>
      </c>
      <c r="B4" s="11" t="inlineStr">
        <is>
          <t>Bare Wage ($/hr)</t>
        </is>
      </c>
      <c r="C4" s="11" t="inlineStr">
        <is>
          <t>OT Multiplier</t>
        </is>
      </c>
      <c r="D4" s="11" t="inlineStr">
        <is>
          <t>Burdened Wage ($/hr)</t>
        </is>
      </c>
      <c r="E4" s="11" t="inlineStr">
        <is>
          <t>Burdened OT ($/hr)</t>
        </is>
      </c>
      <c r="F4" s="11" t="inlineStr">
        <is>
          <t>Billed ST Rate ($/hr)</t>
        </is>
      </c>
      <c r="G4" s="11" t="inlineStr">
        <is>
          <t>Billed OT Rate ($/hr)</t>
        </is>
      </c>
      <c r="H4" s="11" t="inlineStr">
        <is>
          <t>Notes</t>
        </is>
      </c>
    </row>
    <row r="5">
      <c r="A5" s="12" t="inlineStr">
        <is>
          <t>Foreman</t>
        </is>
      </c>
      <c r="B5" s="13" t="n">
        <v>52</v>
      </c>
      <c r="C5" s="14" t="n">
        <v>1.5</v>
      </c>
      <c r="D5" s="13">
        <f>B5*(1+FringeBurden)</f>
        <v/>
      </c>
      <c r="E5" s="13">
        <f>IF(PrevailingWage="Yes",(B5*C5)+(B5*FringeBurden),B5*C5*(1+FringeBurden))</f>
        <v/>
      </c>
      <c r="F5" s="13">
        <f>D5*(1+LaborOH)*(1+LaborProfit)</f>
        <v/>
      </c>
      <c r="G5" s="13">
        <f>E5*(1+LaborOH)*(1+LaborProfit)</f>
        <v/>
      </c>
      <c r="H5" s="12" t="n"/>
    </row>
    <row r="6">
      <c r="A6" s="12" t="inlineStr">
        <is>
          <t>Journeyman</t>
        </is>
      </c>
      <c r="B6" s="13" t="n">
        <v>42</v>
      </c>
      <c r="C6" s="14" t="n">
        <v>1.5</v>
      </c>
      <c r="D6" s="13">
        <f>B6*(1+FringeBurden)</f>
        <v/>
      </c>
      <c r="E6" s="13">
        <f>IF(PrevailingWage="Yes",(B6*C6)+(B6*FringeBurden),B6*C6*(1+FringeBurden))</f>
        <v/>
      </c>
      <c r="F6" s="13">
        <f>D6*(1+LaborOH)*(1+LaborProfit)</f>
        <v/>
      </c>
      <c r="G6" s="13">
        <f>E6*(1+LaborOH)*(1+LaborProfit)</f>
        <v/>
      </c>
      <c r="H6" s="12" t="n"/>
    </row>
    <row r="7">
      <c r="A7" s="12" t="inlineStr">
        <is>
          <t>Apprentice — Year 4</t>
        </is>
      </c>
      <c r="B7" s="13" t="n">
        <v>33</v>
      </c>
      <c r="C7" s="14" t="n">
        <v>1.5</v>
      </c>
      <c r="D7" s="13">
        <f>B7*(1+FringeBurden)</f>
        <v/>
      </c>
      <c r="E7" s="13">
        <f>IF(PrevailingWage="Yes",(B7*C7)+(B7*FringeBurden),B7*C7*(1+FringeBurden))</f>
        <v/>
      </c>
      <c r="F7" s="13">
        <f>D7*(1+LaborOH)*(1+LaborProfit)</f>
        <v/>
      </c>
      <c r="G7" s="13">
        <f>E7*(1+LaborOH)*(1+LaborProfit)</f>
        <v/>
      </c>
      <c r="H7" s="12" t="n"/>
    </row>
    <row r="8">
      <c r="A8" s="12" t="inlineStr">
        <is>
          <t>Apprentice — Year 3</t>
        </is>
      </c>
      <c r="B8" s="13" t="n">
        <v>28</v>
      </c>
      <c r="C8" s="14" t="n">
        <v>1.5</v>
      </c>
      <c r="D8" s="13">
        <f>B8*(1+FringeBurden)</f>
        <v/>
      </c>
      <c r="E8" s="13">
        <f>IF(PrevailingWage="Yes",(B8*C8)+(B8*FringeBurden),B8*C8*(1+FringeBurden))</f>
        <v/>
      </c>
      <c r="F8" s="13">
        <f>D8*(1+LaborOH)*(1+LaborProfit)</f>
        <v/>
      </c>
      <c r="G8" s="13">
        <f>E8*(1+LaborOH)*(1+LaborProfit)</f>
        <v/>
      </c>
      <c r="H8" s="12" t="n"/>
    </row>
    <row r="9">
      <c r="A9" s="12" t="inlineStr">
        <is>
          <t>Apprentice — Year 2</t>
        </is>
      </c>
      <c r="B9" s="13" t="n">
        <v>24</v>
      </c>
      <c r="C9" s="14" t="n">
        <v>1.5</v>
      </c>
      <c r="D9" s="13">
        <f>B9*(1+FringeBurden)</f>
        <v/>
      </c>
      <c r="E9" s="13">
        <f>IF(PrevailingWage="Yes",(B9*C9)+(B9*FringeBurden),B9*C9*(1+FringeBurden))</f>
        <v/>
      </c>
      <c r="F9" s="13">
        <f>D9*(1+LaborOH)*(1+LaborProfit)</f>
        <v/>
      </c>
      <c r="G9" s="13">
        <f>E9*(1+LaborOH)*(1+LaborProfit)</f>
        <v/>
      </c>
      <c r="H9" s="12" t="n"/>
    </row>
    <row r="10">
      <c r="A10" s="12" t="inlineStr">
        <is>
          <t>Apprentice — Year 1</t>
        </is>
      </c>
      <c r="B10" s="13" t="n">
        <v>20</v>
      </c>
      <c r="C10" s="14" t="n">
        <v>1.5</v>
      </c>
      <c r="D10" s="13">
        <f>B10*(1+FringeBurden)</f>
        <v/>
      </c>
      <c r="E10" s="13">
        <f>IF(PrevailingWage="Yes",(B10*C10)+(B10*FringeBurden),B10*C10*(1+FringeBurden))</f>
        <v/>
      </c>
      <c r="F10" s="13">
        <f>D10*(1+LaborOH)*(1+LaborProfit)</f>
        <v/>
      </c>
      <c r="G10" s="13">
        <f>E10*(1+LaborOH)*(1+LaborProfit)</f>
        <v/>
      </c>
      <c r="H10" s="12" t="n"/>
    </row>
    <row r="11">
      <c r="A11" s="12" t="inlineStr">
        <is>
          <t>Helper / Laborer</t>
        </is>
      </c>
      <c r="B11" s="13" t="n">
        <v>22</v>
      </c>
      <c r="C11" s="14" t="n">
        <v>1.5</v>
      </c>
      <c r="D11" s="13">
        <f>B11*(1+FringeBurden)</f>
        <v/>
      </c>
      <c r="E11" s="13">
        <f>IF(PrevailingWage="Yes",(B11*C11)+(B11*FringeBurden),B11*C11*(1+FringeBurden))</f>
        <v/>
      </c>
      <c r="F11" s="13">
        <f>D11*(1+LaborOH)*(1+LaborProfit)</f>
        <v/>
      </c>
      <c r="G11" s="13">
        <f>E11*(1+LaborOH)*(1+LaborProfit)</f>
        <v/>
      </c>
      <c r="H11" s="12" t="n"/>
    </row>
    <row r="12">
      <c r="A12" s="12" t="inlineStr">
        <is>
          <t>Operating Engineer</t>
        </is>
      </c>
      <c r="B12" s="13" t="n">
        <v>48</v>
      </c>
      <c r="C12" s="14" t="n">
        <v>1.5</v>
      </c>
      <c r="D12" s="13">
        <f>B12*(1+FringeBurden)</f>
        <v/>
      </c>
      <c r="E12" s="13">
        <f>IF(PrevailingWage="Yes",(B12*C12)+(B12*FringeBurden),B12*C12*(1+FringeBurden))</f>
        <v/>
      </c>
      <c r="F12" s="13">
        <f>D12*(1+LaborOH)*(1+LaborProfit)</f>
        <v/>
      </c>
      <c r="G12" s="13">
        <f>E12*(1+LaborOH)*(1+LaborProfit)</f>
        <v/>
      </c>
      <c r="H12" s="12" t="n"/>
    </row>
    <row r="13">
      <c r="A13" s="12" t="inlineStr">
        <is>
          <t>Project Manager (T&amp;M when authorized)</t>
        </is>
      </c>
      <c r="B13" s="13" t="n">
        <v>65</v>
      </c>
      <c r="C13" s="14" t="n">
        <v>1</v>
      </c>
      <c r="D13" s="13">
        <f>B13*(1+FringeBurden)</f>
        <v/>
      </c>
      <c r="E13" s="13">
        <f>IF(PrevailingWage="Yes",(B13*C13)+(B13*FringeBurden),B13*C13*(1+FringeBurden))</f>
        <v/>
      </c>
      <c r="F13" s="13">
        <f>D13*(1+LaborOH)*(1+LaborProfit)</f>
        <v/>
      </c>
      <c r="G13" s="13">
        <f>E13*(1+LaborOH)*(1+LaborProfit)</f>
        <v/>
      </c>
      <c r="H13" s="12" t="n"/>
    </row>
    <row r="14">
      <c r="A14" s="12" t="inlineStr">
        <is>
          <t>Superintendent (T&amp;M when authorized)</t>
        </is>
      </c>
      <c r="B14" s="13" t="n">
        <v>58</v>
      </c>
      <c r="C14" s="14" t="n">
        <v>1</v>
      </c>
      <c r="D14" s="13">
        <f>B14*(1+FringeBurden)</f>
        <v/>
      </c>
      <c r="E14" s="13">
        <f>IF(PrevailingWage="Yes",(B14*C14)+(B14*FringeBurden),B14*C14*(1+FringeBurden))</f>
        <v/>
      </c>
      <c r="F14" s="13">
        <f>D14*(1+LaborOH)*(1+LaborProfit)</f>
        <v/>
      </c>
      <c r="G14" s="13">
        <f>E14*(1+LaborOH)*(1+LaborProfit)</f>
        <v/>
      </c>
      <c r="H14" s="12" t="n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6" customWidth="1" min="4" max="4"/>
    <col width="30" customWidth="1" min="5" max="5"/>
    <col width="10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  <col width="24" customWidth="1" min="15" max="15"/>
  </cols>
  <sheetData>
    <row r="1" ht="32" customHeight="1">
      <c r="A1" s="1" t="inlineStr">
        <is>
          <t>LABOR TICKETS — Daily Force Account</t>
        </is>
      </c>
    </row>
    <row r="3" ht="30" customHeight="1">
      <c r="A3" s="11" t="inlineStr">
        <is>
          <t>Date</t>
        </is>
      </c>
      <c r="B3" s="11" t="inlineStr">
        <is>
          <t>Ticket #</t>
        </is>
      </c>
      <c r="C3" s="11" t="inlineStr">
        <is>
          <t>Worker Name</t>
        </is>
      </c>
      <c r="D3" s="11" t="inlineStr">
        <is>
          <t>Classification</t>
        </is>
      </c>
      <c r="E3" s="11" t="inlineStr">
        <is>
          <t>Task / CO Ref</t>
        </is>
      </c>
      <c r="F3" s="11" t="inlineStr">
        <is>
          <t>ST Hours</t>
        </is>
      </c>
      <c r="G3" s="11" t="inlineStr">
        <is>
          <t>OT Hours</t>
        </is>
      </c>
      <c r="H3" s="11" t="inlineStr">
        <is>
          <t>Billed ST Rate</t>
        </is>
      </c>
      <c r="I3" s="11" t="inlineStr">
        <is>
          <t>Billed OT Rate</t>
        </is>
      </c>
      <c r="J3" s="11" t="inlineStr">
        <is>
          <t>Labor $ (ST)</t>
        </is>
      </c>
      <c r="K3" s="11" t="inlineStr">
        <is>
          <t>Labor $ (OT)</t>
        </is>
      </c>
      <c r="L3" s="11" t="inlineStr">
        <is>
          <t>Total Labor $</t>
        </is>
      </c>
      <c r="M3" s="11" t="inlineStr">
        <is>
          <t>Status</t>
        </is>
      </c>
      <c r="N3" s="11" t="inlineStr">
        <is>
          <t>GC Signature</t>
        </is>
      </c>
      <c r="O3" s="11" t="inlineStr">
        <is>
          <t>Notes</t>
        </is>
      </c>
    </row>
    <row r="4">
      <c r="A4" s="15" t="n"/>
      <c r="B4" s="12" t="n"/>
      <c r="C4" s="12" t="n"/>
      <c r="D4" s="12" t="n"/>
      <c r="E4" s="12" t="n"/>
      <c r="F4" s="14" t="n"/>
      <c r="G4" s="14" t="n"/>
      <c r="H4" s="13">
        <f>IFERROR(VLOOKUP(D4,LaborRates,6,FALSE),"")</f>
        <v/>
      </c>
      <c r="I4" s="13">
        <f>IFERROR(VLOOKUP(D4,LaborRates,7,FALSE),"")</f>
        <v/>
      </c>
      <c r="J4" s="13">
        <f>IF(OR(F4="",H4=""),"",F4*H4)</f>
        <v/>
      </c>
      <c r="K4" s="13">
        <f>IF(OR(G4="",I4=""),"",G4*I4)</f>
        <v/>
      </c>
      <c r="L4" s="13">
        <f>IF(J4="",K4,IF(K4="",J4,J4+K4))</f>
        <v/>
      </c>
      <c r="M4" s="12" t="n"/>
      <c r="N4" s="12" t="n"/>
      <c r="O4" s="12" t="n"/>
    </row>
    <row r="5">
      <c r="A5" s="15" t="n"/>
      <c r="B5" s="12" t="n"/>
      <c r="C5" s="12" t="n"/>
      <c r="D5" s="12" t="n"/>
      <c r="E5" s="12" t="n"/>
      <c r="F5" s="14" t="n"/>
      <c r="G5" s="14" t="n"/>
      <c r="H5" s="13">
        <f>IFERROR(VLOOKUP(D5,LaborRates,6,FALSE),"")</f>
        <v/>
      </c>
      <c r="I5" s="13">
        <f>IFERROR(VLOOKUP(D5,LaborRates,7,FALSE),"")</f>
        <v/>
      </c>
      <c r="J5" s="13">
        <f>IF(OR(F5="",H5=""),"",F5*H5)</f>
        <v/>
      </c>
      <c r="K5" s="13">
        <f>IF(OR(G5="",I5=""),"",G5*I5)</f>
        <v/>
      </c>
      <c r="L5" s="13">
        <f>IF(J5="",K5,IF(K5="",J5,J5+K5))</f>
        <v/>
      </c>
      <c r="M5" s="12" t="n"/>
      <c r="N5" s="12" t="n"/>
      <c r="O5" s="12" t="n"/>
    </row>
    <row r="6">
      <c r="A6" s="15" t="n"/>
      <c r="B6" s="12" t="n"/>
      <c r="C6" s="12" t="n"/>
      <c r="D6" s="12" t="n"/>
      <c r="E6" s="12" t="n"/>
      <c r="F6" s="14" t="n"/>
      <c r="G6" s="14" t="n"/>
      <c r="H6" s="13">
        <f>IFERROR(VLOOKUP(D6,LaborRates,6,FALSE),"")</f>
        <v/>
      </c>
      <c r="I6" s="13">
        <f>IFERROR(VLOOKUP(D6,LaborRates,7,FALSE),"")</f>
        <v/>
      </c>
      <c r="J6" s="13">
        <f>IF(OR(F6="",H6=""),"",F6*H6)</f>
        <v/>
      </c>
      <c r="K6" s="13">
        <f>IF(OR(G6="",I6=""),"",G6*I6)</f>
        <v/>
      </c>
      <c r="L6" s="13">
        <f>IF(J6="",K6,IF(K6="",J6,J6+K6))</f>
        <v/>
      </c>
      <c r="M6" s="12" t="n"/>
      <c r="N6" s="12" t="n"/>
      <c r="O6" s="12" t="n"/>
    </row>
    <row r="7">
      <c r="A7" s="15" t="n"/>
      <c r="B7" s="12" t="n"/>
      <c r="C7" s="12" t="n"/>
      <c r="D7" s="12" t="n"/>
      <c r="E7" s="12" t="n"/>
      <c r="F7" s="14" t="n"/>
      <c r="G7" s="14" t="n"/>
      <c r="H7" s="13">
        <f>IFERROR(VLOOKUP(D7,LaborRates,6,FALSE),"")</f>
        <v/>
      </c>
      <c r="I7" s="13">
        <f>IFERROR(VLOOKUP(D7,LaborRates,7,FALSE),"")</f>
        <v/>
      </c>
      <c r="J7" s="13">
        <f>IF(OR(F7="",H7=""),"",F7*H7)</f>
        <v/>
      </c>
      <c r="K7" s="13">
        <f>IF(OR(G7="",I7=""),"",G7*I7)</f>
        <v/>
      </c>
      <c r="L7" s="13">
        <f>IF(J7="",K7,IF(K7="",J7,J7+K7))</f>
        <v/>
      </c>
      <c r="M7" s="12" t="n"/>
      <c r="N7" s="12" t="n"/>
      <c r="O7" s="12" t="n"/>
    </row>
    <row r="8">
      <c r="A8" s="15" t="n"/>
      <c r="B8" s="12" t="n"/>
      <c r="C8" s="12" t="n"/>
      <c r="D8" s="12" t="n"/>
      <c r="E8" s="12" t="n"/>
      <c r="F8" s="14" t="n"/>
      <c r="G8" s="14" t="n"/>
      <c r="H8" s="13">
        <f>IFERROR(VLOOKUP(D8,LaborRates,6,FALSE),"")</f>
        <v/>
      </c>
      <c r="I8" s="13">
        <f>IFERROR(VLOOKUP(D8,LaborRates,7,FALSE),"")</f>
        <v/>
      </c>
      <c r="J8" s="13">
        <f>IF(OR(F8="",H8=""),"",F8*H8)</f>
        <v/>
      </c>
      <c r="K8" s="13">
        <f>IF(OR(G8="",I8=""),"",G8*I8)</f>
        <v/>
      </c>
      <c r="L8" s="13">
        <f>IF(J8="",K8,IF(K8="",J8,J8+K8))</f>
        <v/>
      </c>
      <c r="M8" s="12" t="n"/>
      <c r="N8" s="12" t="n"/>
      <c r="O8" s="12" t="n"/>
    </row>
    <row r="9">
      <c r="A9" s="15" t="n"/>
      <c r="B9" s="12" t="n"/>
      <c r="C9" s="12" t="n"/>
      <c r="D9" s="12" t="n"/>
      <c r="E9" s="12" t="n"/>
      <c r="F9" s="14" t="n"/>
      <c r="G9" s="14" t="n"/>
      <c r="H9" s="13">
        <f>IFERROR(VLOOKUP(D9,LaborRates,6,FALSE),"")</f>
        <v/>
      </c>
      <c r="I9" s="13">
        <f>IFERROR(VLOOKUP(D9,LaborRates,7,FALSE),"")</f>
        <v/>
      </c>
      <c r="J9" s="13">
        <f>IF(OR(F9="",H9=""),"",F9*H9)</f>
        <v/>
      </c>
      <c r="K9" s="13">
        <f>IF(OR(G9="",I9=""),"",G9*I9)</f>
        <v/>
      </c>
      <c r="L9" s="13">
        <f>IF(J9="",K9,IF(K9="",J9,J9+K9))</f>
        <v/>
      </c>
      <c r="M9" s="12" t="n"/>
      <c r="N9" s="12" t="n"/>
      <c r="O9" s="12" t="n"/>
    </row>
    <row r="10">
      <c r="A10" s="15" t="n"/>
      <c r="B10" s="12" t="n"/>
      <c r="C10" s="12" t="n"/>
      <c r="D10" s="12" t="n"/>
      <c r="E10" s="12" t="n"/>
      <c r="F10" s="14" t="n"/>
      <c r="G10" s="14" t="n"/>
      <c r="H10" s="13">
        <f>IFERROR(VLOOKUP(D10,LaborRates,6,FALSE),"")</f>
        <v/>
      </c>
      <c r="I10" s="13">
        <f>IFERROR(VLOOKUP(D10,LaborRates,7,FALSE),"")</f>
        <v/>
      </c>
      <c r="J10" s="13">
        <f>IF(OR(F10="",H10=""),"",F10*H10)</f>
        <v/>
      </c>
      <c r="K10" s="13">
        <f>IF(OR(G10="",I10=""),"",G10*I10)</f>
        <v/>
      </c>
      <c r="L10" s="13">
        <f>IF(J10="",K10,IF(K10="",J10,J10+K10))</f>
        <v/>
      </c>
      <c r="M10" s="12" t="n"/>
      <c r="N10" s="12" t="n"/>
      <c r="O10" s="12" t="n"/>
    </row>
    <row r="11">
      <c r="A11" s="15" t="n"/>
      <c r="B11" s="12" t="n"/>
      <c r="C11" s="12" t="n"/>
      <c r="D11" s="12" t="n"/>
      <c r="E11" s="12" t="n"/>
      <c r="F11" s="14" t="n"/>
      <c r="G11" s="14" t="n"/>
      <c r="H11" s="13">
        <f>IFERROR(VLOOKUP(D11,LaborRates,6,FALSE),"")</f>
        <v/>
      </c>
      <c r="I11" s="13">
        <f>IFERROR(VLOOKUP(D11,LaborRates,7,FALSE),"")</f>
        <v/>
      </c>
      <c r="J11" s="13">
        <f>IF(OR(F11="",H11=""),"",F11*H11)</f>
        <v/>
      </c>
      <c r="K11" s="13">
        <f>IF(OR(G11="",I11=""),"",G11*I11)</f>
        <v/>
      </c>
      <c r="L11" s="13">
        <f>IF(J11="",K11,IF(K11="",J11,J11+K11))</f>
        <v/>
      </c>
      <c r="M11" s="12" t="n"/>
      <c r="N11" s="12" t="n"/>
      <c r="O11" s="12" t="n"/>
    </row>
    <row r="12">
      <c r="A12" s="15" t="n"/>
      <c r="B12" s="12" t="n"/>
      <c r="C12" s="12" t="n"/>
      <c r="D12" s="12" t="n"/>
      <c r="E12" s="12" t="n"/>
      <c r="F12" s="14" t="n"/>
      <c r="G12" s="14" t="n"/>
      <c r="H12" s="13">
        <f>IFERROR(VLOOKUP(D12,LaborRates,6,FALSE),"")</f>
        <v/>
      </c>
      <c r="I12" s="13">
        <f>IFERROR(VLOOKUP(D12,LaborRates,7,FALSE),"")</f>
        <v/>
      </c>
      <c r="J12" s="13">
        <f>IF(OR(F12="",H12=""),"",F12*H12)</f>
        <v/>
      </c>
      <c r="K12" s="13">
        <f>IF(OR(G12="",I12=""),"",G12*I12)</f>
        <v/>
      </c>
      <c r="L12" s="13">
        <f>IF(J12="",K12,IF(K12="",J12,J12+K12))</f>
        <v/>
      </c>
      <c r="M12" s="12" t="n"/>
      <c r="N12" s="12" t="n"/>
      <c r="O12" s="12" t="n"/>
    </row>
    <row r="13">
      <c r="A13" s="15" t="n"/>
      <c r="B13" s="12" t="n"/>
      <c r="C13" s="12" t="n"/>
      <c r="D13" s="12" t="n"/>
      <c r="E13" s="12" t="n"/>
      <c r="F13" s="14" t="n"/>
      <c r="G13" s="14" t="n"/>
      <c r="H13" s="13">
        <f>IFERROR(VLOOKUP(D13,LaborRates,6,FALSE),"")</f>
        <v/>
      </c>
      <c r="I13" s="13">
        <f>IFERROR(VLOOKUP(D13,LaborRates,7,FALSE),"")</f>
        <v/>
      </c>
      <c r="J13" s="13">
        <f>IF(OR(F13="",H13=""),"",F13*H13)</f>
        <v/>
      </c>
      <c r="K13" s="13">
        <f>IF(OR(G13="",I13=""),"",G13*I13)</f>
        <v/>
      </c>
      <c r="L13" s="13">
        <f>IF(J13="",K13,IF(K13="",J13,J13+K13))</f>
        <v/>
      </c>
      <c r="M13" s="12" t="n"/>
      <c r="N13" s="12" t="n"/>
      <c r="O13" s="12" t="n"/>
    </row>
    <row r="14">
      <c r="A14" s="15" t="n"/>
      <c r="B14" s="12" t="n"/>
      <c r="C14" s="12" t="n"/>
      <c r="D14" s="12" t="n"/>
      <c r="E14" s="12" t="n"/>
      <c r="F14" s="14" t="n"/>
      <c r="G14" s="14" t="n"/>
      <c r="H14" s="13">
        <f>IFERROR(VLOOKUP(D14,LaborRates,6,FALSE),"")</f>
        <v/>
      </c>
      <c r="I14" s="13">
        <f>IFERROR(VLOOKUP(D14,LaborRates,7,FALSE),"")</f>
        <v/>
      </c>
      <c r="J14" s="13">
        <f>IF(OR(F14="",H14=""),"",F14*H14)</f>
        <v/>
      </c>
      <c r="K14" s="13">
        <f>IF(OR(G14="",I14=""),"",G14*I14)</f>
        <v/>
      </c>
      <c r="L14" s="13">
        <f>IF(J14="",K14,IF(K14="",J14,J14+K14))</f>
        <v/>
      </c>
      <c r="M14" s="12" t="n"/>
      <c r="N14" s="12" t="n"/>
      <c r="O14" s="12" t="n"/>
    </row>
    <row r="15">
      <c r="A15" s="15" t="n"/>
      <c r="B15" s="12" t="n"/>
      <c r="C15" s="12" t="n"/>
      <c r="D15" s="12" t="n"/>
      <c r="E15" s="12" t="n"/>
      <c r="F15" s="14" t="n"/>
      <c r="G15" s="14" t="n"/>
      <c r="H15" s="13">
        <f>IFERROR(VLOOKUP(D15,LaborRates,6,FALSE),"")</f>
        <v/>
      </c>
      <c r="I15" s="13">
        <f>IFERROR(VLOOKUP(D15,LaborRates,7,FALSE),"")</f>
        <v/>
      </c>
      <c r="J15" s="13">
        <f>IF(OR(F15="",H15=""),"",F15*H15)</f>
        <v/>
      </c>
      <c r="K15" s="13">
        <f>IF(OR(G15="",I15=""),"",G15*I15)</f>
        <v/>
      </c>
      <c r="L15" s="13">
        <f>IF(J15="",K15,IF(K15="",J15,J15+K15))</f>
        <v/>
      </c>
      <c r="M15" s="12" t="n"/>
      <c r="N15" s="12" t="n"/>
      <c r="O15" s="12" t="n"/>
    </row>
    <row r="16">
      <c r="A16" s="15" t="n"/>
      <c r="B16" s="12" t="n"/>
      <c r="C16" s="12" t="n"/>
      <c r="D16" s="12" t="n"/>
      <c r="E16" s="12" t="n"/>
      <c r="F16" s="14" t="n"/>
      <c r="G16" s="14" t="n"/>
      <c r="H16" s="13">
        <f>IFERROR(VLOOKUP(D16,LaborRates,6,FALSE),"")</f>
        <v/>
      </c>
      <c r="I16" s="13">
        <f>IFERROR(VLOOKUP(D16,LaborRates,7,FALSE),"")</f>
        <v/>
      </c>
      <c r="J16" s="13">
        <f>IF(OR(F16="",H16=""),"",F16*H16)</f>
        <v/>
      </c>
      <c r="K16" s="13">
        <f>IF(OR(G16="",I16=""),"",G16*I16)</f>
        <v/>
      </c>
      <c r="L16" s="13">
        <f>IF(J16="",K16,IF(K16="",J16,J16+K16))</f>
        <v/>
      </c>
      <c r="M16" s="12" t="n"/>
      <c r="N16" s="12" t="n"/>
      <c r="O16" s="12" t="n"/>
    </row>
    <row r="17">
      <c r="A17" s="15" t="n"/>
      <c r="B17" s="12" t="n"/>
      <c r="C17" s="12" t="n"/>
      <c r="D17" s="12" t="n"/>
      <c r="E17" s="12" t="n"/>
      <c r="F17" s="14" t="n"/>
      <c r="G17" s="14" t="n"/>
      <c r="H17" s="13">
        <f>IFERROR(VLOOKUP(D17,LaborRates,6,FALSE),"")</f>
        <v/>
      </c>
      <c r="I17" s="13">
        <f>IFERROR(VLOOKUP(D17,LaborRates,7,FALSE),"")</f>
        <v/>
      </c>
      <c r="J17" s="13">
        <f>IF(OR(F17="",H17=""),"",F17*H17)</f>
        <v/>
      </c>
      <c r="K17" s="13">
        <f>IF(OR(G17="",I17=""),"",G17*I17)</f>
        <v/>
      </c>
      <c r="L17" s="13">
        <f>IF(J17="",K17,IF(K17="",J17,J17+K17))</f>
        <v/>
      </c>
      <c r="M17" s="12" t="n"/>
      <c r="N17" s="12" t="n"/>
      <c r="O17" s="12" t="n"/>
    </row>
    <row r="18">
      <c r="A18" s="15" t="n"/>
      <c r="B18" s="12" t="n"/>
      <c r="C18" s="12" t="n"/>
      <c r="D18" s="12" t="n"/>
      <c r="E18" s="12" t="n"/>
      <c r="F18" s="14" t="n"/>
      <c r="G18" s="14" t="n"/>
      <c r="H18" s="13">
        <f>IFERROR(VLOOKUP(D18,LaborRates,6,FALSE),"")</f>
        <v/>
      </c>
      <c r="I18" s="13">
        <f>IFERROR(VLOOKUP(D18,LaborRates,7,FALSE),"")</f>
        <v/>
      </c>
      <c r="J18" s="13">
        <f>IF(OR(F18="",H18=""),"",F18*H18)</f>
        <v/>
      </c>
      <c r="K18" s="13">
        <f>IF(OR(G18="",I18=""),"",G18*I18)</f>
        <v/>
      </c>
      <c r="L18" s="13">
        <f>IF(J18="",K18,IF(K18="",J18,J18+K18))</f>
        <v/>
      </c>
      <c r="M18" s="12" t="n"/>
      <c r="N18" s="12" t="n"/>
      <c r="O18" s="12" t="n"/>
    </row>
    <row r="19">
      <c r="A19" s="15" t="n"/>
      <c r="B19" s="12" t="n"/>
      <c r="C19" s="12" t="n"/>
      <c r="D19" s="12" t="n"/>
      <c r="E19" s="12" t="n"/>
      <c r="F19" s="14" t="n"/>
      <c r="G19" s="14" t="n"/>
      <c r="H19" s="13">
        <f>IFERROR(VLOOKUP(D19,LaborRates,6,FALSE),"")</f>
        <v/>
      </c>
      <c r="I19" s="13">
        <f>IFERROR(VLOOKUP(D19,LaborRates,7,FALSE),"")</f>
        <v/>
      </c>
      <c r="J19" s="13">
        <f>IF(OR(F19="",H19=""),"",F19*H19)</f>
        <v/>
      </c>
      <c r="K19" s="13">
        <f>IF(OR(G19="",I19=""),"",G19*I19)</f>
        <v/>
      </c>
      <c r="L19" s="13">
        <f>IF(J19="",K19,IF(K19="",J19,J19+K19))</f>
        <v/>
      </c>
      <c r="M19" s="12" t="n"/>
      <c r="N19" s="12" t="n"/>
      <c r="O19" s="12" t="n"/>
    </row>
    <row r="20">
      <c r="A20" s="15" t="n"/>
      <c r="B20" s="12" t="n"/>
      <c r="C20" s="12" t="n"/>
      <c r="D20" s="12" t="n"/>
      <c r="E20" s="12" t="n"/>
      <c r="F20" s="14" t="n"/>
      <c r="G20" s="14" t="n"/>
      <c r="H20" s="13">
        <f>IFERROR(VLOOKUP(D20,LaborRates,6,FALSE),"")</f>
        <v/>
      </c>
      <c r="I20" s="13">
        <f>IFERROR(VLOOKUP(D20,LaborRates,7,FALSE),"")</f>
        <v/>
      </c>
      <c r="J20" s="13">
        <f>IF(OR(F20="",H20=""),"",F20*H20)</f>
        <v/>
      </c>
      <c r="K20" s="13">
        <f>IF(OR(G20="",I20=""),"",G20*I20)</f>
        <v/>
      </c>
      <c r="L20" s="13">
        <f>IF(J20="",K20,IF(K20="",J20,J20+K20))</f>
        <v/>
      </c>
      <c r="M20" s="12" t="n"/>
      <c r="N20" s="12" t="n"/>
      <c r="O20" s="12" t="n"/>
    </row>
    <row r="21">
      <c r="A21" s="15" t="n"/>
      <c r="B21" s="12" t="n"/>
      <c r="C21" s="12" t="n"/>
      <c r="D21" s="12" t="n"/>
      <c r="E21" s="12" t="n"/>
      <c r="F21" s="14" t="n"/>
      <c r="G21" s="14" t="n"/>
      <c r="H21" s="13">
        <f>IFERROR(VLOOKUP(D21,LaborRates,6,FALSE),"")</f>
        <v/>
      </c>
      <c r="I21" s="13">
        <f>IFERROR(VLOOKUP(D21,LaborRates,7,FALSE),"")</f>
        <v/>
      </c>
      <c r="J21" s="13">
        <f>IF(OR(F21="",H21=""),"",F21*H21)</f>
        <v/>
      </c>
      <c r="K21" s="13">
        <f>IF(OR(G21="",I21=""),"",G21*I21)</f>
        <v/>
      </c>
      <c r="L21" s="13">
        <f>IF(J21="",K21,IF(K21="",J21,J21+K21))</f>
        <v/>
      </c>
      <c r="M21" s="12" t="n"/>
      <c r="N21" s="12" t="n"/>
      <c r="O21" s="12" t="n"/>
    </row>
    <row r="22">
      <c r="A22" s="15" t="n"/>
      <c r="B22" s="12" t="n"/>
      <c r="C22" s="12" t="n"/>
      <c r="D22" s="12" t="n"/>
      <c r="E22" s="12" t="n"/>
      <c r="F22" s="14" t="n"/>
      <c r="G22" s="14" t="n"/>
      <c r="H22" s="13">
        <f>IFERROR(VLOOKUP(D22,LaborRates,6,FALSE),"")</f>
        <v/>
      </c>
      <c r="I22" s="13">
        <f>IFERROR(VLOOKUP(D22,LaborRates,7,FALSE),"")</f>
        <v/>
      </c>
      <c r="J22" s="13">
        <f>IF(OR(F22="",H22=""),"",F22*H22)</f>
        <v/>
      </c>
      <c r="K22" s="13">
        <f>IF(OR(G22="",I22=""),"",G22*I22)</f>
        <v/>
      </c>
      <c r="L22" s="13">
        <f>IF(J22="",K22,IF(K22="",J22,J22+K22))</f>
        <v/>
      </c>
      <c r="M22" s="12" t="n"/>
      <c r="N22" s="12" t="n"/>
      <c r="O22" s="12" t="n"/>
    </row>
    <row r="23">
      <c r="A23" s="15" t="n"/>
      <c r="B23" s="12" t="n"/>
      <c r="C23" s="12" t="n"/>
      <c r="D23" s="12" t="n"/>
      <c r="E23" s="12" t="n"/>
      <c r="F23" s="14" t="n"/>
      <c r="G23" s="14" t="n"/>
      <c r="H23" s="13">
        <f>IFERROR(VLOOKUP(D23,LaborRates,6,FALSE),"")</f>
        <v/>
      </c>
      <c r="I23" s="13">
        <f>IFERROR(VLOOKUP(D23,LaborRates,7,FALSE),"")</f>
        <v/>
      </c>
      <c r="J23" s="13">
        <f>IF(OR(F23="",H23=""),"",F23*H23)</f>
        <v/>
      </c>
      <c r="K23" s="13">
        <f>IF(OR(G23="",I23=""),"",G23*I23)</f>
        <v/>
      </c>
      <c r="L23" s="13">
        <f>IF(J23="",K23,IF(K23="",J23,J23+K23))</f>
        <v/>
      </c>
      <c r="M23" s="12" t="n"/>
      <c r="N23" s="12" t="n"/>
      <c r="O23" s="12" t="n"/>
    </row>
    <row r="24">
      <c r="A24" s="15" t="n"/>
      <c r="B24" s="12" t="n"/>
      <c r="C24" s="12" t="n"/>
      <c r="D24" s="12" t="n"/>
      <c r="E24" s="12" t="n"/>
      <c r="F24" s="14" t="n"/>
      <c r="G24" s="14" t="n"/>
      <c r="H24" s="13">
        <f>IFERROR(VLOOKUP(D24,LaborRates,6,FALSE),"")</f>
        <v/>
      </c>
      <c r="I24" s="13">
        <f>IFERROR(VLOOKUP(D24,LaborRates,7,FALSE),"")</f>
        <v/>
      </c>
      <c r="J24" s="13">
        <f>IF(OR(F24="",H24=""),"",F24*H24)</f>
        <v/>
      </c>
      <c r="K24" s="13">
        <f>IF(OR(G24="",I24=""),"",G24*I24)</f>
        <v/>
      </c>
      <c r="L24" s="13">
        <f>IF(J24="",K24,IF(K24="",J24,J24+K24))</f>
        <v/>
      </c>
      <c r="M24" s="12" t="n"/>
      <c r="N24" s="12" t="n"/>
      <c r="O24" s="12" t="n"/>
    </row>
    <row r="25">
      <c r="A25" s="15" t="n"/>
      <c r="B25" s="12" t="n"/>
      <c r="C25" s="12" t="n"/>
      <c r="D25" s="12" t="n"/>
      <c r="E25" s="12" t="n"/>
      <c r="F25" s="14" t="n"/>
      <c r="G25" s="14" t="n"/>
      <c r="H25" s="13">
        <f>IFERROR(VLOOKUP(D25,LaborRates,6,FALSE),"")</f>
        <v/>
      </c>
      <c r="I25" s="13">
        <f>IFERROR(VLOOKUP(D25,LaborRates,7,FALSE),"")</f>
        <v/>
      </c>
      <c r="J25" s="13">
        <f>IF(OR(F25="",H25=""),"",F25*H25)</f>
        <v/>
      </c>
      <c r="K25" s="13">
        <f>IF(OR(G25="",I25=""),"",G25*I25)</f>
        <v/>
      </c>
      <c r="L25" s="13">
        <f>IF(J25="",K25,IF(K25="",J25,J25+K25))</f>
        <v/>
      </c>
      <c r="M25" s="12" t="n"/>
      <c r="N25" s="12" t="n"/>
      <c r="O25" s="12" t="n"/>
    </row>
    <row r="26">
      <c r="A26" s="15" t="n"/>
      <c r="B26" s="12" t="n"/>
      <c r="C26" s="12" t="n"/>
      <c r="D26" s="12" t="n"/>
      <c r="E26" s="12" t="n"/>
      <c r="F26" s="14" t="n"/>
      <c r="G26" s="14" t="n"/>
      <c r="H26" s="13">
        <f>IFERROR(VLOOKUP(D26,LaborRates,6,FALSE),"")</f>
        <v/>
      </c>
      <c r="I26" s="13">
        <f>IFERROR(VLOOKUP(D26,LaborRates,7,FALSE),"")</f>
        <v/>
      </c>
      <c r="J26" s="13">
        <f>IF(OR(F26="",H26=""),"",F26*H26)</f>
        <v/>
      </c>
      <c r="K26" s="13">
        <f>IF(OR(G26="",I26=""),"",G26*I26)</f>
        <v/>
      </c>
      <c r="L26" s="13">
        <f>IF(J26="",K26,IF(K26="",J26,J26+K26))</f>
        <v/>
      </c>
      <c r="M26" s="12" t="n"/>
      <c r="N26" s="12" t="n"/>
      <c r="O26" s="12" t="n"/>
    </row>
    <row r="27">
      <c r="A27" s="15" t="n"/>
      <c r="B27" s="12" t="n"/>
      <c r="C27" s="12" t="n"/>
      <c r="D27" s="12" t="n"/>
      <c r="E27" s="12" t="n"/>
      <c r="F27" s="14" t="n"/>
      <c r="G27" s="14" t="n"/>
      <c r="H27" s="13">
        <f>IFERROR(VLOOKUP(D27,LaborRates,6,FALSE),"")</f>
        <v/>
      </c>
      <c r="I27" s="13">
        <f>IFERROR(VLOOKUP(D27,LaborRates,7,FALSE),"")</f>
        <v/>
      </c>
      <c r="J27" s="13">
        <f>IF(OR(F27="",H27=""),"",F27*H27)</f>
        <v/>
      </c>
      <c r="K27" s="13">
        <f>IF(OR(G27="",I27=""),"",G27*I27)</f>
        <v/>
      </c>
      <c r="L27" s="13">
        <f>IF(J27="",K27,IF(K27="",J27,J27+K27))</f>
        <v/>
      </c>
      <c r="M27" s="12" t="n"/>
      <c r="N27" s="12" t="n"/>
      <c r="O27" s="12" t="n"/>
    </row>
    <row r="28">
      <c r="A28" s="15" t="n"/>
      <c r="B28" s="12" t="n"/>
      <c r="C28" s="12" t="n"/>
      <c r="D28" s="12" t="n"/>
      <c r="E28" s="12" t="n"/>
      <c r="F28" s="14" t="n"/>
      <c r="G28" s="14" t="n"/>
      <c r="H28" s="13">
        <f>IFERROR(VLOOKUP(D28,LaborRates,6,FALSE),"")</f>
        <v/>
      </c>
      <c r="I28" s="13">
        <f>IFERROR(VLOOKUP(D28,LaborRates,7,FALSE),"")</f>
        <v/>
      </c>
      <c r="J28" s="13">
        <f>IF(OR(F28="",H28=""),"",F28*H28)</f>
        <v/>
      </c>
      <c r="K28" s="13">
        <f>IF(OR(G28="",I28=""),"",G28*I28)</f>
        <v/>
      </c>
      <c r="L28" s="13">
        <f>IF(J28="",K28,IF(K28="",J28,J28+K28))</f>
        <v/>
      </c>
      <c r="M28" s="12" t="n"/>
      <c r="N28" s="12" t="n"/>
      <c r="O28" s="12" t="n"/>
    </row>
    <row r="29">
      <c r="A29" s="15" t="n"/>
      <c r="B29" s="12" t="n"/>
      <c r="C29" s="12" t="n"/>
      <c r="D29" s="12" t="n"/>
      <c r="E29" s="12" t="n"/>
      <c r="F29" s="14" t="n"/>
      <c r="G29" s="14" t="n"/>
      <c r="H29" s="13">
        <f>IFERROR(VLOOKUP(D29,LaborRates,6,FALSE),"")</f>
        <v/>
      </c>
      <c r="I29" s="13">
        <f>IFERROR(VLOOKUP(D29,LaborRates,7,FALSE),"")</f>
        <v/>
      </c>
      <c r="J29" s="13">
        <f>IF(OR(F29="",H29=""),"",F29*H29)</f>
        <v/>
      </c>
      <c r="K29" s="13">
        <f>IF(OR(G29="",I29=""),"",G29*I29)</f>
        <v/>
      </c>
      <c r="L29" s="13">
        <f>IF(J29="",K29,IF(K29="",J29,J29+K29))</f>
        <v/>
      </c>
      <c r="M29" s="12" t="n"/>
      <c r="N29" s="12" t="n"/>
      <c r="O29" s="12" t="n"/>
    </row>
    <row r="30">
      <c r="A30" s="15" t="n"/>
      <c r="B30" s="12" t="n"/>
      <c r="C30" s="12" t="n"/>
      <c r="D30" s="12" t="n"/>
      <c r="E30" s="12" t="n"/>
      <c r="F30" s="14" t="n"/>
      <c r="G30" s="14" t="n"/>
      <c r="H30" s="13">
        <f>IFERROR(VLOOKUP(D30,LaborRates,6,FALSE),"")</f>
        <v/>
      </c>
      <c r="I30" s="13">
        <f>IFERROR(VLOOKUP(D30,LaborRates,7,FALSE),"")</f>
        <v/>
      </c>
      <c r="J30" s="13">
        <f>IF(OR(F30="",H30=""),"",F30*H30)</f>
        <v/>
      </c>
      <c r="K30" s="13">
        <f>IF(OR(G30="",I30=""),"",G30*I30)</f>
        <v/>
      </c>
      <c r="L30" s="13">
        <f>IF(J30="",K30,IF(K30="",J30,J30+K30))</f>
        <v/>
      </c>
      <c r="M30" s="12" t="n"/>
      <c r="N30" s="12" t="n"/>
      <c r="O30" s="12" t="n"/>
    </row>
    <row r="31">
      <c r="A31" s="15" t="n"/>
      <c r="B31" s="12" t="n"/>
      <c r="C31" s="12" t="n"/>
      <c r="D31" s="12" t="n"/>
      <c r="E31" s="12" t="n"/>
      <c r="F31" s="14" t="n"/>
      <c r="G31" s="14" t="n"/>
      <c r="H31" s="13">
        <f>IFERROR(VLOOKUP(D31,LaborRates,6,FALSE),"")</f>
        <v/>
      </c>
      <c r="I31" s="13">
        <f>IFERROR(VLOOKUP(D31,LaborRates,7,FALSE),"")</f>
        <v/>
      </c>
      <c r="J31" s="13">
        <f>IF(OR(F31="",H31=""),"",F31*H31)</f>
        <v/>
      </c>
      <c r="K31" s="13">
        <f>IF(OR(G31="",I31=""),"",G31*I31)</f>
        <v/>
      </c>
      <c r="L31" s="13">
        <f>IF(J31="",K31,IF(K31="",J31,J31+K31))</f>
        <v/>
      </c>
      <c r="M31" s="12" t="n"/>
      <c r="N31" s="12" t="n"/>
      <c r="O31" s="12" t="n"/>
    </row>
    <row r="32">
      <c r="A32" s="15" t="n"/>
      <c r="B32" s="12" t="n"/>
      <c r="C32" s="12" t="n"/>
      <c r="D32" s="12" t="n"/>
      <c r="E32" s="12" t="n"/>
      <c r="F32" s="14" t="n"/>
      <c r="G32" s="14" t="n"/>
      <c r="H32" s="13">
        <f>IFERROR(VLOOKUP(D32,LaborRates,6,FALSE),"")</f>
        <v/>
      </c>
      <c r="I32" s="13">
        <f>IFERROR(VLOOKUP(D32,LaborRates,7,FALSE),"")</f>
        <v/>
      </c>
      <c r="J32" s="13">
        <f>IF(OR(F32="",H32=""),"",F32*H32)</f>
        <v/>
      </c>
      <c r="K32" s="13">
        <f>IF(OR(G32="",I32=""),"",G32*I32)</f>
        <v/>
      </c>
      <c r="L32" s="13">
        <f>IF(J32="",K32,IF(K32="",J32,J32+K32))</f>
        <v/>
      </c>
      <c r="M32" s="12" t="n"/>
      <c r="N32" s="12" t="n"/>
      <c r="O32" s="12" t="n"/>
    </row>
    <row r="33">
      <c r="A33" s="15" t="n"/>
      <c r="B33" s="12" t="n"/>
      <c r="C33" s="12" t="n"/>
      <c r="D33" s="12" t="n"/>
      <c r="E33" s="12" t="n"/>
      <c r="F33" s="14" t="n"/>
      <c r="G33" s="14" t="n"/>
      <c r="H33" s="13">
        <f>IFERROR(VLOOKUP(D33,LaborRates,6,FALSE),"")</f>
        <v/>
      </c>
      <c r="I33" s="13">
        <f>IFERROR(VLOOKUP(D33,LaborRates,7,FALSE),"")</f>
        <v/>
      </c>
      <c r="J33" s="13">
        <f>IF(OR(F33="",H33=""),"",F33*H33)</f>
        <v/>
      </c>
      <c r="K33" s="13">
        <f>IF(OR(G33="",I33=""),"",G33*I33)</f>
        <v/>
      </c>
      <c r="L33" s="13">
        <f>IF(J33="",K33,IF(K33="",J33,J33+K33))</f>
        <v/>
      </c>
      <c r="M33" s="12" t="n"/>
      <c r="N33" s="12" t="n"/>
      <c r="O33" s="12" t="n"/>
    </row>
    <row r="34">
      <c r="A34" s="15" t="n"/>
      <c r="B34" s="12" t="n"/>
      <c r="C34" s="12" t="n"/>
      <c r="D34" s="12" t="n"/>
      <c r="E34" s="12" t="n"/>
      <c r="F34" s="14" t="n"/>
      <c r="G34" s="14" t="n"/>
      <c r="H34" s="13">
        <f>IFERROR(VLOOKUP(D34,LaborRates,6,FALSE),"")</f>
        <v/>
      </c>
      <c r="I34" s="13">
        <f>IFERROR(VLOOKUP(D34,LaborRates,7,FALSE),"")</f>
        <v/>
      </c>
      <c r="J34" s="13">
        <f>IF(OR(F34="",H34=""),"",F34*H34)</f>
        <v/>
      </c>
      <c r="K34" s="13">
        <f>IF(OR(G34="",I34=""),"",G34*I34)</f>
        <v/>
      </c>
      <c r="L34" s="13">
        <f>IF(J34="",K34,IF(K34="",J34,J34+K34))</f>
        <v/>
      </c>
      <c r="M34" s="12" t="n"/>
      <c r="N34" s="12" t="n"/>
      <c r="O34" s="12" t="n"/>
    </row>
    <row r="35">
      <c r="A35" s="15" t="n"/>
      <c r="B35" s="12" t="n"/>
      <c r="C35" s="12" t="n"/>
      <c r="D35" s="12" t="n"/>
      <c r="E35" s="12" t="n"/>
      <c r="F35" s="14" t="n"/>
      <c r="G35" s="14" t="n"/>
      <c r="H35" s="13">
        <f>IFERROR(VLOOKUP(D35,LaborRates,6,FALSE),"")</f>
        <v/>
      </c>
      <c r="I35" s="13">
        <f>IFERROR(VLOOKUP(D35,LaborRates,7,FALSE),"")</f>
        <v/>
      </c>
      <c r="J35" s="13">
        <f>IF(OR(F35="",H35=""),"",F35*H35)</f>
        <v/>
      </c>
      <c r="K35" s="13">
        <f>IF(OR(G35="",I35=""),"",G35*I35)</f>
        <v/>
      </c>
      <c r="L35" s="13">
        <f>IF(J35="",K35,IF(K35="",J35,J35+K35))</f>
        <v/>
      </c>
      <c r="M35" s="12" t="n"/>
      <c r="N35" s="12" t="n"/>
      <c r="O35" s="12" t="n"/>
    </row>
    <row r="36">
      <c r="A36" s="15" t="n"/>
      <c r="B36" s="12" t="n"/>
      <c r="C36" s="12" t="n"/>
      <c r="D36" s="12" t="n"/>
      <c r="E36" s="12" t="n"/>
      <c r="F36" s="14" t="n"/>
      <c r="G36" s="14" t="n"/>
      <c r="H36" s="13">
        <f>IFERROR(VLOOKUP(D36,LaborRates,6,FALSE),"")</f>
        <v/>
      </c>
      <c r="I36" s="13">
        <f>IFERROR(VLOOKUP(D36,LaborRates,7,FALSE),"")</f>
        <v/>
      </c>
      <c r="J36" s="13">
        <f>IF(OR(F36="",H36=""),"",F36*H36)</f>
        <v/>
      </c>
      <c r="K36" s="13">
        <f>IF(OR(G36="",I36=""),"",G36*I36)</f>
        <v/>
      </c>
      <c r="L36" s="13">
        <f>IF(J36="",K36,IF(K36="",J36,J36+K36))</f>
        <v/>
      </c>
      <c r="M36" s="12" t="n"/>
      <c r="N36" s="12" t="n"/>
      <c r="O36" s="12" t="n"/>
    </row>
    <row r="37">
      <c r="A37" s="15" t="n"/>
      <c r="B37" s="12" t="n"/>
      <c r="C37" s="12" t="n"/>
      <c r="D37" s="12" t="n"/>
      <c r="E37" s="12" t="n"/>
      <c r="F37" s="14" t="n"/>
      <c r="G37" s="14" t="n"/>
      <c r="H37" s="13">
        <f>IFERROR(VLOOKUP(D37,LaborRates,6,FALSE),"")</f>
        <v/>
      </c>
      <c r="I37" s="13">
        <f>IFERROR(VLOOKUP(D37,LaborRates,7,FALSE),"")</f>
        <v/>
      </c>
      <c r="J37" s="13">
        <f>IF(OR(F37="",H37=""),"",F37*H37)</f>
        <v/>
      </c>
      <c r="K37" s="13">
        <f>IF(OR(G37="",I37=""),"",G37*I37)</f>
        <v/>
      </c>
      <c r="L37" s="13">
        <f>IF(J37="",K37,IF(K37="",J37,J37+K37))</f>
        <v/>
      </c>
      <c r="M37" s="12" t="n"/>
      <c r="N37" s="12" t="n"/>
      <c r="O37" s="12" t="n"/>
    </row>
    <row r="38">
      <c r="A38" s="15" t="n"/>
      <c r="B38" s="12" t="n"/>
      <c r="C38" s="12" t="n"/>
      <c r="D38" s="12" t="n"/>
      <c r="E38" s="12" t="n"/>
      <c r="F38" s="14" t="n"/>
      <c r="G38" s="14" t="n"/>
      <c r="H38" s="13">
        <f>IFERROR(VLOOKUP(D38,LaborRates,6,FALSE),"")</f>
        <v/>
      </c>
      <c r="I38" s="13">
        <f>IFERROR(VLOOKUP(D38,LaborRates,7,FALSE),"")</f>
        <v/>
      </c>
      <c r="J38" s="13">
        <f>IF(OR(F38="",H38=""),"",F38*H38)</f>
        <v/>
      </c>
      <c r="K38" s="13">
        <f>IF(OR(G38="",I38=""),"",G38*I38)</f>
        <v/>
      </c>
      <c r="L38" s="13">
        <f>IF(J38="",K38,IF(K38="",J38,J38+K38))</f>
        <v/>
      </c>
      <c r="M38" s="12" t="n"/>
      <c r="N38" s="12" t="n"/>
      <c r="O38" s="12" t="n"/>
    </row>
    <row r="39">
      <c r="A39" s="15" t="n"/>
      <c r="B39" s="12" t="n"/>
      <c r="C39" s="12" t="n"/>
      <c r="D39" s="12" t="n"/>
      <c r="E39" s="12" t="n"/>
      <c r="F39" s="14" t="n"/>
      <c r="G39" s="14" t="n"/>
      <c r="H39" s="13">
        <f>IFERROR(VLOOKUP(D39,LaborRates,6,FALSE),"")</f>
        <v/>
      </c>
      <c r="I39" s="13">
        <f>IFERROR(VLOOKUP(D39,LaborRates,7,FALSE),"")</f>
        <v/>
      </c>
      <c r="J39" s="13">
        <f>IF(OR(F39="",H39=""),"",F39*H39)</f>
        <v/>
      </c>
      <c r="K39" s="13">
        <f>IF(OR(G39="",I39=""),"",G39*I39)</f>
        <v/>
      </c>
      <c r="L39" s="13">
        <f>IF(J39="",K39,IF(K39="",J39,J39+K39))</f>
        <v/>
      </c>
      <c r="M39" s="12" t="n"/>
      <c r="N39" s="12" t="n"/>
      <c r="O39" s="12" t="n"/>
    </row>
    <row r="40">
      <c r="A40" s="15" t="n"/>
      <c r="B40" s="12" t="n"/>
      <c r="C40" s="12" t="n"/>
      <c r="D40" s="12" t="n"/>
      <c r="E40" s="12" t="n"/>
      <c r="F40" s="14" t="n"/>
      <c r="G40" s="14" t="n"/>
      <c r="H40" s="13">
        <f>IFERROR(VLOOKUP(D40,LaborRates,6,FALSE),"")</f>
        <v/>
      </c>
      <c r="I40" s="13">
        <f>IFERROR(VLOOKUP(D40,LaborRates,7,FALSE),"")</f>
        <v/>
      </c>
      <c r="J40" s="13">
        <f>IF(OR(F40="",H40=""),"",F40*H40)</f>
        <v/>
      </c>
      <c r="K40" s="13">
        <f>IF(OR(G40="",I40=""),"",G40*I40)</f>
        <v/>
      </c>
      <c r="L40" s="13">
        <f>IF(J40="",K40,IF(K40="",J40,J40+K40))</f>
        <v/>
      </c>
      <c r="M40" s="12" t="n"/>
      <c r="N40" s="12" t="n"/>
      <c r="O40" s="12" t="n"/>
    </row>
    <row r="41">
      <c r="A41" s="15" t="n"/>
      <c r="B41" s="12" t="n"/>
      <c r="C41" s="12" t="n"/>
      <c r="D41" s="12" t="n"/>
      <c r="E41" s="12" t="n"/>
      <c r="F41" s="14" t="n"/>
      <c r="G41" s="14" t="n"/>
      <c r="H41" s="13">
        <f>IFERROR(VLOOKUP(D41,LaborRates,6,FALSE),"")</f>
        <v/>
      </c>
      <c r="I41" s="13">
        <f>IFERROR(VLOOKUP(D41,LaborRates,7,FALSE),"")</f>
        <v/>
      </c>
      <c r="J41" s="13">
        <f>IF(OR(F41="",H41=""),"",F41*H41)</f>
        <v/>
      </c>
      <c r="K41" s="13">
        <f>IF(OR(G41="",I41=""),"",G41*I41)</f>
        <v/>
      </c>
      <c r="L41" s="13">
        <f>IF(J41="",K41,IF(K41="",J41,J41+K41))</f>
        <v/>
      </c>
      <c r="M41" s="12" t="n"/>
      <c r="N41" s="12" t="n"/>
      <c r="O41" s="12" t="n"/>
    </row>
    <row r="42">
      <c r="A42" s="15" t="n"/>
      <c r="B42" s="12" t="n"/>
      <c r="C42" s="12" t="n"/>
      <c r="D42" s="12" t="n"/>
      <c r="E42" s="12" t="n"/>
      <c r="F42" s="14" t="n"/>
      <c r="G42" s="14" t="n"/>
      <c r="H42" s="13">
        <f>IFERROR(VLOOKUP(D42,LaborRates,6,FALSE),"")</f>
        <v/>
      </c>
      <c r="I42" s="13">
        <f>IFERROR(VLOOKUP(D42,LaborRates,7,FALSE),"")</f>
        <v/>
      </c>
      <c r="J42" s="13">
        <f>IF(OR(F42="",H42=""),"",F42*H42)</f>
        <v/>
      </c>
      <c r="K42" s="13">
        <f>IF(OR(G42="",I42=""),"",G42*I42)</f>
        <v/>
      </c>
      <c r="L42" s="13">
        <f>IF(J42="",K42,IF(K42="",J42,J42+K42))</f>
        <v/>
      </c>
      <c r="M42" s="12" t="n"/>
      <c r="N42" s="12" t="n"/>
      <c r="O42" s="12" t="n"/>
    </row>
    <row r="43">
      <c r="A43" s="15" t="n"/>
      <c r="B43" s="12" t="n"/>
      <c r="C43" s="12" t="n"/>
      <c r="D43" s="12" t="n"/>
      <c r="E43" s="12" t="n"/>
      <c r="F43" s="14" t="n"/>
      <c r="G43" s="14" t="n"/>
      <c r="H43" s="13">
        <f>IFERROR(VLOOKUP(D43,LaborRates,6,FALSE),"")</f>
        <v/>
      </c>
      <c r="I43" s="13">
        <f>IFERROR(VLOOKUP(D43,LaborRates,7,FALSE),"")</f>
        <v/>
      </c>
      <c r="J43" s="13">
        <f>IF(OR(F43="",H43=""),"",F43*H43)</f>
        <v/>
      </c>
      <c r="K43" s="13">
        <f>IF(OR(G43="",I43=""),"",G43*I43)</f>
        <v/>
      </c>
      <c r="L43" s="13">
        <f>IF(J43="",K43,IF(K43="",J43,J43+K43))</f>
        <v/>
      </c>
      <c r="M43" s="12" t="n"/>
      <c r="N43" s="12" t="n"/>
      <c r="O43" s="12" t="n"/>
    </row>
    <row r="44">
      <c r="A44" s="15" t="n"/>
      <c r="B44" s="12" t="n"/>
      <c r="C44" s="12" t="n"/>
      <c r="D44" s="12" t="n"/>
      <c r="E44" s="12" t="n"/>
      <c r="F44" s="14" t="n"/>
      <c r="G44" s="14" t="n"/>
      <c r="H44" s="13">
        <f>IFERROR(VLOOKUP(D44,LaborRates,6,FALSE),"")</f>
        <v/>
      </c>
      <c r="I44" s="13">
        <f>IFERROR(VLOOKUP(D44,LaborRates,7,FALSE),"")</f>
        <v/>
      </c>
      <c r="J44" s="13">
        <f>IF(OR(F44="",H44=""),"",F44*H44)</f>
        <v/>
      </c>
      <c r="K44" s="13">
        <f>IF(OR(G44="",I44=""),"",G44*I44)</f>
        <v/>
      </c>
      <c r="L44" s="13">
        <f>IF(J44="",K44,IF(K44="",J44,J44+K44))</f>
        <v/>
      </c>
      <c r="M44" s="12" t="n"/>
      <c r="N44" s="12" t="n"/>
      <c r="O44" s="12" t="n"/>
    </row>
    <row r="45">
      <c r="A45" s="15" t="n"/>
      <c r="B45" s="12" t="n"/>
      <c r="C45" s="12" t="n"/>
      <c r="D45" s="12" t="n"/>
      <c r="E45" s="12" t="n"/>
      <c r="F45" s="14" t="n"/>
      <c r="G45" s="14" t="n"/>
      <c r="H45" s="13">
        <f>IFERROR(VLOOKUP(D45,LaborRates,6,FALSE),"")</f>
        <v/>
      </c>
      <c r="I45" s="13">
        <f>IFERROR(VLOOKUP(D45,LaborRates,7,FALSE),"")</f>
        <v/>
      </c>
      <c r="J45" s="13">
        <f>IF(OR(F45="",H45=""),"",F45*H45)</f>
        <v/>
      </c>
      <c r="K45" s="13">
        <f>IF(OR(G45="",I45=""),"",G45*I45)</f>
        <v/>
      </c>
      <c r="L45" s="13">
        <f>IF(J45="",K45,IF(K45="",J45,J45+K45))</f>
        <v/>
      </c>
      <c r="M45" s="12" t="n"/>
      <c r="N45" s="12" t="n"/>
      <c r="O45" s="12" t="n"/>
    </row>
    <row r="46">
      <c r="A46" s="15" t="n"/>
      <c r="B46" s="12" t="n"/>
      <c r="C46" s="12" t="n"/>
      <c r="D46" s="12" t="n"/>
      <c r="E46" s="12" t="n"/>
      <c r="F46" s="14" t="n"/>
      <c r="G46" s="14" t="n"/>
      <c r="H46" s="13">
        <f>IFERROR(VLOOKUP(D46,LaborRates,6,FALSE),"")</f>
        <v/>
      </c>
      <c r="I46" s="13">
        <f>IFERROR(VLOOKUP(D46,LaborRates,7,FALSE),"")</f>
        <v/>
      </c>
      <c r="J46" s="13">
        <f>IF(OR(F46="",H46=""),"",F46*H46)</f>
        <v/>
      </c>
      <c r="K46" s="13">
        <f>IF(OR(G46="",I46=""),"",G46*I46)</f>
        <v/>
      </c>
      <c r="L46" s="13">
        <f>IF(J46="",K46,IF(K46="",J46,J46+K46))</f>
        <v/>
      </c>
      <c r="M46" s="12" t="n"/>
      <c r="N46" s="12" t="n"/>
      <c r="O46" s="12" t="n"/>
    </row>
    <row r="47">
      <c r="A47" s="15" t="n"/>
      <c r="B47" s="12" t="n"/>
      <c r="C47" s="12" t="n"/>
      <c r="D47" s="12" t="n"/>
      <c r="E47" s="12" t="n"/>
      <c r="F47" s="14" t="n"/>
      <c r="G47" s="14" t="n"/>
      <c r="H47" s="13">
        <f>IFERROR(VLOOKUP(D47,LaborRates,6,FALSE),"")</f>
        <v/>
      </c>
      <c r="I47" s="13">
        <f>IFERROR(VLOOKUP(D47,LaborRates,7,FALSE),"")</f>
        <v/>
      </c>
      <c r="J47" s="13">
        <f>IF(OR(F47="",H47=""),"",F47*H47)</f>
        <v/>
      </c>
      <c r="K47" s="13">
        <f>IF(OR(G47="",I47=""),"",G47*I47)</f>
        <v/>
      </c>
      <c r="L47" s="13">
        <f>IF(J47="",K47,IF(K47="",J47,J47+K47))</f>
        <v/>
      </c>
      <c r="M47" s="12" t="n"/>
      <c r="N47" s="12" t="n"/>
      <c r="O47" s="12" t="n"/>
    </row>
    <row r="48">
      <c r="A48" s="15" t="n"/>
      <c r="B48" s="12" t="n"/>
      <c r="C48" s="12" t="n"/>
      <c r="D48" s="12" t="n"/>
      <c r="E48" s="12" t="n"/>
      <c r="F48" s="14" t="n"/>
      <c r="G48" s="14" t="n"/>
      <c r="H48" s="13">
        <f>IFERROR(VLOOKUP(D48,LaborRates,6,FALSE),"")</f>
        <v/>
      </c>
      <c r="I48" s="13">
        <f>IFERROR(VLOOKUP(D48,LaborRates,7,FALSE),"")</f>
        <v/>
      </c>
      <c r="J48" s="13">
        <f>IF(OR(F48="",H48=""),"",F48*H48)</f>
        <v/>
      </c>
      <c r="K48" s="13">
        <f>IF(OR(G48="",I48=""),"",G48*I48)</f>
        <v/>
      </c>
      <c r="L48" s="13">
        <f>IF(J48="",K48,IF(K48="",J48,J48+K48))</f>
        <v/>
      </c>
      <c r="M48" s="12" t="n"/>
      <c r="N48" s="12" t="n"/>
      <c r="O48" s="12" t="n"/>
    </row>
    <row r="49">
      <c r="A49" s="15" t="n"/>
      <c r="B49" s="12" t="n"/>
      <c r="C49" s="12" t="n"/>
      <c r="D49" s="12" t="n"/>
      <c r="E49" s="12" t="n"/>
      <c r="F49" s="14" t="n"/>
      <c r="G49" s="14" t="n"/>
      <c r="H49" s="13">
        <f>IFERROR(VLOOKUP(D49,LaborRates,6,FALSE),"")</f>
        <v/>
      </c>
      <c r="I49" s="13">
        <f>IFERROR(VLOOKUP(D49,LaborRates,7,FALSE),"")</f>
        <v/>
      </c>
      <c r="J49" s="13">
        <f>IF(OR(F49="",H49=""),"",F49*H49)</f>
        <v/>
      </c>
      <c r="K49" s="13">
        <f>IF(OR(G49="",I49=""),"",G49*I49)</f>
        <v/>
      </c>
      <c r="L49" s="13">
        <f>IF(J49="",K49,IF(K49="",J49,J49+K49))</f>
        <v/>
      </c>
      <c r="M49" s="12" t="n"/>
      <c r="N49" s="12" t="n"/>
      <c r="O49" s="12" t="n"/>
    </row>
    <row r="50">
      <c r="A50" s="15" t="n"/>
      <c r="B50" s="12" t="n"/>
      <c r="C50" s="12" t="n"/>
      <c r="D50" s="12" t="n"/>
      <c r="E50" s="12" t="n"/>
      <c r="F50" s="14" t="n"/>
      <c r="G50" s="14" t="n"/>
      <c r="H50" s="13">
        <f>IFERROR(VLOOKUP(D50,LaborRates,6,FALSE),"")</f>
        <v/>
      </c>
      <c r="I50" s="13">
        <f>IFERROR(VLOOKUP(D50,LaborRates,7,FALSE),"")</f>
        <v/>
      </c>
      <c r="J50" s="13">
        <f>IF(OR(F50="",H50=""),"",F50*H50)</f>
        <v/>
      </c>
      <c r="K50" s="13">
        <f>IF(OR(G50="",I50=""),"",G50*I50)</f>
        <v/>
      </c>
      <c r="L50" s="13">
        <f>IF(J50="",K50,IF(K50="",J50,J50+K50))</f>
        <v/>
      </c>
      <c r="M50" s="12" t="n"/>
      <c r="N50" s="12" t="n"/>
      <c r="O50" s="12" t="n"/>
    </row>
    <row r="51">
      <c r="A51" s="15" t="n"/>
      <c r="B51" s="12" t="n"/>
      <c r="C51" s="12" t="n"/>
      <c r="D51" s="12" t="n"/>
      <c r="E51" s="12" t="n"/>
      <c r="F51" s="14" t="n"/>
      <c r="G51" s="14" t="n"/>
      <c r="H51" s="13">
        <f>IFERROR(VLOOKUP(D51,LaborRates,6,FALSE),"")</f>
        <v/>
      </c>
      <c r="I51" s="13">
        <f>IFERROR(VLOOKUP(D51,LaborRates,7,FALSE),"")</f>
        <v/>
      </c>
      <c r="J51" s="13">
        <f>IF(OR(F51="",H51=""),"",F51*H51)</f>
        <v/>
      </c>
      <c r="K51" s="13">
        <f>IF(OR(G51="",I51=""),"",G51*I51)</f>
        <v/>
      </c>
      <c r="L51" s="13">
        <f>IF(J51="",K51,IF(K51="",J51,J51+K51))</f>
        <v/>
      </c>
      <c r="M51" s="12" t="n"/>
      <c r="N51" s="12" t="n"/>
      <c r="O51" s="12" t="n"/>
    </row>
    <row r="52">
      <c r="A52" s="15" t="n"/>
      <c r="B52" s="12" t="n"/>
      <c r="C52" s="12" t="n"/>
      <c r="D52" s="12" t="n"/>
      <c r="E52" s="12" t="n"/>
      <c r="F52" s="14" t="n"/>
      <c r="G52" s="14" t="n"/>
      <c r="H52" s="13">
        <f>IFERROR(VLOOKUP(D52,LaborRates,6,FALSE),"")</f>
        <v/>
      </c>
      <c r="I52" s="13">
        <f>IFERROR(VLOOKUP(D52,LaborRates,7,FALSE),"")</f>
        <v/>
      </c>
      <c r="J52" s="13">
        <f>IF(OR(F52="",H52=""),"",F52*H52)</f>
        <v/>
      </c>
      <c r="K52" s="13">
        <f>IF(OR(G52="",I52=""),"",G52*I52)</f>
        <v/>
      </c>
      <c r="L52" s="13">
        <f>IF(J52="",K52,IF(K52="",J52,J52+K52))</f>
        <v/>
      </c>
      <c r="M52" s="12" t="n"/>
      <c r="N52" s="12" t="n"/>
      <c r="O52" s="12" t="n"/>
    </row>
    <row r="53">
      <c r="A53" s="15" t="n"/>
      <c r="B53" s="12" t="n"/>
      <c r="C53" s="12" t="n"/>
      <c r="D53" s="12" t="n"/>
      <c r="E53" s="12" t="n"/>
      <c r="F53" s="14" t="n"/>
      <c r="G53" s="14" t="n"/>
      <c r="H53" s="13">
        <f>IFERROR(VLOOKUP(D53,LaborRates,6,FALSE),"")</f>
        <v/>
      </c>
      <c r="I53" s="13">
        <f>IFERROR(VLOOKUP(D53,LaborRates,7,FALSE),"")</f>
        <v/>
      </c>
      <c r="J53" s="13">
        <f>IF(OR(F53="",H53=""),"",F53*H53)</f>
        <v/>
      </c>
      <c r="K53" s="13">
        <f>IF(OR(G53="",I53=""),"",G53*I53)</f>
        <v/>
      </c>
      <c r="L53" s="13">
        <f>IF(J53="",K53,IF(K53="",J53,J53+K53))</f>
        <v/>
      </c>
      <c r="M53" s="12" t="n"/>
      <c r="N53" s="12" t="n"/>
      <c r="O53" s="12" t="n"/>
    </row>
    <row r="54">
      <c r="A54" s="15" t="n"/>
      <c r="B54" s="12" t="n"/>
      <c r="C54" s="12" t="n"/>
      <c r="D54" s="12" t="n"/>
      <c r="E54" s="12" t="n"/>
      <c r="F54" s="14" t="n"/>
      <c r="G54" s="14" t="n"/>
      <c r="H54" s="13">
        <f>IFERROR(VLOOKUP(D54,LaborRates,6,FALSE),"")</f>
        <v/>
      </c>
      <c r="I54" s="13">
        <f>IFERROR(VLOOKUP(D54,LaborRates,7,FALSE),"")</f>
        <v/>
      </c>
      <c r="J54" s="13">
        <f>IF(OR(F54="",H54=""),"",F54*H54)</f>
        <v/>
      </c>
      <c r="K54" s="13">
        <f>IF(OR(G54="",I54=""),"",G54*I54)</f>
        <v/>
      </c>
      <c r="L54" s="13">
        <f>IF(J54="",K54,IF(K54="",J54,J54+K54))</f>
        <v/>
      </c>
      <c r="M54" s="12" t="n"/>
      <c r="N54" s="12" t="n"/>
      <c r="O54" s="12" t="n"/>
    </row>
    <row r="55">
      <c r="A55" s="15" t="n"/>
      <c r="B55" s="12" t="n"/>
      <c r="C55" s="12" t="n"/>
      <c r="D55" s="12" t="n"/>
      <c r="E55" s="12" t="n"/>
      <c r="F55" s="14" t="n"/>
      <c r="G55" s="14" t="n"/>
      <c r="H55" s="13">
        <f>IFERROR(VLOOKUP(D55,LaborRates,6,FALSE),"")</f>
        <v/>
      </c>
      <c r="I55" s="13">
        <f>IFERROR(VLOOKUP(D55,LaborRates,7,FALSE),"")</f>
        <v/>
      </c>
      <c r="J55" s="13">
        <f>IF(OR(F55="",H55=""),"",F55*H55)</f>
        <v/>
      </c>
      <c r="K55" s="13">
        <f>IF(OR(G55="",I55=""),"",G55*I55)</f>
        <v/>
      </c>
      <c r="L55" s="13">
        <f>IF(J55="",K55,IF(K55="",J55,J55+K55))</f>
        <v/>
      </c>
      <c r="M55" s="12" t="n"/>
      <c r="N55" s="12" t="n"/>
      <c r="O55" s="12" t="n"/>
    </row>
    <row r="56">
      <c r="A56" s="15" t="n"/>
      <c r="B56" s="12" t="n"/>
      <c r="C56" s="12" t="n"/>
      <c r="D56" s="12" t="n"/>
      <c r="E56" s="12" t="n"/>
      <c r="F56" s="14" t="n"/>
      <c r="G56" s="14" t="n"/>
      <c r="H56" s="13">
        <f>IFERROR(VLOOKUP(D56,LaborRates,6,FALSE),"")</f>
        <v/>
      </c>
      <c r="I56" s="13">
        <f>IFERROR(VLOOKUP(D56,LaborRates,7,FALSE),"")</f>
        <v/>
      </c>
      <c r="J56" s="13">
        <f>IF(OR(F56="",H56=""),"",F56*H56)</f>
        <v/>
      </c>
      <c r="K56" s="13">
        <f>IF(OR(G56="",I56=""),"",G56*I56)</f>
        <v/>
      </c>
      <c r="L56" s="13">
        <f>IF(J56="",K56,IF(K56="",J56,J56+K56))</f>
        <v/>
      </c>
      <c r="M56" s="12" t="n"/>
      <c r="N56" s="12" t="n"/>
      <c r="O56" s="12" t="n"/>
    </row>
    <row r="57">
      <c r="A57" s="15" t="n"/>
      <c r="B57" s="12" t="n"/>
      <c r="C57" s="12" t="n"/>
      <c r="D57" s="12" t="n"/>
      <c r="E57" s="12" t="n"/>
      <c r="F57" s="14" t="n"/>
      <c r="G57" s="14" t="n"/>
      <c r="H57" s="13">
        <f>IFERROR(VLOOKUP(D57,LaborRates,6,FALSE),"")</f>
        <v/>
      </c>
      <c r="I57" s="13">
        <f>IFERROR(VLOOKUP(D57,LaborRates,7,FALSE),"")</f>
        <v/>
      </c>
      <c r="J57" s="13">
        <f>IF(OR(F57="",H57=""),"",F57*H57)</f>
        <v/>
      </c>
      <c r="K57" s="13">
        <f>IF(OR(G57="",I57=""),"",G57*I57)</f>
        <v/>
      </c>
      <c r="L57" s="13">
        <f>IF(J57="",K57,IF(K57="",J57,J57+K57))</f>
        <v/>
      </c>
      <c r="M57" s="12" t="n"/>
      <c r="N57" s="12" t="n"/>
      <c r="O57" s="12" t="n"/>
    </row>
    <row r="58">
      <c r="A58" s="15" t="n"/>
      <c r="B58" s="12" t="n"/>
      <c r="C58" s="12" t="n"/>
      <c r="D58" s="12" t="n"/>
      <c r="E58" s="12" t="n"/>
      <c r="F58" s="14" t="n"/>
      <c r="G58" s="14" t="n"/>
      <c r="H58" s="13">
        <f>IFERROR(VLOOKUP(D58,LaborRates,6,FALSE),"")</f>
        <v/>
      </c>
      <c r="I58" s="13">
        <f>IFERROR(VLOOKUP(D58,LaborRates,7,FALSE),"")</f>
        <v/>
      </c>
      <c r="J58" s="13">
        <f>IF(OR(F58="",H58=""),"",F58*H58)</f>
        <v/>
      </c>
      <c r="K58" s="13">
        <f>IF(OR(G58="",I58=""),"",G58*I58)</f>
        <v/>
      </c>
      <c r="L58" s="13">
        <f>IF(J58="",K58,IF(K58="",J58,J58+K58))</f>
        <v/>
      </c>
      <c r="M58" s="12" t="n"/>
      <c r="N58" s="12" t="n"/>
      <c r="O58" s="12" t="n"/>
    </row>
    <row r="59">
      <c r="A59" s="15" t="n"/>
      <c r="B59" s="12" t="n"/>
      <c r="C59" s="12" t="n"/>
      <c r="D59" s="12" t="n"/>
      <c r="E59" s="12" t="n"/>
      <c r="F59" s="14" t="n"/>
      <c r="G59" s="14" t="n"/>
      <c r="H59" s="13">
        <f>IFERROR(VLOOKUP(D59,LaborRates,6,FALSE),"")</f>
        <v/>
      </c>
      <c r="I59" s="13">
        <f>IFERROR(VLOOKUP(D59,LaborRates,7,FALSE),"")</f>
        <v/>
      </c>
      <c r="J59" s="13">
        <f>IF(OR(F59="",H59=""),"",F59*H59)</f>
        <v/>
      </c>
      <c r="K59" s="13">
        <f>IF(OR(G59="",I59=""),"",G59*I59)</f>
        <v/>
      </c>
      <c r="L59" s="13">
        <f>IF(J59="",K59,IF(K59="",J59,J59+K59))</f>
        <v/>
      </c>
      <c r="M59" s="12" t="n"/>
      <c r="N59" s="12" t="n"/>
      <c r="O59" s="12" t="n"/>
    </row>
    <row r="60">
      <c r="A60" s="15" t="n"/>
      <c r="B60" s="12" t="n"/>
      <c r="C60" s="12" t="n"/>
      <c r="D60" s="12" t="n"/>
      <c r="E60" s="12" t="n"/>
      <c r="F60" s="14" t="n"/>
      <c r="G60" s="14" t="n"/>
      <c r="H60" s="13">
        <f>IFERROR(VLOOKUP(D60,LaborRates,6,FALSE),"")</f>
        <v/>
      </c>
      <c r="I60" s="13">
        <f>IFERROR(VLOOKUP(D60,LaborRates,7,FALSE),"")</f>
        <v/>
      </c>
      <c r="J60" s="13">
        <f>IF(OR(F60="",H60=""),"",F60*H60)</f>
        <v/>
      </c>
      <c r="K60" s="13">
        <f>IF(OR(G60="",I60=""),"",G60*I60)</f>
        <v/>
      </c>
      <c r="L60" s="13">
        <f>IF(J60="",K60,IF(K60="",J60,J60+K60))</f>
        <v/>
      </c>
      <c r="M60" s="12" t="n"/>
      <c r="N60" s="12" t="n"/>
      <c r="O60" s="12" t="n"/>
    </row>
    <row r="61">
      <c r="A61" s="15" t="n"/>
      <c r="B61" s="12" t="n"/>
      <c r="C61" s="12" t="n"/>
      <c r="D61" s="12" t="n"/>
      <c r="E61" s="12" t="n"/>
      <c r="F61" s="14" t="n"/>
      <c r="G61" s="14" t="n"/>
      <c r="H61" s="13">
        <f>IFERROR(VLOOKUP(D61,LaborRates,6,FALSE),"")</f>
        <v/>
      </c>
      <c r="I61" s="13">
        <f>IFERROR(VLOOKUP(D61,LaborRates,7,FALSE),"")</f>
        <v/>
      </c>
      <c r="J61" s="13">
        <f>IF(OR(F61="",H61=""),"",F61*H61)</f>
        <v/>
      </c>
      <c r="K61" s="13">
        <f>IF(OR(G61="",I61=""),"",G61*I61)</f>
        <v/>
      </c>
      <c r="L61" s="13">
        <f>IF(J61="",K61,IF(K61="",J61,J61+K61))</f>
        <v/>
      </c>
      <c r="M61" s="12" t="n"/>
      <c r="N61" s="12" t="n"/>
      <c r="O61" s="12" t="n"/>
    </row>
    <row r="62">
      <c r="A62" s="15" t="n"/>
      <c r="B62" s="12" t="n"/>
      <c r="C62" s="12" t="n"/>
      <c r="D62" s="12" t="n"/>
      <c r="E62" s="12" t="n"/>
      <c r="F62" s="14" t="n"/>
      <c r="G62" s="14" t="n"/>
      <c r="H62" s="13">
        <f>IFERROR(VLOOKUP(D62,LaborRates,6,FALSE),"")</f>
        <v/>
      </c>
      <c r="I62" s="13">
        <f>IFERROR(VLOOKUP(D62,LaborRates,7,FALSE),"")</f>
        <v/>
      </c>
      <c r="J62" s="13">
        <f>IF(OR(F62="",H62=""),"",F62*H62)</f>
        <v/>
      </c>
      <c r="K62" s="13">
        <f>IF(OR(G62="",I62=""),"",G62*I62)</f>
        <v/>
      </c>
      <c r="L62" s="13">
        <f>IF(J62="",K62,IF(K62="",J62,J62+K62))</f>
        <v/>
      </c>
      <c r="M62" s="12" t="n"/>
      <c r="N62" s="12" t="n"/>
      <c r="O62" s="12" t="n"/>
    </row>
    <row r="63">
      <c r="A63" s="15" t="n"/>
      <c r="B63" s="12" t="n"/>
      <c r="C63" s="12" t="n"/>
      <c r="D63" s="12" t="n"/>
      <c r="E63" s="12" t="n"/>
      <c r="F63" s="14" t="n"/>
      <c r="G63" s="14" t="n"/>
      <c r="H63" s="13">
        <f>IFERROR(VLOOKUP(D63,LaborRates,6,FALSE),"")</f>
        <v/>
      </c>
      <c r="I63" s="13">
        <f>IFERROR(VLOOKUP(D63,LaborRates,7,FALSE),"")</f>
        <v/>
      </c>
      <c r="J63" s="13">
        <f>IF(OR(F63="",H63=""),"",F63*H63)</f>
        <v/>
      </c>
      <c r="K63" s="13">
        <f>IF(OR(G63="",I63=""),"",G63*I63)</f>
        <v/>
      </c>
      <c r="L63" s="13">
        <f>IF(J63="",K63,IF(K63="",J63,J63+K63))</f>
        <v/>
      </c>
      <c r="M63" s="12" t="n"/>
      <c r="N63" s="12" t="n"/>
      <c r="O63" s="12" t="n"/>
    </row>
    <row r="64">
      <c r="A64" s="15" t="n"/>
      <c r="B64" s="12" t="n"/>
      <c r="C64" s="12" t="n"/>
      <c r="D64" s="12" t="n"/>
      <c r="E64" s="12" t="n"/>
      <c r="F64" s="14" t="n"/>
      <c r="G64" s="14" t="n"/>
      <c r="H64" s="13">
        <f>IFERROR(VLOOKUP(D64,LaborRates,6,FALSE),"")</f>
        <v/>
      </c>
      <c r="I64" s="13">
        <f>IFERROR(VLOOKUP(D64,LaborRates,7,FALSE),"")</f>
        <v/>
      </c>
      <c r="J64" s="13">
        <f>IF(OR(F64="",H64=""),"",F64*H64)</f>
        <v/>
      </c>
      <c r="K64" s="13">
        <f>IF(OR(G64="",I64=""),"",G64*I64)</f>
        <v/>
      </c>
      <c r="L64" s="13">
        <f>IF(J64="",K64,IF(K64="",J64,J64+K64))</f>
        <v/>
      </c>
      <c r="M64" s="12" t="n"/>
      <c r="N64" s="12" t="n"/>
      <c r="O64" s="12" t="n"/>
    </row>
    <row r="65">
      <c r="A65" s="15" t="n"/>
      <c r="B65" s="12" t="n"/>
      <c r="C65" s="12" t="n"/>
      <c r="D65" s="12" t="n"/>
      <c r="E65" s="12" t="n"/>
      <c r="F65" s="14" t="n"/>
      <c r="G65" s="14" t="n"/>
      <c r="H65" s="13">
        <f>IFERROR(VLOOKUP(D65,LaborRates,6,FALSE),"")</f>
        <v/>
      </c>
      <c r="I65" s="13">
        <f>IFERROR(VLOOKUP(D65,LaborRates,7,FALSE),"")</f>
        <v/>
      </c>
      <c r="J65" s="13">
        <f>IF(OR(F65="",H65=""),"",F65*H65)</f>
        <v/>
      </c>
      <c r="K65" s="13">
        <f>IF(OR(G65="",I65=""),"",G65*I65)</f>
        <v/>
      </c>
      <c r="L65" s="13">
        <f>IF(J65="",K65,IF(K65="",J65,J65+K65))</f>
        <v/>
      </c>
      <c r="M65" s="12" t="n"/>
      <c r="N65" s="12" t="n"/>
      <c r="O65" s="12" t="n"/>
    </row>
    <row r="66">
      <c r="A66" s="15" t="n"/>
      <c r="B66" s="12" t="n"/>
      <c r="C66" s="12" t="n"/>
      <c r="D66" s="12" t="n"/>
      <c r="E66" s="12" t="n"/>
      <c r="F66" s="14" t="n"/>
      <c r="G66" s="14" t="n"/>
      <c r="H66" s="13">
        <f>IFERROR(VLOOKUP(D66,LaborRates,6,FALSE),"")</f>
        <v/>
      </c>
      <c r="I66" s="13">
        <f>IFERROR(VLOOKUP(D66,LaborRates,7,FALSE),"")</f>
        <v/>
      </c>
      <c r="J66" s="13">
        <f>IF(OR(F66="",H66=""),"",F66*H66)</f>
        <v/>
      </c>
      <c r="K66" s="13">
        <f>IF(OR(G66="",I66=""),"",G66*I66)</f>
        <v/>
      </c>
      <c r="L66" s="13">
        <f>IF(J66="",K66,IF(K66="",J66,J66+K66))</f>
        <v/>
      </c>
      <c r="M66" s="12" t="n"/>
      <c r="N66" s="12" t="n"/>
      <c r="O66" s="12" t="n"/>
    </row>
    <row r="67">
      <c r="A67" s="15" t="n"/>
      <c r="B67" s="12" t="n"/>
      <c r="C67" s="12" t="n"/>
      <c r="D67" s="12" t="n"/>
      <c r="E67" s="12" t="n"/>
      <c r="F67" s="14" t="n"/>
      <c r="G67" s="14" t="n"/>
      <c r="H67" s="13">
        <f>IFERROR(VLOOKUP(D67,LaborRates,6,FALSE),"")</f>
        <v/>
      </c>
      <c r="I67" s="13">
        <f>IFERROR(VLOOKUP(D67,LaborRates,7,FALSE),"")</f>
        <v/>
      </c>
      <c r="J67" s="13">
        <f>IF(OR(F67="",H67=""),"",F67*H67)</f>
        <v/>
      </c>
      <c r="K67" s="13">
        <f>IF(OR(G67="",I67=""),"",G67*I67)</f>
        <v/>
      </c>
      <c r="L67" s="13">
        <f>IF(J67="",K67,IF(K67="",J67,J67+K67))</f>
        <v/>
      </c>
      <c r="M67" s="12" t="n"/>
      <c r="N67" s="12" t="n"/>
      <c r="O67" s="12" t="n"/>
    </row>
    <row r="68">
      <c r="A68" s="15" t="n"/>
      <c r="B68" s="12" t="n"/>
      <c r="C68" s="12" t="n"/>
      <c r="D68" s="12" t="n"/>
      <c r="E68" s="12" t="n"/>
      <c r="F68" s="14" t="n"/>
      <c r="G68" s="14" t="n"/>
      <c r="H68" s="13">
        <f>IFERROR(VLOOKUP(D68,LaborRates,6,FALSE),"")</f>
        <v/>
      </c>
      <c r="I68" s="13">
        <f>IFERROR(VLOOKUP(D68,LaborRates,7,FALSE),"")</f>
        <v/>
      </c>
      <c r="J68" s="13">
        <f>IF(OR(F68="",H68=""),"",F68*H68)</f>
        <v/>
      </c>
      <c r="K68" s="13">
        <f>IF(OR(G68="",I68=""),"",G68*I68)</f>
        <v/>
      </c>
      <c r="L68" s="13">
        <f>IF(J68="",K68,IF(K68="",J68,J68+K68))</f>
        <v/>
      </c>
      <c r="M68" s="12" t="n"/>
      <c r="N68" s="12" t="n"/>
      <c r="O68" s="12" t="n"/>
    </row>
    <row r="69">
      <c r="A69" s="15" t="n"/>
      <c r="B69" s="12" t="n"/>
      <c r="C69" s="12" t="n"/>
      <c r="D69" s="12" t="n"/>
      <c r="E69" s="12" t="n"/>
      <c r="F69" s="14" t="n"/>
      <c r="G69" s="14" t="n"/>
      <c r="H69" s="13">
        <f>IFERROR(VLOOKUP(D69,LaborRates,6,FALSE),"")</f>
        <v/>
      </c>
      <c r="I69" s="13">
        <f>IFERROR(VLOOKUP(D69,LaborRates,7,FALSE),"")</f>
        <v/>
      </c>
      <c r="J69" s="13">
        <f>IF(OR(F69="",H69=""),"",F69*H69)</f>
        <v/>
      </c>
      <c r="K69" s="13">
        <f>IF(OR(G69="",I69=""),"",G69*I69)</f>
        <v/>
      </c>
      <c r="L69" s="13">
        <f>IF(J69="",K69,IF(K69="",J69,J69+K69))</f>
        <v/>
      </c>
      <c r="M69" s="12" t="n"/>
      <c r="N69" s="12" t="n"/>
      <c r="O69" s="12" t="n"/>
    </row>
    <row r="70">
      <c r="A70" s="15" t="n"/>
      <c r="B70" s="12" t="n"/>
      <c r="C70" s="12" t="n"/>
      <c r="D70" s="12" t="n"/>
      <c r="E70" s="12" t="n"/>
      <c r="F70" s="14" t="n"/>
      <c r="G70" s="14" t="n"/>
      <c r="H70" s="13">
        <f>IFERROR(VLOOKUP(D70,LaborRates,6,FALSE),"")</f>
        <v/>
      </c>
      <c r="I70" s="13">
        <f>IFERROR(VLOOKUP(D70,LaborRates,7,FALSE),"")</f>
        <v/>
      </c>
      <c r="J70" s="13">
        <f>IF(OR(F70="",H70=""),"",F70*H70)</f>
        <v/>
      </c>
      <c r="K70" s="13">
        <f>IF(OR(G70="",I70=""),"",G70*I70)</f>
        <v/>
      </c>
      <c r="L70" s="13">
        <f>IF(J70="",K70,IF(K70="",J70,J70+K70))</f>
        <v/>
      </c>
      <c r="M70" s="12" t="n"/>
      <c r="N70" s="12" t="n"/>
      <c r="O70" s="12" t="n"/>
    </row>
    <row r="71">
      <c r="A71" s="15" t="n"/>
      <c r="B71" s="12" t="n"/>
      <c r="C71" s="12" t="n"/>
      <c r="D71" s="12" t="n"/>
      <c r="E71" s="12" t="n"/>
      <c r="F71" s="14" t="n"/>
      <c r="G71" s="14" t="n"/>
      <c r="H71" s="13">
        <f>IFERROR(VLOOKUP(D71,LaborRates,6,FALSE),"")</f>
        <v/>
      </c>
      <c r="I71" s="13">
        <f>IFERROR(VLOOKUP(D71,LaborRates,7,FALSE),"")</f>
        <v/>
      </c>
      <c r="J71" s="13">
        <f>IF(OR(F71="",H71=""),"",F71*H71)</f>
        <v/>
      </c>
      <c r="K71" s="13">
        <f>IF(OR(G71="",I71=""),"",G71*I71)</f>
        <v/>
      </c>
      <c r="L71" s="13">
        <f>IF(J71="",K71,IF(K71="",J71,J71+K71))</f>
        <v/>
      </c>
      <c r="M71" s="12" t="n"/>
      <c r="N71" s="12" t="n"/>
      <c r="O71" s="12" t="n"/>
    </row>
    <row r="72">
      <c r="A72" s="15" t="n"/>
      <c r="B72" s="12" t="n"/>
      <c r="C72" s="12" t="n"/>
      <c r="D72" s="12" t="n"/>
      <c r="E72" s="12" t="n"/>
      <c r="F72" s="14" t="n"/>
      <c r="G72" s="14" t="n"/>
      <c r="H72" s="13">
        <f>IFERROR(VLOOKUP(D72,LaborRates,6,FALSE),"")</f>
        <v/>
      </c>
      <c r="I72" s="13">
        <f>IFERROR(VLOOKUP(D72,LaborRates,7,FALSE),"")</f>
        <v/>
      </c>
      <c r="J72" s="13">
        <f>IF(OR(F72="",H72=""),"",F72*H72)</f>
        <v/>
      </c>
      <c r="K72" s="13">
        <f>IF(OR(G72="",I72=""),"",G72*I72)</f>
        <v/>
      </c>
      <c r="L72" s="13">
        <f>IF(J72="",K72,IF(K72="",J72,J72+K72))</f>
        <v/>
      </c>
      <c r="M72" s="12" t="n"/>
      <c r="N72" s="12" t="n"/>
      <c r="O72" s="12" t="n"/>
    </row>
    <row r="73">
      <c r="A73" s="15" t="n"/>
      <c r="B73" s="12" t="n"/>
      <c r="C73" s="12" t="n"/>
      <c r="D73" s="12" t="n"/>
      <c r="E73" s="12" t="n"/>
      <c r="F73" s="14" t="n"/>
      <c r="G73" s="14" t="n"/>
      <c r="H73" s="13">
        <f>IFERROR(VLOOKUP(D73,LaborRates,6,FALSE),"")</f>
        <v/>
      </c>
      <c r="I73" s="13">
        <f>IFERROR(VLOOKUP(D73,LaborRates,7,FALSE),"")</f>
        <v/>
      </c>
      <c r="J73" s="13">
        <f>IF(OR(F73="",H73=""),"",F73*H73)</f>
        <v/>
      </c>
      <c r="K73" s="13">
        <f>IF(OR(G73="",I73=""),"",G73*I73)</f>
        <v/>
      </c>
      <c r="L73" s="13">
        <f>IF(J73="",K73,IF(K73="",J73,J73+K73))</f>
        <v/>
      </c>
      <c r="M73" s="12" t="n"/>
      <c r="N73" s="12" t="n"/>
      <c r="O73" s="12" t="n"/>
    </row>
    <row r="74">
      <c r="A74" s="15" t="n"/>
      <c r="B74" s="12" t="n"/>
      <c r="C74" s="12" t="n"/>
      <c r="D74" s="12" t="n"/>
      <c r="E74" s="12" t="n"/>
      <c r="F74" s="14" t="n"/>
      <c r="G74" s="14" t="n"/>
      <c r="H74" s="13">
        <f>IFERROR(VLOOKUP(D74,LaborRates,6,FALSE),"")</f>
        <v/>
      </c>
      <c r="I74" s="13">
        <f>IFERROR(VLOOKUP(D74,LaborRates,7,FALSE),"")</f>
        <v/>
      </c>
      <c r="J74" s="13">
        <f>IF(OR(F74="",H74=""),"",F74*H74)</f>
        <v/>
      </c>
      <c r="K74" s="13">
        <f>IF(OR(G74="",I74=""),"",G74*I74)</f>
        <v/>
      </c>
      <c r="L74" s="13">
        <f>IF(J74="",K74,IF(K74="",J74,J74+K74))</f>
        <v/>
      </c>
      <c r="M74" s="12" t="n"/>
      <c r="N74" s="12" t="n"/>
      <c r="O74" s="12" t="n"/>
    </row>
    <row r="75">
      <c r="A75" s="15" t="n"/>
      <c r="B75" s="12" t="n"/>
      <c r="C75" s="12" t="n"/>
      <c r="D75" s="12" t="n"/>
      <c r="E75" s="12" t="n"/>
      <c r="F75" s="14" t="n"/>
      <c r="G75" s="14" t="n"/>
      <c r="H75" s="13">
        <f>IFERROR(VLOOKUP(D75,LaborRates,6,FALSE),"")</f>
        <v/>
      </c>
      <c r="I75" s="13">
        <f>IFERROR(VLOOKUP(D75,LaborRates,7,FALSE),"")</f>
        <v/>
      </c>
      <c r="J75" s="13">
        <f>IF(OR(F75="",H75=""),"",F75*H75)</f>
        <v/>
      </c>
      <c r="K75" s="13">
        <f>IF(OR(G75="",I75=""),"",G75*I75)</f>
        <v/>
      </c>
      <c r="L75" s="13">
        <f>IF(J75="",K75,IF(K75="",J75,J75+K75))</f>
        <v/>
      </c>
      <c r="M75" s="12" t="n"/>
      <c r="N75" s="12" t="n"/>
      <c r="O75" s="12" t="n"/>
    </row>
    <row r="76">
      <c r="A76" s="15" t="n"/>
      <c r="B76" s="12" t="n"/>
      <c r="C76" s="12" t="n"/>
      <c r="D76" s="12" t="n"/>
      <c r="E76" s="12" t="n"/>
      <c r="F76" s="14" t="n"/>
      <c r="G76" s="14" t="n"/>
      <c r="H76" s="13">
        <f>IFERROR(VLOOKUP(D76,LaborRates,6,FALSE),"")</f>
        <v/>
      </c>
      <c r="I76" s="13">
        <f>IFERROR(VLOOKUP(D76,LaborRates,7,FALSE),"")</f>
        <v/>
      </c>
      <c r="J76" s="13">
        <f>IF(OR(F76="",H76=""),"",F76*H76)</f>
        <v/>
      </c>
      <c r="K76" s="13">
        <f>IF(OR(G76="",I76=""),"",G76*I76)</f>
        <v/>
      </c>
      <c r="L76" s="13">
        <f>IF(J76="",K76,IF(K76="",J76,J76+K76))</f>
        <v/>
      </c>
      <c r="M76" s="12" t="n"/>
      <c r="N76" s="12" t="n"/>
      <c r="O76" s="12" t="n"/>
    </row>
    <row r="77">
      <c r="A77" s="15" t="n"/>
      <c r="B77" s="12" t="n"/>
      <c r="C77" s="12" t="n"/>
      <c r="D77" s="12" t="n"/>
      <c r="E77" s="12" t="n"/>
      <c r="F77" s="14" t="n"/>
      <c r="G77" s="14" t="n"/>
      <c r="H77" s="13">
        <f>IFERROR(VLOOKUP(D77,LaborRates,6,FALSE),"")</f>
        <v/>
      </c>
      <c r="I77" s="13">
        <f>IFERROR(VLOOKUP(D77,LaborRates,7,FALSE),"")</f>
        <v/>
      </c>
      <c r="J77" s="13">
        <f>IF(OR(F77="",H77=""),"",F77*H77)</f>
        <v/>
      </c>
      <c r="K77" s="13">
        <f>IF(OR(G77="",I77=""),"",G77*I77)</f>
        <v/>
      </c>
      <c r="L77" s="13">
        <f>IF(J77="",K77,IF(K77="",J77,J77+K77))</f>
        <v/>
      </c>
      <c r="M77" s="12" t="n"/>
      <c r="N77" s="12" t="n"/>
      <c r="O77" s="12" t="n"/>
    </row>
    <row r="78">
      <c r="A78" s="15" t="n"/>
      <c r="B78" s="12" t="n"/>
      <c r="C78" s="12" t="n"/>
      <c r="D78" s="12" t="n"/>
      <c r="E78" s="12" t="n"/>
      <c r="F78" s="14" t="n"/>
      <c r="G78" s="14" t="n"/>
      <c r="H78" s="13">
        <f>IFERROR(VLOOKUP(D78,LaborRates,6,FALSE),"")</f>
        <v/>
      </c>
      <c r="I78" s="13">
        <f>IFERROR(VLOOKUP(D78,LaborRates,7,FALSE),"")</f>
        <v/>
      </c>
      <c r="J78" s="13">
        <f>IF(OR(F78="",H78=""),"",F78*H78)</f>
        <v/>
      </c>
      <c r="K78" s="13">
        <f>IF(OR(G78="",I78=""),"",G78*I78)</f>
        <v/>
      </c>
      <c r="L78" s="13">
        <f>IF(J78="",K78,IF(K78="",J78,J78+K78))</f>
        <v/>
      </c>
      <c r="M78" s="12" t="n"/>
      <c r="N78" s="12" t="n"/>
      <c r="O78" s="12" t="n"/>
    </row>
    <row r="79">
      <c r="A79" s="15" t="n"/>
      <c r="B79" s="12" t="n"/>
      <c r="C79" s="12" t="n"/>
      <c r="D79" s="12" t="n"/>
      <c r="E79" s="12" t="n"/>
      <c r="F79" s="14" t="n"/>
      <c r="G79" s="14" t="n"/>
      <c r="H79" s="13">
        <f>IFERROR(VLOOKUP(D79,LaborRates,6,FALSE),"")</f>
        <v/>
      </c>
      <c r="I79" s="13">
        <f>IFERROR(VLOOKUP(D79,LaborRates,7,FALSE),"")</f>
        <v/>
      </c>
      <c r="J79" s="13">
        <f>IF(OR(F79="",H79=""),"",F79*H79)</f>
        <v/>
      </c>
      <c r="K79" s="13">
        <f>IF(OR(G79="",I79=""),"",G79*I79)</f>
        <v/>
      </c>
      <c r="L79" s="13">
        <f>IF(J79="",K79,IF(K79="",J79,J79+K79))</f>
        <v/>
      </c>
      <c r="M79" s="12" t="n"/>
      <c r="N79" s="12" t="n"/>
      <c r="O79" s="12" t="n"/>
    </row>
    <row r="80">
      <c r="A80" s="15" t="n"/>
      <c r="B80" s="12" t="n"/>
      <c r="C80" s="12" t="n"/>
      <c r="D80" s="12" t="n"/>
      <c r="E80" s="12" t="n"/>
      <c r="F80" s="14" t="n"/>
      <c r="G80" s="14" t="n"/>
      <c r="H80" s="13">
        <f>IFERROR(VLOOKUP(D80,LaborRates,6,FALSE),"")</f>
        <v/>
      </c>
      <c r="I80" s="13">
        <f>IFERROR(VLOOKUP(D80,LaborRates,7,FALSE),"")</f>
        <v/>
      </c>
      <c r="J80" s="13">
        <f>IF(OR(F80="",H80=""),"",F80*H80)</f>
        <v/>
      </c>
      <c r="K80" s="13">
        <f>IF(OR(G80="",I80=""),"",G80*I80)</f>
        <v/>
      </c>
      <c r="L80" s="13">
        <f>IF(J80="",K80,IF(K80="",J80,J80+K80))</f>
        <v/>
      </c>
      <c r="M80" s="12" t="n"/>
      <c r="N80" s="12" t="n"/>
      <c r="O80" s="12" t="n"/>
    </row>
    <row r="81">
      <c r="A81" s="15" t="n"/>
      <c r="B81" s="12" t="n"/>
      <c r="C81" s="12" t="n"/>
      <c r="D81" s="12" t="n"/>
      <c r="E81" s="12" t="n"/>
      <c r="F81" s="14" t="n"/>
      <c r="G81" s="14" t="n"/>
      <c r="H81" s="13">
        <f>IFERROR(VLOOKUP(D81,LaborRates,6,FALSE),"")</f>
        <v/>
      </c>
      <c r="I81" s="13">
        <f>IFERROR(VLOOKUP(D81,LaborRates,7,FALSE),"")</f>
        <v/>
      </c>
      <c r="J81" s="13">
        <f>IF(OR(F81="",H81=""),"",F81*H81)</f>
        <v/>
      </c>
      <c r="K81" s="13">
        <f>IF(OR(G81="",I81=""),"",G81*I81)</f>
        <v/>
      </c>
      <c r="L81" s="13">
        <f>IF(J81="",K81,IF(K81="",J81,J81+K81))</f>
        <v/>
      </c>
      <c r="M81" s="12" t="n"/>
      <c r="N81" s="12" t="n"/>
      <c r="O81" s="12" t="n"/>
    </row>
    <row r="82">
      <c r="A82" s="15" t="n"/>
      <c r="B82" s="12" t="n"/>
      <c r="C82" s="12" t="n"/>
      <c r="D82" s="12" t="n"/>
      <c r="E82" s="12" t="n"/>
      <c r="F82" s="14" t="n"/>
      <c r="G82" s="14" t="n"/>
      <c r="H82" s="13">
        <f>IFERROR(VLOOKUP(D82,LaborRates,6,FALSE),"")</f>
        <v/>
      </c>
      <c r="I82" s="13">
        <f>IFERROR(VLOOKUP(D82,LaborRates,7,FALSE),"")</f>
        <v/>
      </c>
      <c r="J82" s="13">
        <f>IF(OR(F82="",H82=""),"",F82*H82)</f>
        <v/>
      </c>
      <c r="K82" s="13">
        <f>IF(OR(G82="",I82=""),"",G82*I82)</f>
        <v/>
      </c>
      <c r="L82" s="13">
        <f>IF(J82="",K82,IF(K82="",J82,J82+K82))</f>
        <v/>
      </c>
      <c r="M82" s="12" t="n"/>
      <c r="N82" s="12" t="n"/>
      <c r="O82" s="12" t="n"/>
    </row>
    <row r="83">
      <c r="A83" s="15" t="n"/>
      <c r="B83" s="12" t="n"/>
      <c r="C83" s="12" t="n"/>
      <c r="D83" s="12" t="n"/>
      <c r="E83" s="12" t="n"/>
      <c r="F83" s="14" t="n"/>
      <c r="G83" s="14" t="n"/>
      <c r="H83" s="13">
        <f>IFERROR(VLOOKUP(D83,LaborRates,6,FALSE),"")</f>
        <v/>
      </c>
      <c r="I83" s="13">
        <f>IFERROR(VLOOKUP(D83,LaborRates,7,FALSE),"")</f>
        <v/>
      </c>
      <c r="J83" s="13">
        <f>IF(OR(F83="",H83=""),"",F83*H83)</f>
        <v/>
      </c>
      <c r="K83" s="13">
        <f>IF(OR(G83="",I83=""),"",G83*I83)</f>
        <v/>
      </c>
      <c r="L83" s="13">
        <f>IF(J83="",K83,IF(K83="",J83,J83+K83))</f>
        <v/>
      </c>
      <c r="M83" s="12" t="n"/>
      <c r="N83" s="12" t="n"/>
      <c r="O83" s="12" t="n"/>
    </row>
    <row r="84">
      <c r="A84" s="15" t="n"/>
      <c r="B84" s="12" t="n"/>
      <c r="C84" s="12" t="n"/>
      <c r="D84" s="12" t="n"/>
      <c r="E84" s="12" t="n"/>
      <c r="F84" s="14" t="n"/>
      <c r="G84" s="14" t="n"/>
      <c r="H84" s="13">
        <f>IFERROR(VLOOKUP(D84,LaborRates,6,FALSE),"")</f>
        <v/>
      </c>
      <c r="I84" s="13">
        <f>IFERROR(VLOOKUP(D84,LaborRates,7,FALSE),"")</f>
        <v/>
      </c>
      <c r="J84" s="13">
        <f>IF(OR(F84="",H84=""),"",F84*H84)</f>
        <v/>
      </c>
      <c r="K84" s="13">
        <f>IF(OR(G84="",I84=""),"",G84*I84)</f>
        <v/>
      </c>
      <c r="L84" s="13">
        <f>IF(J84="",K84,IF(K84="",J84,J84+K84))</f>
        <v/>
      </c>
      <c r="M84" s="12" t="n"/>
      <c r="N84" s="12" t="n"/>
      <c r="O84" s="12" t="n"/>
    </row>
    <row r="85">
      <c r="A85" s="15" t="n"/>
      <c r="B85" s="12" t="n"/>
      <c r="C85" s="12" t="n"/>
      <c r="D85" s="12" t="n"/>
      <c r="E85" s="12" t="n"/>
      <c r="F85" s="14" t="n"/>
      <c r="G85" s="14" t="n"/>
      <c r="H85" s="13">
        <f>IFERROR(VLOOKUP(D85,LaborRates,6,FALSE),"")</f>
        <v/>
      </c>
      <c r="I85" s="13">
        <f>IFERROR(VLOOKUP(D85,LaborRates,7,FALSE),"")</f>
        <v/>
      </c>
      <c r="J85" s="13">
        <f>IF(OR(F85="",H85=""),"",F85*H85)</f>
        <v/>
      </c>
      <c r="K85" s="13">
        <f>IF(OR(G85="",I85=""),"",G85*I85)</f>
        <v/>
      </c>
      <c r="L85" s="13">
        <f>IF(J85="",K85,IF(K85="",J85,J85+K85))</f>
        <v/>
      </c>
      <c r="M85" s="12" t="n"/>
      <c r="N85" s="12" t="n"/>
      <c r="O85" s="12" t="n"/>
    </row>
    <row r="86">
      <c r="A86" s="15" t="n"/>
      <c r="B86" s="12" t="n"/>
      <c r="C86" s="12" t="n"/>
      <c r="D86" s="12" t="n"/>
      <c r="E86" s="12" t="n"/>
      <c r="F86" s="14" t="n"/>
      <c r="G86" s="14" t="n"/>
      <c r="H86" s="13">
        <f>IFERROR(VLOOKUP(D86,LaborRates,6,FALSE),"")</f>
        <v/>
      </c>
      <c r="I86" s="13">
        <f>IFERROR(VLOOKUP(D86,LaborRates,7,FALSE),"")</f>
        <v/>
      </c>
      <c r="J86" s="13">
        <f>IF(OR(F86="",H86=""),"",F86*H86)</f>
        <v/>
      </c>
      <c r="K86" s="13">
        <f>IF(OR(G86="",I86=""),"",G86*I86)</f>
        <v/>
      </c>
      <c r="L86" s="13">
        <f>IF(J86="",K86,IF(K86="",J86,J86+K86))</f>
        <v/>
      </c>
      <c r="M86" s="12" t="n"/>
      <c r="N86" s="12" t="n"/>
      <c r="O86" s="12" t="n"/>
    </row>
    <row r="87">
      <c r="A87" s="15" t="n"/>
      <c r="B87" s="12" t="n"/>
      <c r="C87" s="12" t="n"/>
      <c r="D87" s="12" t="n"/>
      <c r="E87" s="12" t="n"/>
      <c r="F87" s="14" t="n"/>
      <c r="G87" s="14" t="n"/>
      <c r="H87" s="13">
        <f>IFERROR(VLOOKUP(D87,LaborRates,6,FALSE),"")</f>
        <v/>
      </c>
      <c r="I87" s="13">
        <f>IFERROR(VLOOKUP(D87,LaborRates,7,FALSE),"")</f>
        <v/>
      </c>
      <c r="J87" s="13">
        <f>IF(OR(F87="",H87=""),"",F87*H87)</f>
        <v/>
      </c>
      <c r="K87" s="13">
        <f>IF(OR(G87="",I87=""),"",G87*I87)</f>
        <v/>
      </c>
      <c r="L87" s="13">
        <f>IF(J87="",K87,IF(K87="",J87,J87+K87))</f>
        <v/>
      </c>
      <c r="M87" s="12" t="n"/>
      <c r="N87" s="12" t="n"/>
      <c r="O87" s="12" t="n"/>
    </row>
    <row r="88">
      <c r="A88" s="15" t="n"/>
      <c r="B88" s="12" t="n"/>
      <c r="C88" s="12" t="n"/>
      <c r="D88" s="12" t="n"/>
      <c r="E88" s="12" t="n"/>
      <c r="F88" s="14" t="n"/>
      <c r="G88" s="14" t="n"/>
      <c r="H88" s="13">
        <f>IFERROR(VLOOKUP(D88,LaborRates,6,FALSE),"")</f>
        <v/>
      </c>
      <c r="I88" s="13">
        <f>IFERROR(VLOOKUP(D88,LaborRates,7,FALSE),"")</f>
        <v/>
      </c>
      <c r="J88" s="13">
        <f>IF(OR(F88="",H88=""),"",F88*H88)</f>
        <v/>
      </c>
      <c r="K88" s="13">
        <f>IF(OR(G88="",I88=""),"",G88*I88)</f>
        <v/>
      </c>
      <c r="L88" s="13">
        <f>IF(J88="",K88,IF(K88="",J88,J88+K88))</f>
        <v/>
      </c>
      <c r="M88" s="12" t="n"/>
      <c r="N88" s="12" t="n"/>
      <c r="O88" s="12" t="n"/>
    </row>
    <row r="89">
      <c r="A89" s="15" t="n"/>
      <c r="B89" s="12" t="n"/>
      <c r="C89" s="12" t="n"/>
      <c r="D89" s="12" t="n"/>
      <c r="E89" s="12" t="n"/>
      <c r="F89" s="14" t="n"/>
      <c r="G89" s="14" t="n"/>
      <c r="H89" s="13">
        <f>IFERROR(VLOOKUP(D89,LaborRates,6,FALSE),"")</f>
        <v/>
      </c>
      <c r="I89" s="13">
        <f>IFERROR(VLOOKUP(D89,LaborRates,7,FALSE),"")</f>
        <v/>
      </c>
      <c r="J89" s="13">
        <f>IF(OR(F89="",H89=""),"",F89*H89)</f>
        <v/>
      </c>
      <c r="K89" s="13">
        <f>IF(OR(G89="",I89=""),"",G89*I89)</f>
        <v/>
      </c>
      <c r="L89" s="13">
        <f>IF(J89="",K89,IF(K89="",J89,J89+K89))</f>
        <v/>
      </c>
      <c r="M89" s="12" t="n"/>
      <c r="N89" s="12" t="n"/>
      <c r="O89" s="12" t="n"/>
    </row>
    <row r="90">
      <c r="A90" s="15" t="n"/>
      <c r="B90" s="12" t="n"/>
      <c r="C90" s="12" t="n"/>
      <c r="D90" s="12" t="n"/>
      <c r="E90" s="12" t="n"/>
      <c r="F90" s="14" t="n"/>
      <c r="G90" s="14" t="n"/>
      <c r="H90" s="13">
        <f>IFERROR(VLOOKUP(D90,LaborRates,6,FALSE),"")</f>
        <v/>
      </c>
      <c r="I90" s="13">
        <f>IFERROR(VLOOKUP(D90,LaborRates,7,FALSE),"")</f>
        <v/>
      </c>
      <c r="J90" s="13">
        <f>IF(OR(F90="",H90=""),"",F90*H90)</f>
        <v/>
      </c>
      <c r="K90" s="13">
        <f>IF(OR(G90="",I90=""),"",G90*I90)</f>
        <v/>
      </c>
      <c r="L90" s="13">
        <f>IF(J90="",K90,IF(K90="",J90,J90+K90))</f>
        <v/>
      </c>
      <c r="M90" s="12" t="n"/>
      <c r="N90" s="12" t="n"/>
      <c r="O90" s="12" t="n"/>
    </row>
    <row r="91">
      <c r="A91" s="15" t="n"/>
      <c r="B91" s="12" t="n"/>
      <c r="C91" s="12" t="n"/>
      <c r="D91" s="12" t="n"/>
      <c r="E91" s="12" t="n"/>
      <c r="F91" s="14" t="n"/>
      <c r="G91" s="14" t="n"/>
      <c r="H91" s="13">
        <f>IFERROR(VLOOKUP(D91,LaborRates,6,FALSE),"")</f>
        <v/>
      </c>
      <c r="I91" s="13">
        <f>IFERROR(VLOOKUP(D91,LaborRates,7,FALSE),"")</f>
        <v/>
      </c>
      <c r="J91" s="13">
        <f>IF(OR(F91="",H91=""),"",F91*H91)</f>
        <v/>
      </c>
      <c r="K91" s="13">
        <f>IF(OR(G91="",I91=""),"",G91*I91)</f>
        <v/>
      </c>
      <c r="L91" s="13">
        <f>IF(J91="",K91,IF(K91="",J91,J91+K91))</f>
        <v/>
      </c>
      <c r="M91" s="12" t="n"/>
      <c r="N91" s="12" t="n"/>
      <c r="O91" s="12" t="n"/>
    </row>
    <row r="92">
      <c r="A92" s="15" t="n"/>
      <c r="B92" s="12" t="n"/>
      <c r="C92" s="12" t="n"/>
      <c r="D92" s="12" t="n"/>
      <c r="E92" s="12" t="n"/>
      <c r="F92" s="14" t="n"/>
      <c r="G92" s="14" t="n"/>
      <c r="H92" s="13">
        <f>IFERROR(VLOOKUP(D92,LaborRates,6,FALSE),"")</f>
        <v/>
      </c>
      <c r="I92" s="13">
        <f>IFERROR(VLOOKUP(D92,LaborRates,7,FALSE),"")</f>
        <v/>
      </c>
      <c r="J92" s="13">
        <f>IF(OR(F92="",H92=""),"",F92*H92)</f>
        <v/>
      </c>
      <c r="K92" s="13">
        <f>IF(OR(G92="",I92=""),"",G92*I92)</f>
        <v/>
      </c>
      <c r="L92" s="13">
        <f>IF(J92="",K92,IF(K92="",J92,J92+K92))</f>
        <v/>
      </c>
      <c r="M92" s="12" t="n"/>
      <c r="N92" s="12" t="n"/>
      <c r="O92" s="12" t="n"/>
    </row>
    <row r="93">
      <c r="A93" s="15" t="n"/>
      <c r="B93" s="12" t="n"/>
      <c r="C93" s="12" t="n"/>
      <c r="D93" s="12" t="n"/>
      <c r="E93" s="12" t="n"/>
      <c r="F93" s="14" t="n"/>
      <c r="G93" s="14" t="n"/>
      <c r="H93" s="13">
        <f>IFERROR(VLOOKUP(D93,LaborRates,6,FALSE),"")</f>
        <v/>
      </c>
      <c r="I93" s="13">
        <f>IFERROR(VLOOKUP(D93,LaborRates,7,FALSE),"")</f>
        <v/>
      </c>
      <c r="J93" s="13">
        <f>IF(OR(F93="",H93=""),"",F93*H93)</f>
        <v/>
      </c>
      <c r="K93" s="13">
        <f>IF(OR(G93="",I93=""),"",G93*I93)</f>
        <v/>
      </c>
      <c r="L93" s="13">
        <f>IF(J93="",K93,IF(K93="",J93,J93+K93))</f>
        <v/>
      </c>
      <c r="M93" s="12" t="n"/>
      <c r="N93" s="12" t="n"/>
      <c r="O93" s="12" t="n"/>
    </row>
    <row r="94">
      <c r="A94" s="15" t="n"/>
      <c r="B94" s="12" t="n"/>
      <c r="C94" s="12" t="n"/>
      <c r="D94" s="12" t="n"/>
      <c r="E94" s="12" t="n"/>
      <c r="F94" s="14" t="n"/>
      <c r="G94" s="14" t="n"/>
      <c r="H94" s="13">
        <f>IFERROR(VLOOKUP(D94,LaborRates,6,FALSE),"")</f>
        <v/>
      </c>
      <c r="I94" s="13">
        <f>IFERROR(VLOOKUP(D94,LaborRates,7,FALSE),"")</f>
        <v/>
      </c>
      <c r="J94" s="13">
        <f>IF(OR(F94="",H94=""),"",F94*H94)</f>
        <v/>
      </c>
      <c r="K94" s="13">
        <f>IF(OR(G94="",I94=""),"",G94*I94)</f>
        <v/>
      </c>
      <c r="L94" s="13">
        <f>IF(J94="",K94,IF(K94="",J94,J94+K94))</f>
        <v/>
      </c>
      <c r="M94" s="12" t="n"/>
      <c r="N94" s="12" t="n"/>
      <c r="O94" s="12" t="n"/>
    </row>
    <row r="95">
      <c r="A95" s="15" t="n"/>
      <c r="B95" s="12" t="n"/>
      <c r="C95" s="12" t="n"/>
      <c r="D95" s="12" t="n"/>
      <c r="E95" s="12" t="n"/>
      <c r="F95" s="14" t="n"/>
      <c r="G95" s="14" t="n"/>
      <c r="H95" s="13">
        <f>IFERROR(VLOOKUP(D95,LaborRates,6,FALSE),"")</f>
        <v/>
      </c>
      <c r="I95" s="13">
        <f>IFERROR(VLOOKUP(D95,LaborRates,7,FALSE),"")</f>
        <v/>
      </c>
      <c r="J95" s="13">
        <f>IF(OR(F95="",H95=""),"",F95*H95)</f>
        <v/>
      </c>
      <c r="K95" s="13">
        <f>IF(OR(G95="",I95=""),"",G95*I95)</f>
        <v/>
      </c>
      <c r="L95" s="13">
        <f>IF(J95="",K95,IF(K95="",J95,J95+K95))</f>
        <v/>
      </c>
      <c r="M95" s="12" t="n"/>
      <c r="N95" s="12" t="n"/>
      <c r="O95" s="12" t="n"/>
    </row>
    <row r="96">
      <c r="A96" s="15" t="n"/>
      <c r="B96" s="12" t="n"/>
      <c r="C96" s="12" t="n"/>
      <c r="D96" s="12" t="n"/>
      <c r="E96" s="12" t="n"/>
      <c r="F96" s="14" t="n"/>
      <c r="G96" s="14" t="n"/>
      <c r="H96" s="13">
        <f>IFERROR(VLOOKUP(D96,LaborRates,6,FALSE),"")</f>
        <v/>
      </c>
      <c r="I96" s="13">
        <f>IFERROR(VLOOKUP(D96,LaborRates,7,FALSE),"")</f>
        <v/>
      </c>
      <c r="J96" s="13">
        <f>IF(OR(F96="",H96=""),"",F96*H96)</f>
        <v/>
      </c>
      <c r="K96" s="13">
        <f>IF(OR(G96="",I96=""),"",G96*I96)</f>
        <v/>
      </c>
      <c r="L96" s="13">
        <f>IF(J96="",K96,IF(K96="",J96,J96+K96))</f>
        <v/>
      </c>
      <c r="M96" s="12" t="n"/>
      <c r="N96" s="12" t="n"/>
      <c r="O96" s="12" t="n"/>
    </row>
    <row r="97">
      <c r="A97" s="15" t="n"/>
      <c r="B97" s="12" t="n"/>
      <c r="C97" s="12" t="n"/>
      <c r="D97" s="12" t="n"/>
      <c r="E97" s="12" t="n"/>
      <c r="F97" s="14" t="n"/>
      <c r="G97" s="14" t="n"/>
      <c r="H97" s="13">
        <f>IFERROR(VLOOKUP(D97,LaborRates,6,FALSE),"")</f>
        <v/>
      </c>
      <c r="I97" s="13">
        <f>IFERROR(VLOOKUP(D97,LaborRates,7,FALSE),"")</f>
        <v/>
      </c>
      <c r="J97" s="13">
        <f>IF(OR(F97="",H97=""),"",F97*H97)</f>
        <v/>
      </c>
      <c r="K97" s="13">
        <f>IF(OR(G97="",I97=""),"",G97*I97)</f>
        <v/>
      </c>
      <c r="L97" s="13">
        <f>IF(J97="",K97,IF(K97="",J97,J97+K97))</f>
        <v/>
      </c>
      <c r="M97" s="12" t="n"/>
      <c r="N97" s="12" t="n"/>
      <c r="O97" s="12" t="n"/>
    </row>
    <row r="98">
      <c r="A98" s="15" t="n"/>
      <c r="B98" s="12" t="n"/>
      <c r="C98" s="12" t="n"/>
      <c r="D98" s="12" t="n"/>
      <c r="E98" s="12" t="n"/>
      <c r="F98" s="14" t="n"/>
      <c r="G98" s="14" t="n"/>
      <c r="H98" s="13">
        <f>IFERROR(VLOOKUP(D98,LaborRates,6,FALSE),"")</f>
        <v/>
      </c>
      <c r="I98" s="13">
        <f>IFERROR(VLOOKUP(D98,LaborRates,7,FALSE),"")</f>
        <v/>
      </c>
      <c r="J98" s="13">
        <f>IF(OR(F98="",H98=""),"",F98*H98)</f>
        <v/>
      </c>
      <c r="K98" s="13">
        <f>IF(OR(G98="",I98=""),"",G98*I98)</f>
        <v/>
      </c>
      <c r="L98" s="13">
        <f>IF(J98="",K98,IF(K98="",J98,J98+K98))</f>
        <v/>
      </c>
      <c r="M98" s="12" t="n"/>
      <c r="N98" s="12" t="n"/>
      <c r="O98" s="12" t="n"/>
    </row>
    <row r="99">
      <c r="A99" s="15" t="n"/>
      <c r="B99" s="12" t="n"/>
      <c r="C99" s="12" t="n"/>
      <c r="D99" s="12" t="n"/>
      <c r="E99" s="12" t="n"/>
      <c r="F99" s="14" t="n"/>
      <c r="G99" s="14" t="n"/>
      <c r="H99" s="13">
        <f>IFERROR(VLOOKUP(D99,LaborRates,6,FALSE),"")</f>
        <v/>
      </c>
      <c r="I99" s="13">
        <f>IFERROR(VLOOKUP(D99,LaborRates,7,FALSE),"")</f>
        <v/>
      </c>
      <c r="J99" s="13">
        <f>IF(OR(F99="",H99=""),"",F99*H99)</f>
        <v/>
      </c>
      <c r="K99" s="13">
        <f>IF(OR(G99="",I99=""),"",G99*I99)</f>
        <v/>
      </c>
      <c r="L99" s="13">
        <f>IF(J99="",K99,IF(K99="",J99,J99+K99))</f>
        <v/>
      </c>
      <c r="M99" s="12" t="n"/>
      <c r="N99" s="12" t="n"/>
      <c r="O99" s="12" t="n"/>
    </row>
    <row r="100">
      <c r="A100" s="15" t="n"/>
      <c r="B100" s="12" t="n"/>
      <c r="C100" s="12" t="n"/>
      <c r="D100" s="12" t="n"/>
      <c r="E100" s="12" t="n"/>
      <c r="F100" s="14" t="n"/>
      <c r="G100" s="14" t="n"/>
      <c r="H100" s="13">
        <f>IFERROR(VLOOKUP(D100,LaborRates,6,FALSE),"")</f>
        <v/>
      </c>
      <c r="I100" s="13">
        <f>IFERROR(VLOOKUP(D100,LaborRates,7,FALSE),"")</f>
        <v/>
      </c>
      <c r="J100" s="13">
        <f>IF(OR(F100="",H100=""),"",F100*H100)</f>
        <v/>
      </c>
      <c r="K100" s="13">
        <f>IF(OR(G100="",I100=""),"",G100*I100)</f>
        <v/>
      </c>
      <c r="L100" s="13">
        <f>IF(J100="",K100,IF(K100="",J100,J100+K100))</f>
        <v/>
      </c>
      <c r="M100" s="12" t="n"/>
      <c r="N100" s="12" t="n"/>
      <c r="O100" s="12" t="n"/>
    </row>
    <row r="101">
      <c r="A101" s="15" t="n"/>
      <c r="B101" s="12" t="n"/>
      <c r="C101" s="12" t="n"/>
      <c r="D101" s="12" t="n"/>
      <c r="E101" s="12" t="n"/>
      <c r="F101" s="14" t="n"/>
      <c r="G101" s="14" t="n"/>
      <c r="H101" s="13">
        <f>IFERROR(VLOOKUP(D101,LaborRates,6,FALSE),"")</f>
        <v/>
      </c>
      <c r="I101" s="13">
        <f>IFERROR(VLOOKUP(D101,LaborRates,7,FALSE),"")</f>
        <v/>
      </c>
      <c r="J101" s="13">
        <f>IF(OR(F101="",H101=""),"",F101*H101)</f>
        <v/>
      </c>
      <c r="K101" s="13">
        <f>IF(OR(G101="",I101=""),"",G101*I101)</f>
        <v/>
      </c>
      <c r="L101" s="13">
        <f>IF(J101="",K101,IF(K101="",J101,J101+K101))</f>
        <v/>
      </c>
      <c r="M101" s="12" t="n"/>
      <c r="N101" s="12" t="n"/>
      <c r="O101" s="12" t="n"/>
    </row>
    <row r="102">
      <c r="A102" s="15" t="n"/>
      <c r="B102" s="12" t="n"/>
      <c r="C102" s="12" t="n"/>
      <c r="D102" s="12" t="n"/>
      <c r="E102" s="12" t="n"/>
      <c r="F102" s="14" t="n"/>
      <c r="G102" s="14" t="n"/>
      <c r="H102" s="13">
        <f>IFERROR(VLOOKUP(D102,LaborRates,6,FALSE),"")</f>
        <v/>
      </c>
      <c r="I102" s="13">
        <f>IFERROR(VLOOKUP(D102,LaborRates,7,FALSE),"")</f>
        <v/>
      </c>
      <c r="J102" s="13">
        <f>IF(OR(F102="",H102=""),"",F102*H102)</f>
        <v/>
      </c>
      <c r="K102" s="13">
        <f>IF(OR(G102="",I102=""),"",G102*I102)</f>
        <v/>
      </c>
      <c r="L102" s="13">
        <f>IF(J102="",K102,IF(K102="",J102,J102+K102))</f>
        <v/>
      </c>
      <c r="M102" s="12" t="n"/>
      <c r="N102" s="12" t="n"/>
      <c r="O102" s="12" t="n"/>
    </row>
    <row r="103">
      <c r="A103" s="15" t="n"/>
      <c r="B103" s="12" t="n"/>
      <c r="C103" s="12" t="n"/>
      <c r="D103" s="12" t="n"/>
      <c r="E103" s="12" t="n"/>
      <c r="F103" s="14" t="n"/>
      <c r="G103" s="14" t="n"/>
      <c r="H103" s="13">
        <f>IFERROR(VLOOKUP(D103,LaborRates,6,FALSE),"")</f>
        <v/>
      </c>
      <c r="I103" s="13">
        <f>IFERROR(VLOOKUP(D103,LaborRates,7,FALSE),"")</f>
        <v/>
      </c>
      <c r="J103" s="13">
        <f>IF(OR(F103="",H103=""),"",F103*H103)</f>
        <v/>
      </c>
      <c r="K103" s="13">
        <f>IF(OR(G103="",I103=""),"",G103*I103)</f>
        <v/>
      </c>
      <c r="L103" s="13">
        <f>IF(J103="",K103,IF(K103="",J103,J103+K103))</f>
        <v/>
      </c>
      <c r="M103" s="12" t="n"/>
      <c r="N103" s="12" t="n"/>
      <c r="O103" s="12" t="n"/>
    </row>
    <row r="104">
      <c r="A104" s="15" t="n"/>
      <c r="B104" s="12" t="n"/>
      <c r="C104" s="12" t="n"/>
      <c r="D104" s="12" t="n"/>
      <c r="E104" s="12" t="n"/>
      <c r="F104" s="14" t="n"/>
      <c r="G104" s="14" t="n"/>
      <c r="H104" s="13">
        <f>IFERROR(VLOOKUP(D104,LaborRates,6,FALSE),"")</f>
        <v/>
      </c>
      <c r="I104" s="13">
        <f>IFERROR(VLOOKUP(D104,LaborRates,7,FALSE),"")</f>
        <v/>
      </c>
      <c r="J104" s="13">
        <f>IF(OR(F104="",H104=""),"",F104*H104)</f>
        <v/>
      </c>
      <c r="K104" s="13">
        <f>IF(OR(G104="",I104=""),"",G104*I104)</f>
        <v/>
      </c>
      <c r="L104" s="13">
        <f>IF(J104="",K104,IF(K104="",J104,J104+K104))</f>
        <v/>
      </c>
      <c r="M104" s="12" t="n"/>
      <c r="N104" s="12" t="n"/>
      <c r="O104" s="12" t="n"/>
    </row>
    <row r="105">
      <c r="A105" s="15" t="n"/>
      <c r="B105" s="12" t="n"/>
      <c r="C105" s="12" t="n"/>
      <c r="D105" s="12" t="n"/>
      <c r="E105" s="12" t="n"/>
      <c r="F105" s="14" t="n"/>
      <c r="G105" s="14" t="n"/>
      <c r="H105" s="13">
        <f>IFERROR(VLOOKUP(D105,LaborRates,6,FALSE),"")</f>
        <v/>
      </c>
      <c r="I105" s="13">
        <f>IFERROR(VLOOKUP(D105,LaborRates,7,FALSE),"")</f>
        <v/>
      </c>
      <c r="J105" s="13">
        <f>IF(OR(F105="",H105=""),"",F105*H105)</f>
        <v/>
      </c>
      <c r="K105" s="13">
        <f>IF(OR(G105="",I105=""),"",G105*I105)</f>
        <v/>
      </c>
      <c r="L105" s="13">
        <f>IF(J105="",K105,IF(K105="",J105,J105+K105))</f>
        <v/>
      </c>
      <c r="M105" s="12" t="n"/>
      <c r="N105" s="12" t="n"/>
      <c r="O105" s="12" t="n"/>
    </row>
    <row r="106">
      <c r="A106" s="15" t="n"/>
      <c r="B106" s="12" t="n"/>
      <c r="C106" s="12" t="n"/>
      <c r="D106" s="12" t="n"/>
      <c r="E106" s="12" t="n"/>
      <c r="F106" s="14" t="n"/>
      <c r="G106" s="14" t="n"/>
      <c r="H106" s="13">
        <f>IFERROR(VLOOKUP(D106,LaborRates,6,FALSE),"")</f>
        <v/>
      </c>
      <c r="I106" s="13">
        <f>IFERROR(VLOOKUP(D106,LaborRates,7,FALSE),"")</f>
        <v/>
      </c>
      <c r="J106" s="13">
        <f>IF(OR(F106="",H106=""),"",F106*H106)</f>
        <v/>
      </c>
      <c r="K106" s="13">
        <f>IF(OR(G106="",I106=""),"",G106*I106)</f>
        <v/>
      </c>
      <c r="L106" s="13">
        <f>IF(J106="",K106,IF(K106="",J106,J106+K106))</f>
        <v/>
      </c>
      <c r="M106" s="12" t="n"/>
      <c r="N106" s="12" t="n"/>
      <c r="O106" s="12" t="n"/>
    </row>
    <row r="107">
      <c r="A107" s="15" t="n"/>
      <c r="B107" s="12" t="n"/>
      <c r="C107" s="12" t="n"/>
      <c r="D107" s="12" t="n"/>
      <c r="E107" s="12" t="n"/>
      <c r="F107" s="14" t="n"/>
      <c r="G107" s="14" t="n"/>
      <c r="H107" s="13">
        <f>IFERROR(VLOOKUP(D107,LaborRates,6,FALSE),"")</f>
        <v/>
      </c>
      <c r="I107" s="13">
        <f>IFERROR(VLOOKUP(D107,LaborRates,7,FALSE),"")</f>
        <v/>
      </c>
      <c r="J107" s="13">
        <f>IF(OR(F107="",H107=""),"",F107*H107)</f>
        <v/>
      </c>
      <c r="K107" s="13">
        <f>IF(OR(G107="",I107=""),"",G107*I107)</f>
        <v/>
      </c>
      <c r="L107" s="13">
        <f>IF(J107="",K107,IF(K107="",J107,J107+K107))</f>
        <v/>
      </c>
      <c r="M107" s="12" t="n"/>
      <c r="N107" s="12" t="n"/>
      <c r="O107" s="12" t="n"/>
    </row>
    <row r="108">
      <c r="A108" s="15" t="n"/>
      <c r="B108" s="12" t="n"/>
      <c r="C108" s="12" t="n"/>
      <c r="D108" s="12" t="n"/>
      <c r="E108" s="12" t="n"/>
      <c r="F108" s="14" t="n"/>
      <c r="G108" s="14" t="n"/>
      <c r="H108" s="13">
        <f>IFERROR(VLOOKUP(D108,LaborRates,6,FALSE),"")</f>
        <v/>
      </c>
      <c r="I108" s="13">
        <f>IFERROR(VLOOKUP(D108,LaborRates,7,FALSE),"")</f>
        <v/>
      </c>
      <c r="J108" s="13">
        <f>IF(OR(F108="",H108=""),"",F108*H108)</f>
        <v/>
      </c>
      <c r="K108" s="13">
        <f>IF(OR(G108="",I108=""),"",G108*I108)</f>
        <v/>
      </c>
      <c r="L108" s="13">
        <f>IF(J108="",K108,IF(K108="",J108,J108+K108))</f>
        <v/>
      </c>
      <c r="M108" s="12" t="n"/>
      <c r="N108" s="12" t="n"/>
      <c r="O108" s="12" t="n"/>
    </row>
    <row r="109">
      <c r="A109" s="15" t="n"/>
      <c r="B109" s="12" t="n"/>
      <c r="C109" s="12" t="n"/>
      <c r="D109" s="12" t="n"/>
      <c r="E109" s="12" t="n"/>
      <c r="F109" s="14" t="n"/>
      <c r="G109" s="14" t="n"/>
      <c r="H109" s="13">
        <f>IFERROR(VLOOKUP(D109,LaborRates,6,FALSE),"")</f>
        <v/>
      </c>
      <c r="I109" s="13">
        <f>IFERROR(VLOOKUP(D109,LaborRates,7,FALSE),"")</f>
        <v/>
      </c>
      <c r="J109" s="13">
        <f>IF(OR(F109="",H109=""),"",F109*H109)</f>
        <v/>
      </c>
      <c r="K109" s="13">
        <f>IF(OR(G109="",I109=""),"",G109*I109)</f>
        <v/>
      </c>
      <c r="L109" s="13">
        <f>IF(J109="",K109,IF(K109="",J109,J109+K109))</f>
        <v/>
      </c>
      <c r="M109" s="12" t="n"/>
      <c r="N109" s="12" t="n"/>
      <c r="O109" s="12" t="n"/>
    </row>
    <row r="110">
      <c r="A110" s="15" t="n"/>
      <c r="B110" s="12" t="n"/>
      <c r="C110" s="12" t="n"/>
      <c r="D110" s="12" t="n"/>
      <c r="E110" s="12" t="n"/>
      <c r="F110" s="14" t="n"/>
      <c r="G110" s="14" t="n"/>
      <c r="H110" s="13">
        <f>IFERROR(VLOOKUP(D110,LaborRates,6,FALSE),"")</f>
        <v/>
      </c>
      <c r="I110" s="13">
        <f>IFERROR(VLOOKUP(D110,LaborRates,7,FALSE),"")</f>
        <v/>
      </c>
      <c r="J110" s="13">
        <f>IF(OR(F110="",H110=""),"",F110*H110)</f>
        <v/>
      </c>
      <c r="K110" s="13">
        <f>IF(OR(G110="",I110=""),"",G110*I110)</f>
        <v/>
      </c>
      <c r="L110" s="13">
        <f>IF(J110="",K110,IF(K110="",J110,J110+K110))</f>
        <v/>
      </c>
      <c r="M110" s="12" t="n"/>
      <c r="N110" s="12" t="n"/>
      <c r="O110" s="12" t="n"/>
    </row>
    <row r="111">
      <c r="A111" s="15" t="n"/>
      <c r="B111" s="12" t="n"/>
      <c r="C111" s="12" t="n"/>
      <c r="D111" s="12" t="n"/>
      <c r="E111" s="12" t="n"/>
      <c r="F111" s="14" t="n"/>
      <c r="G111" s="14" t="n"/>
      <c r="H111" s="13">
        <f>IFERROR(VLOOKUP(D111,LaborRates,6,FALSE),"")</f>
        <v/>
      </c>
      <c r="I111" s="13">
        <f>IFERROR(VLOOKUP(D111,LaborRates,7,FALSE),"")</f>
        <v/>
      </c>
      <c r="J111" s="13">
        <f>IF(OR(F111="",H111=""),"",F111*H111)</f>
        <v/>
      </c>
      <c r="K111" s="13">
        <f>IF(OR(G111="",I111=""),"",G111*I111)</f>
        <v/>
      </c>
      <c r="L111" s="13">
        <f>IF(J111="",K111,IF(K111="",J111,J111+K111))</f>
        <v/>
      </c>
      <c r="M111" s="12" t="n"/>
      <c r="N111" s="12" t="n"/>
      <c r="O111" s="12" t="n"/>
    </row>
    <row r="112">
      <c r="A112" s="15" t="n"/>
      <c r="B112" s="12" t="n"/>
      <c r="C112" s="12" t="n"/>
      <c r="D112" s="12" t="n"/>
      <c r="E112" s="12" t="n"/>
      <c r="F112" s="14" t="n"/>
      <c r="G112" s="14" t="n"/>
      <c r="H112" s="13">
        <f>IFERROR(VLOOKUP(D112,LaborRates,6,FALSE),"")</f>
        <v/>
      </c>
      <c r="I112" s="13">
        <f>IFERROR(VLOOKUP(D112,LaborRates,7,FALSE),"")</f>
        <v/>
      </c>
      <c r="J112" s="13">
        <f>IF(OR(F112="",H112=""),"",F112*H112)</f>
        <v/>
      </c>
      <c r="K112" s="13">
        <f>IF(OR(G112="",I112=""),"",G112*I112)</f>
        <v/>
      </c>
      <c r="L112" s="13">
        <f>IF(J112="",K112,IF(K112="",J112,J112+K112))</f>
        <v/>
      </c>
      <c r="M112" s="12" t="n"/>
      <c r="N112" s="12" t="n"/>
      <c r="O112" s="12" t="n"/>
    </row>
    <row r="113">
      <c r="A113" s="15" t="n"/>
      <c r="B113" s="12" t="n"/>
      <c r="C113" s="12" t="n"/>
      <c r="D113" s="12" t="n"/>
      <c r="E113" s="12" t="n"/>
      <c r="F113" s="14" t="n"/>
      <c r="G113" s="14" t="n"/>
      <c r="H113" s="13">
        <f>IFERROR(VLOOKUP(D113,LaborRates,6,FALSE),"")</f>
        <v/>
      </c>
      <c r="I113" s="13">
        <f>IFERROR(VLOOKUP(D113,LaborRates,7,FALSE),"")</f>
        <v/>
      </c>
      <c r="J113" s="13">
        <f>IF(OR(F113="",H113=""),"",F113*H113)</f>
        <v/>
      </c>
      <c r="K113" s="13">
        <f>IF(OR(G113="",I113=""),"",G113*I113)</f>
        <v/>
      </c>
      <c r="L113" s="13">
        <f>IF(J113="",K113,IF(K113="",J113,J113+K113))</f>
        <v/>
      </c>
      <c r="M113" s="12" t="n"/>
      <c r="N113" s="12" t="n"/>
      <c r="O113" s="12" t="n"/>
    </row>
    <row r="114">
      <c r="A114" s="15" t="n"/>
      <c r="B114" s="12" t="n"/>
      <c r="C114" s="12" t="n"/>
      <c r="D114" s="12" t="n"/>
      <c r="E114" s="12" t="n"/>
      <c r="F114" s="14" t="n"/>
      <c r="G114" s="14" t="n"/>
      <c r="H114" s="13">
        <f>IFERROR(VLOOKUP(D114,LaborRates,6,FALSE),"")</f>
        <v/>
      </c>
      <c r="I114" s="13">
        <f>IFERROR(VLOOKUP(D114,LaborRates,7,FALSE),"")</f>
        <v/>
      </c>
      <c r="J114" s="13">
        <f>IF(OR(F114="",H114=""),"",F114*H114)</f>
        <v/>
      </c>
      <c r="K114" s="13">
        <f>IF(OR(G114="",I114=""),"",G114*I114)</f>
        <v/>
      </c>
      <c r="L114" s="13">
        <f>IF(J114="",K114,IF(K114="",J114,J114+K114))</f>
        <v/>
      </c>
      <c r="M114" s="12" t="n"/>
      <c r="N114" s="12" t="n"/>
      <c r="O114" s="12" t="n"/>
    </row>
    <row r="115">
      <c r="A115" s="15" t="n"/>
      <c r="B115" s="12" t="n"/>
      <c r="C115" s="12" t="n"/>
      <c r="D115" s="12" t="n"/>
      <c r="E115" s="12" t="n"/>
      <c r="F115" s="14" t="n"/>
      <c r="G115" s="14" t="n"/>
      <c r="H115" s="13">
        <f>IFERROR(VLOOKUP(D115,LaborRates,6,FALSE),"")</f>
        <v/>
      </c>
      <c r="I115" s="13">
        <f>IFERROR(VLOOKUP(D115,LaborRates,7,FALSE),"")</f>
        <v/>
      </c>
      <c r="J115" s="13">
        <f>IF(OR(F115="",H115=""),"",F115*H115)</f>
        <v/>
      </c>
      <c r="K115" s="13">
        <f>IF(OR(G115="",I115=""),"",G115*I115)</f>
        <v/>
      </c>
      <c r="L115" s="13">
        <f>IF(J115="",K115,IF(K115="",J115,J115+K115))</f>
        <v/>
      </c>
      <c r="M115" s="12" t="n"/>
      <c r="N115" s="12" t="n"/>
      <c r="O115" s="12" t="n"/>
    </row>
    <row r="116">
      <c r="A116" s="15" t="n"/>
      <c r="B116" s="12" t="n"/>
      <c r="C116" s="12" t="n"/>
      <c r="D116" s="12" t="n"/>
      <c r="E116" s="12" t="n"/>
      <c r="F116" s="14" t="n"/>
      <c r="G116" s="14" t="n"/>
      <c r="H116" s="13">
        <f>IFERROR(VLOOKUP(D116,LaborRates,6,FALSE),"")</f>
        <v/>
      </c>
      <c r="I116" s="13">
        <f>IFERROR(VLOOKUP(D116,LaborRates,7,FALSE),"")</f>
        <v/>
      </c>
      <c r="J116" s="13">
        <f>IF(OR(F116="",H116=""),"",F116*H116)</f>
        <v/>
      </c>
      <c r="K116" s="13">
        <f>IF(OR(G116="",I116=""),"",G116*I116)</f>
        <v/>
      </c>
      <c r="L116" s="13">
        <f>IF(J116="",K116,IF(K116="",J116,J116+K116))</f>
        <v/>
      </c>
      <c r="M116" s="12" t="n"/>
      <c r="N116" s="12" t="n"/>
      <c r="O116" s="12" t="n"/>
    </row>
    <row r="117">
      <c r="A117" s="15" t="n"/>
      <c r="B117" s="12" t="n"/>
      <c r="C117" s="12" t="n"/>
      <c r="D117" s="12" t="n"/>
      <c r="E117" s="12" t="n"/>
      <c r="F117" s="14" t="n"/>
      <c r="G117" s="14" t="n"/>
      <c r="H117" s="13">
        <f>IFERROR(VLOOKUP(D117,LaborRates,6,FALSE),"")</f>
        <v/>
      </c>
      <c r="I117" s="13">
        <f>IFERROR(VLOOKUP(D117,LaborRates,7,FALSE),"")</f>
        <v/>
      </c>
      <c r="J117" s="13">
        <f>IF(OR(F117="",H117=""),"",F117*H117)</f>
        <v/>
      </c>
      <c r="K117" s="13">
        <f>IF(OR(G117="",I117=""),"",G117*I117)</f>
        <v/>
      </c>
      <c r="L117" s="13">
        <f>IF(J117="",K117,IF(K117="",J117,J117+K117))</f>
        <v/>
      </c>
      <c r="M117" s="12" t="n"/>
      <c r="N117" s="12" t="n"/>
      <c r="O117" s="12" t="n"/>
    </row>
    <row r="118">
      <c r="A118" s="15" t="n"/>
      <c r="B118" s="12" t="n"/>
      <c r="C118" s="12" t="n"/>
      <c r="D118" s="12" t="n"/>
      <c r="E118" s="12" t="n"/>
      <c r="F118" s="14" t="n"/>
      <c r="G118" s="14" t="n"/>
      <c r="H118" s="13">
        <f>IFERROR(VLOOKUP(D118,LaborRates,6,FALSE),"")</f>
        <v/>
      </c>
      <c r="I118" s="13">
        <f>IFERROR(VLOOKUP(D118,LaborRates,7,FALSE),"")</f>
        <v/>
      </c>
      <c r="J118" s="13">
        <f>IF(OR(F118="",H118=""),"",F118*H118)</f>
        <v/>
      </c>
      <c r="K118" s="13">
        <f>IF(OR(G118="",I118=""),"",G118*I118)</f>
        <v/>
      </c>
      <c r="L118" s="13">
        <f>IF(J118="",K118,IF(K118="",J118,J118+K118))</f>
        <v/>
      </c>
      <c r="M118" s="12" t="n"/>
      <c r="N118" s="12" t="n"/>
      <c r="O118" s="12" t="n"/>
    </row>
    <row r="119">
      <c r="A119" s="15" t="n"/>
      <c r="B119" s="12" t="n"/>
      <c r="C119" s="12" t="n"/>
      <c r="D119" s="12" t="n"/>
      <c r="E119" s="12" t="n"/>
      <c r="F119" s="14" t="n"/>
      <c r="G119" s="14" t="n"/>
      <c r="H119" s="13">
        <f>IFERROR(VLOOKUP(D119,LaborRates,6,FALSE),"")</f>
        <v/>
      </c>
      <c r="I119" s="13">
        <f>IFERROR(VLOOKUP(D119,LaborRates,7,FALSE),"")</f>
        <v/>
      </c>
      <c r="J119" s="13">
        <f>IF(OR(F119="",H119=""),"",F119*H119)</f>
        <v/>
      </c>
      <c r="K119" s="13">
        <f>IF(OR(G119="",I119=""),"",G119*I119)</f>
        <v/>
      </c>
      <c r="L119" s="13">
        <f>IF(J119="",K119,IF(K119="",J119,J119+K119))</f>
        <v/>
      </c>
      <c r="M119" s="12" t="n"/>
      <c r="N119" s="12" t="n"/>
      <c r="O119" s="12" t="n"/>
    </row>
    <row r="120">
      <c r="A120" s="15" t="n"/>
      <c r="B120" s="12" t="n"/>
      <c r="C120" s="12" t="n"/>
      <c r="D120" s="12" t="n"/>
      <c r="E120" s="12" t="n"/>
      <c r="F120" s="14" t="n"/>
      <c r="G120" s="14" t="n"/>
      <c r="H120" s="13">
        <f>IFERROR(VLOOKUP(D120,LaborRates,6,FALSE),"")</f>
        <v/>
      </c>
      <c r="I120" s="13">
        <f>IFERROR(VLOOKUP(D120,LaborRates,7,FALSE),"")</f>
        <v/>
      </c>
      <c r="J120" s="13">
        <f>IF(OR(F120="",H120=""),"",F120*H120)</f>
        <v/>
      </c>
      <c r="K120" s="13">
        <f>IF(OR(G120="",I120=""),"",G120*I120)</f>
        <v/>
      </c>
      <c r="L120" s="13">
        <f>IF(J120="",K120,IF(K120="",J120,J120+K120))</f>
        <v/>
      </c>
      <c r="M120" s="12" t="n"/>
      <c r="N120" s="12" t="n"/>
      <c r="O120" s="12" t="n"/>
    </row>
    <row r="121">
      <c r="A121" s="15" t="n"/>
      <c r="B121" s="12" t="n"/>
      <c r="C121" s="12" t="n"/>
      <c r="D121" s="12" t="n"/>
      <c r="E121" s="12" t="n"/>
      <c r="F121" s="14" t="n"/>
      <c r="G121" s="14" t="n"/>
      <c r="H121" s="13">
        <f>IFERROR(VLOOKUP(D121,LaborRates,6,FALSE),"")</f>
        <v/>
      </c>
      <c r="I121" s="13">
        <f>IFERROR(VLOOKUP(D121,LaborRates,7,FALSE),"")</f>
        <v/>
      </c>
      <c r="J121" s="13">
        <f>IF(OR(F121="",H121=""),"",F121*H121)</f>
        <v/>
      </c>
      <c r="K121" s="13">
        <f>IF(OR(G121="",I121=""),"",G121*I121)</f>
        <v/>
      </c>
      <c r="L121" s="13">
        <f>IF(J121="",K121,IF(K121="",J121,J121+K121))</f>
        <v/>
      </c>
      <c r="M121" s="12" t="n"/>
      <c r="N121" s="12" t="n"/>
      <c r="O121" s="12" t="n"/>
    </row>
    <row r="122">
      <c r="A122" s="15" t="n"/>
      <c r="B122" s="12" t="n"/>
      <c r="C122" s="12" t="n"/>
      <c r="D122" s="12" t="n"/>
      <c r="E122" s="12" t="n"/>
      <c r="F122" s="14" t="n"/>
      <c r="G122" s="14" t="n"/>
      <c r="H122" s="13">
        <f>IFERROR(VLOOKUP(D122,LaborRates,6,FALSE),"")</f>
        <v/>
      </c>
      <c r="I122" s="13">
        <f>IFERROR(VLOOKUP(D122,LaborRates,7,FALSE),"")</f>
        <v/>
      </c>
      <c r="J122" s="13">
        <f>IF(OR(F122="",H122=""),"",F122*H122)</f>
        <v/>
      </c>
      <c r="K122" s="13">
        <f>IF(OR(G122="",I122=""),"",G122*I122)</f>
        <v/>
      </c>
      <c r="L122" s="13">
        <f>IF(J122="",K122,IF(K122="",J122,J122+K122))</f>
        <v/>
      </c>
      <c r="M122" s="12" t="n"/>
      <c r="N122" s="12" t="n"/>
      <c r="O122" s="12" t="n"/>
    </row>
    <row r="123">
      <c r="A123" s="15" t="n"/>
      <c r="B123" s="12" t="n"/>
      <c r="C123" s="12" t="n"/>
      <c r="D123" s="12" t="n"/>
      <c r="E123" s="12" t="n"/>
      <c r="F123" s="14" t="n"/>
      <c r="G123" s="14" t="n"/>
      <c r="H123" s="13">
        <f>IFERROR(VLOOKUP(D123,LaborRates,6,FALSE),"")</f>
        <v/>
      </c>
      <c r="I123" s="13">
        <f>IFERROR(VLOOKUP(D123,LaborRates,7,FALSE),"")</f>
        <v/>
      </c>
      <c r="J123" s="13">
        <f>IF(OR(F123="",H123=""),"",F123*H123)</f>
        <v/>
      </c>
      <c r="K123" s="13">
        <f>IF(OR(G123="",I123=""),"",G123*I123)</f>
        <v/>
      </c>
      <c r="L123" s="13">
        <f>IF(J123="",K123,IF(K123="",J123,J123+K123))</f>
        <v/>
      </c>
      <c r="M123" s="12" t="n"/>
      <c r="N123" s="12" t="n"/>
      <c r="O123" s="12" t="n"/>
    </row>
    <row r="124">
      <c r="A124" s="15" t="n"/>
      <c r="B124" s="12" t="n"/>
      <c r="C124" s="12" t="n"/>
      <c r="D124" s="12" t="n"/>
      <c r="E124" s="12" t="n"/>
      <c r="F124" s="14" t="n"/>
      <c r="G124" s="14" t="n"/>
      <c r="H124" s="13">
        <f>IFERROR(VLOOKUP(D124,LaborRates,6,FALSE),"")</f>
        <v/>
      </c>
      <c r="I124" s="13">
        <f>IFERROR(VLOOKUP(D124,LaborRates,7,FALSE),"")</f>
        <v/>
      </c>
      <c r="J124" s="13">
        <f>IF(OR(F124="",H124=""),"",F124*H124)</f>
        <v/>
      </c>
      <c r="K124" s="13">
        <f>IF(OR(G124="",I124=""),"",G124*I124)</f>
        <v/>
      </c>
      <c r="L124" s="13">
        <f>IF(J124="",K124,IF(K124="",J124,J124+K124))</f>
        <v/>
      </c>
      <c r="M124" s="12" t="n"/>
      <c r="N124" s="12" t="n"/>
      <c r="O124" s="12" t="n"/>
    </row>
    <row r="125">
      <c r="A125" s="15" t="n"/>
      <c r="B125" s="12" t="n"/>
      <c r="C125" s="12" t="n"/>
      <c r="D125" s="12" t="n"/>
      <c r="E125" s="12" t="n"/>
      <c r="F125" s="14" t="n"/>
      <c r="G125" s="14" t="n"/>
      <c r="H125" s="13">
        <f>IFERROR(VLOOKUP(D125,LaborRates,6,FALSE),"")</f>
        <v/>
      </c>
      <c r="I125" s="13">
        <f>IFERROR(VLOOKUP(D125,LaborRates,7,FALSE),"")</f>
        <v/>
      </c>
      <c r="J125" s="13">
        <f>IF(OR(F125="",H125=""),"",F125*H125)</f>
        <v/>
      </c>
      <c r="K125" s="13">
        <f>IF(OR(G125="",I125=""),"",G125*I125)</f>
        <v/>
      </c>
      <c r="L125" s="13">
        <f>IF(J125="",K125,IF(K125="",J125,J125+K125))</f>
        <v/>
      </c>
      <c r="M125" s="12" t="n"/>
      <c r="N125" s="12" t="n"/>
      <c r="O125" s="12" t="n"/>
    </row>
    <row r="126">
      <c r="A126" s="15" t="n"/>
      <c r="B126" s="12" t="n"/>
      <c r="C126" s="12" t="n"/>
      <c r="D126" s="12" t="n"/>
      <c r="E126" s="12" t="n"/>
      <c r="F126" s="14" t="n"/>
      <c r="G126" s="14" t="n"/>
      <c r="H126" s="13">
        <f>IFERROR(VLOOKUP(D126,LaborRates,6,FALSE),"")</f>
        <v/>
      </c>
      <c r="I126" s="13">
        <f>IFERROR(VLOOKUP(D126,LaborRates,7,FALSE),"")</f>
        <v/>
      </c>
      <c r="J126" s="13">
        <f>IF(OR(F126="",H126=""),"",F126*H126)</f>
        <v/>
      </c>
      <c r="K126" s="13">
        <f>IF(OR(G126="",I126=""),"",G126*I126)</f>
        <v/>
      </c>
      <c r="L126" s="13">
        <f>IF(J126="",K126,IF(K126="",J126,J126+K126))</f>
        <v/>
      </c>
      <c r="M126" s="12" t="n"/>
      <c r="N126" s="12" t="n"/>
      <c r="O126" s="12" t="n"/>
    </row>
    <row r="127">
      <c r="A127" s="15" t="n"/>
      <c r="B127" s="12" t="n"/>
      <c r="C127" s="12" t="n"/>
      <c r="D127" s="12" t="n"/>
      <c r="E127" s="12" t="n"/>
      <c r="F127" s="14" t="n"/>
      <c r="G127" s="14" t="n"/>
      <c r="H127" s="13">
        <f>IFERROR(VLOOKUP(D127,LaborRates,6,FALSE),"")</f>
        <v/>
      </c>
      <c r="I127" s="13">
        <f>IFERROR(VLOOKUP(D127,LaborRates,7,FALSE),"")</f>
        <v/>
      </c>
      <c r="J127" s="13">
        <f>IF(OR(F127="",H127=""),"",F127*H127)</f>
        <v/>
      </c>
      <c r="K127" s="13">
        <f>IF(OR(G127="",I127=""),"",G127*I127)</f>
        <v/>
      </c>
      <c r="L127" s="13">
        <f>IF(J127="",K127,IF(K127="",J127,J127+K127))</f>
        <v/>
      </c>
      <c r="M127" s="12" t="n"/>
      <c r="N127" s="12" t="n"/>
      <c r="O127" s="12" t="n"/>
    </row>
    <row r="128">
      <c r="A128" s="15" t="n"/>
      <c r="B128" s="12" t="n"/>
      <c r="C128" s="12" t="n"/>
      <c r="D128" s="12" t="n"/>
      <c r="E128" s="12" t="n"/>
      <c r="F128" s="14" t="n"/>
      <c r="G128" s="14" t="n"/>
      <c r="H128" s="13">
        <f>IFERROR(VLOOKUP(D128,LaborRates,6,FALSE),"")</f>
        <v/>
      </c>
      <c r="I128" s="13">
        <f>IFERROR(VLOOKUP(D128,LaborRates,7,FALSE),"")</f>
        <v/>
      </c>
      <c r="J128" s="13">
        <f>IF(OR(F128="",H128=""),"",F128*H128)</f>
        <v/>
      </c>
      <c r="K128" s="13">
        <f>IF(OR(G128="",I128=""),"",G128*I128)</f>
        <v/>
      </c>
      <c r="L128" s="13">
        <f>IF(J128="",K128,IF(K128="",J128,J128+K128))</f>
        <v/>
      </c>
      <c r="M128" s="12" t="n"/>
      <c r="N128" s="12" t="n"/>
      <c r="O128" s="12" t="n"/>
    </row>
    <row r="129">
      <c r="A129" s="15" t="n"/>
      <c r="B129" s="12" t="n"/>
      <c r="C129" s="12" t="n"/>
      <c r="D129" s="12" t="n"/>
      <c r="E129" s="12" t="n"/>
      <c r="F129" s="14" t="n"/>
      <c r="G129" s="14" t="n"/>
      <c r="H129" s="13">
        <f>IFERROR(VLOOKUP(D129,LaborRates,6,FALSE),"")</f>
        <v/>
      </c>
      <c r="I129" s="13">
        <f>IFERROR(VLOOKUP(D129,LaborRates,7,FALSE),"")</f>
        <v/>
      </c>
      <c r="J129" s="13">
        <f>IF(OR(F129="",H129=""),"",F129*H129)</f>
        <v/>
      </c>
      <c r="K129" s="13">
        <f>IF(OR(G129="",I129=""),"",G129*I129)</f>
        <v/>
      </c>
      <c r="L129" s="13">
        <f>IF(J129="",K129,IF(K129="",J129,J129+K129))</f>
        <v/>
      </c>
      <c r="M129" s="12" t="n"/>
      <c r="N129" s="12" t="n"/>
      <c r="O129" s="12" t="n"/>
    </row>
    <row r="130">
      <c r="A130" s="15" t="n"/>
      <c r="B130" s="12" t="n"/>
      <c r="C130" s="12" t="n"/>
      <c r="D130" s="12" t="n"/>
      <c r="E130" s="12" t="n"/>
      <c r="F130" s="14" t="n"/>
      <c r="G130" s="14" t="n"/>
      <c r="H130" s="13">
        <f>IFERROR(VLOOKUP(D130,LaborRates,6,FALSE),"")</f>
        <v/>
      </c>
      <c r="I130" s="13">
        <f>IFERROR(VLOOKUP(D130,LaborRates,7,FALSE),"")</f>
        <v/>
      </c>
      <c r="J130" s="13">
        <f>IF(OR(F130="",H130=""),"",F130*H130)</f>
        <v/>
      </c>
      <c r="K130" s="13">
        <f>IF(OR(G130="",I130=""),"",G130*I130)</f>
        <v/>
      </c>
      <c r="L130" s="13">
        <f>IF(J130="",K130,IF(K130="",J130,J130+K130))</f>
        <v/>
      </c>
      <c r="M130" s="12" t="n"/>
      <c r="N130" s="12" t="n"/>
      <c r="O130" s="12" t="n"/>
    </row>
    <row r="131">
      <c r="A131" s="15" t="n"/>
      <c r="B131" s="12" t="n"/>
      <c r="C131" s="12" t="n"/>
      <c r="D131" s="12" t="n"/>
      <c r="E131" s="12" t="n"/>
      <c r="F131" s="14" t="n"/>
      <c r="G131" s="14" t="n"/>
      <c r="H131" s="13">
        <f>IFERROR(VLOOKUP(D131,LaborRates,6,FALSE),"")</f>
        <v/>
      </c>
      <c r="I131" s="13">
        <f>IFERROR(VLOOKUP(D131,LaborRates,7,FALSE),"")</f>
        <v/>
      </c>
      <c r="J131" s="13">
        <f>IF(OR(F131="",H131=""),"",F131*H131)</f>
        <v/>
      </c>
      <c r="K131" s="13">
        <f>IF(OR(G131="",I131=""),"",G131*I131)</f>
        <v/>
      </c>
      <c r="L131" s="13">
        <f>IF(J131="",K131,IF(K131="",J131,J131+K131))</f>
        <v/>
      </c>
      <c r="M131" s="12" t="n"/>
      <c r="N131" s="12" t="n"/>
      <c r="O131" s="12" t="n"/>
    </row>
    <row r="132">
      <c r="A132" s="15" t="n"/>
      <c r="B132" s="12" t="n"/>
      <c r="C132" s="12" t="n"/>
      <c r="D132" s="12" t="n"/>
      <c r="E132" s="12" t="n"/>
      <c r="F132" s="14" t="n"/>
      <c r="G132" s="14" t="n"/>
      <c r="H132" s="13">
        <f>IFERROR(VLOOKUP(D132,LaborRates,6,FALSE),"")</f>
        <v/>
      </c>
      <c r="I132" s="13">
        <f>IFERROR(VLOOKUP(D132,LaborRates,7,FALSE),"")</f>
        <v/>
      </c>
      <c r="J132" s="13">
        <f>IF(OR(F132="",H132=""),"",F132*H132)</f>
        <v/>
      </c>
      <c r="K132" s="13">
        <f>IF(OR(G132="",I132=""),"",G132*I132)</f>
        <v/>
      </c>
      <c r="L132" s="13">
        <f>IF(J132="",K132,IF(K132="",J132,J132+K132))</f>
        <v/>
      </c>
      <c r="M132" s="12" t="n"/>
      <c r="N132" s="12" t="n"/>
      <c r="O132" s="12" t="n"/>
    </row>
    <row r="133">
      <c r="A133" s="15" t="n"/>
      <c r="B133" s="12" t="n"/>
      <c r="C133" s="12" t="n"/>
      <c r="D133" s="12" t="n"/>
      <c r="E133" s="12" t="n"/>
      <c r="F133" s="14" t="n"/>
      <c r="G133" s="14" t="n"/>
      <c r="H133" s="13">
        <f>IFERROR(VLOOKUP(D133,LaborRates,6,FALSE),"")</f>
        <v/>
      </c>
      <c r="I133" s="13">
        <f>IFERROR(VLOOKUP(D133,LaborRates,7,FALSE),"")</f>
        <v/>
      </c>
      <c r="J133" s="13">
        <f>IF(OR(F133="",H133=""),"",F133*H133)</f>
        <v/>
      </c>
      <c r="K133" s="13">
        <f>IF(OR(G133="",I133=""),"",G133*I133)</f>
        <v/>
      </c>
      <c r="L133" s="13">
        <f>IF(J133="",K133,IF(K133="",J133,J133+K133))</f>
        <v/>
      </c>
      <c r="M133" s="12" t="n"/>
      <c r="N133" s="12" t="n"/>
      <c r="O133" s="12" t="n"/>
    </row>
    <row r="134">
      <c r="A134" s="15" t="n"/>
      <c r="B134" s="12" t="n"/>
      <c r="C134" s="12" t="n"/>
      <c r="D134" s="12" t="n"/>
      <c r="E134" s="12" t="n"/>
      <c r="F134" s="14" t="n"/>
      <c r="G134" s="14" t="n"/>
      <c r="H134" s="13">
        <f>IFERROR(VLOOKUP(D134,LaborRates,6,FALSE),"")</f>
        <v/>
      </c>
      <c r="I134" s="13">
        <f>IFERROR(VLOOKUP(D134,LaborRates,7,FALSE),"")</f>
        <v/>
      </c>
      <c r="J134" s="13">
        <f>IF(OR(F134="",H134=""),"",F134*H134)</f>
        <v/>
      </c>
      <c r="K134" s="13">
        <f>IF(OR(G134="",I134=""),"",G134*I134)</f>
        <v/>
      </c>
      <c r="L134" s="13">
        <f>IF(J134="",K134,IF(K134="",J134,J134+K134))</f>
        <v/>
      </c>
      <c r="M134" s="12" t="n"/>
      <c r="N134" s="12" t="n"/>
      <c r="O134" s="12" t="n"/>
    </row>
    <row r="135">
      <c r="A135" s="15" t="n"/>
      <c r="B135" s="12" t="n"/>
      <c r="C135" s="12" t="n"/>
      <c r="D135" s="12" t="n"/>
      <c r="E135" s="12" t="n"/>
      <c r="F135" s="14" t="n"/>
      <c r="G135" s="14" t="n"/>
      <c r="H135" s="13">
        <f>IFERROR(VLOOKUP(D135,LaborRates,6,FALSE),"")</f>
        <v/>
      </c>
      <c r="I135" s="13">
        <f>IFERROR(VLOOKUP(D135,LaborRates,7,FALSE),"")</f>
        <v/>
      </c>
      <c r="J135" s="13">
        <f>IF(OR(F135="",H135=""),"",F135*H135)</f>
        <v/>
      </c>
      <c r="K135" s="13">
        <f>IF(OR(G135="",I135=""),"",G135*I135)</f>
        <v/>
      </c>
      <c r="L135" s="13">
        <f>IF(J135="",K135,IF(K135="",J135,J135+K135))</f>
        <v/>
      </c>
      <c r="M135" s="12" t="n"/>
      <c r="N135" s="12" t="n"/>
      <c r="O135" s="12" t="n"/>
    </row>
    <row r="136">
      <c r="A136" s="15" t="n"/>
      <c r="B136" s="12" t="n"/>
      <c r="C136" s="12" t="n"/>
      <c r="D136" s="12" t="n"/>
      <c r="E136" s="12" t="n"/>
      <c r="F136" s="14" t="n"/>
      <c r="G136" s="14" t="n"/>
      <c r="H136" s="13">
        <f>IFERROR(VLOOKUP(D136,LaborRates,6,FALSE),"")</f>
        <v/>
      </c>
      <c r="I136" s="13">
        <f>IFERROR(VLOOKUP(D136,LaborRates,7,FALSE),"")</f>
        <v/>
      </c>
      <c r="J136" s="13">
        <f>IF(OR(F136="",H136=""),"",F136*H136)</f>
        <v/>
      </c>
      <c r="K136" s="13">
        <f>IF(OR(G136="",I136=""),"",G136*I136)</f>
        <v/>
      </c>
      <c r="L136" s="13">
        <f>IF(J136="",K136,IF(K136="",J136,J136+K136))</f>
        <v/>
      </c>
      <c r="M136" s="12" t="n"/>
      <c r="N136" s="12" t="n"/>
      <c r="O136" s="12" t="n"/>
    </row>
    <row r="137">
      <c r="A137" s="15" t="n"/>
      <c r="B137" s="12" t="n"/>
      <c r="C137" s="12" t="n"/>
      <c r="D137" s="12" t="n"/>
      <c r="E137" s="12" t="n"/>
      <c r="F137" s="14" t="n"/>
      <c r="G137" s="14" t="n"/>
      <c r="H137" s="13">
        <f>IFERROR(VLOOKUP(D137,LaborRates,6,FALSE),"")</f>
        <v/>
      </c>
      <c r="I137" s="13">
        <f>IFERROR(VLOOKUP(D137,LaborRates,7,FALSE),"")</f>
        <v/>
      </c>
      <c r="J137" s="13">
        <f>IF(OR(F137="",H137=""),"",F137*H137)</f>
        <v/>
      </c>
      <c r="K137" s="13">
        <f>IF(OR(G137="",I137=""),"",G137*I137)</f>
        <v/>
      </c>
      <c r="L137" s="13">
        <f>IF(J137="",K137,IF(K137="",J137,J137+K137))</f>
        <v/>
      </c>
      <c r="M137" s="12" t="n"/>
      <c r="N137" s="12" t="n"/>
      <c r="O137" s="12" t="n"/>
    </row>
    <row r="138">
      <c r="A138" s="15" t="n"/>
      <c r="B138" s="12" t="n"/>
      <c r="C138" s="12" t="n"/>
      <c r="D138" s="12" t="n"/>
      <c r="E138" s="12" t="n"/>
      <c r="F138" s="14" t="n"/>
      <c r="G138" s="14" t="n"/>
      <c r="H138" s="13">
        <f>IFERROR(VLOOKUP(D138,LaborRates,6,FALSE),"")</f>
        <v/>
      </c>
      <c r="I138" s="13">
        <f>IFERROR(VLOOKUP(D138,LaborRates,7,FALSE),"")</f>
        <v/>
      </c>
      <c r="J138" s="13">
        <f>IF(OR(F138="",H138=""),"",F138*H138)</f>
        <v/>
      </c>
      <c r="K138" s="13">
        <f>IF(OR(G138="",I138=""),"",G138*I138)</f>
        <v/>
      </c>
      <c r="L138" s="13">
        <f>IF(J138="",K138,IF(K138="",J138,J138+K138))</f>
        <v/>
      </c>
      <c r="M138" s="12" t="n"/>
      <c r="N138" s="12" t="n"/>
      <c r="O138" s="12" t="n"/>
    </row>
    <row r="139">
      <c r="A139" s="15" t="n"/>
      <c r="B139" s="12" t="n"/>
      <c r="C139" s="12" t="n"/>
      <c r="D139" s="12" t="n"/>
      <c r="E139" s="12" t="n"/>
      <c r="F139" s="14" t="n"/>
      <c r="G139" s="14" t="n"/>
      <c r="H139" s="13">
        <f>IFERROR(VLOOKUP(D139,LaborRates,6,FALSE),"")</f>
        <v/>
      </c>
      <c r="I139" s="13">
        <f>IFERROR(VLOOKUP(D139,LaborRates,7,FALSE),"")</f>
        <v/>
      </c>
      <c r="J139" s="13">
        <f>IF(OR(F139="",H139=""),"",F139*H139)</f>
        <v/>
      </c>
      <c r="K139" s="13">
        <f>IF(OR(G139="",I139=""),"",G139*I139)</f>
        <v/>
      </c>
      <c r="L139" s="13">
        <f>IF(J139="",K139,IF(K139="",J139,J139+K139))</f>
        <v/>
      </c>
      <c r="M139" s="12" t="n"/>
      <c r="N139" s="12" t="n"/>
      <c r="O139" s="12" t="n"/>
    </row>
    <row r="140">
      <c r="A140" s="15" t="n"/>
      <c r="B140" s="12" t="n"/>
      <c r="C140" s="12" t="n"/>
      <c r="D140" s="12" t="n"/>
      <c r="E140" s="12" t="n"/>
      <c r="F140" s="14" t="n"/>
      <c r="G140" s="14" t="n"/>
      <c r="H140" s="13">
        <f>IFERROR(VLOOKUP(D140,LaborRates,6,FALSE),"")</f>
        <v/>
      </c>
      <c r="I140" s="13">
        <f>IFERROR(VLOOKUP(D140,LaborRates,7,FALSE),"")</f>
        <v/>
      </c>
      <c r="J140" s="13">
        <f>IF(OR(F140="",H140=""),"",F140*H140)</f>
        <v/>
      </c>
      <c r="K140" s="13">
        <f>IF(OR(G140="",I140=""),"",G140*I140)</f>
        <v/>
      </c>
      <c r="L140" s="13">
        <f>IF(J140="",K140,IF(K140="",J140,J140+K140))</f>
        <v/>
      </c>
      <c r="M140" s="12" t="n"/>
      <c r="N140" s="12" t="n"/>
      <c r="O140" s="12" t="n"/>
    </row>
    <row r="141">
      <c r="A141" s="15" t="n"/>
      <c r="B141" s="12" t="n"/>
      <c r="C141" s="12" t="n"/>
      <c r="D141" s="12" t="n"/>
      <c r="E141" s="12" t="n"/>
      <c r="F141" s="14" t="n"/>
      <c r="G141" s="14" t="n"/>
      <c r="H141" s="13">
        <f>IFERROR(VLOOKUP(D141,LaborRates,6,FALSE),"")</f>
        <v/>
      </c>
      <c r="I141" s="13">
        <f>IFERROR(VLOOKUP(D141,LaborRates,7,FALSE),"")</f>
        <v/>
      </c>
      <c r="J141" s="13">
        <f>IF(OR(F141="",H141=""),"",F141*H141)</f>
        <v/>
      </c>
      <c r="K141" s="13">
        <f>IF(OR(G141="",I141=""),"",G141*I141)</f>
        <v/>
      </c>
      <c r="L141" s="13">
        <f>IF(J141="",K141,IF(K141="",J141,J141+K141))</f>
        <v/>
      </c>
      <c r="M141" s="12" t="n"/>
      <c r="N141" s="12" t="n"/>
      <c r="O141" s="12" t="n"/>
    </row>
    <row r="142">
      <c r="A142" s="15" t="n"/>
      <c r="B142" s="12" t="n"/>
      <c r="C142" s="12" t="n"/>
      <c r="D142" s="12" t="n"/>
      <c r="E142" s="12" t="n"/>
      <c r="F142" s="14" t="n"/>
      <c r="G142" s="14" t="n"/>
      <c r="H142" s="13">
        <f>IFERROR(VLOOKUP(D142,LaborRates,6,FALSE),"")</f>
        <v/>
      </c>
      <c r="I142" s="13">
        <f>IFERROR(VLOOKUP(D142,LaborRates,7,FALSE),"")</f>
        <v/>
      </c>
      <c r="J142" s="13">
        <f>IF(OR(F142="",H142=""),"",F142*H142)</f>
        <v/>
      </c>
      <c r="K142" s="13">
        <f>IF(OR(G142="",I142=""),"",G142*I142)</f>
        <v/>
      </c>
      <c r="L142" s="13">
        <f>IF(J142="",K142,IF(K142="",J142,J142+K142))</f>
        <v/>
      </c>
      <c r="M142" s="12" t="n"/>
      <c r="N142" s="12" t="n"/>
      <c r="O142" s="12" t="n"/>
    </row>
    <row r="143">
      <c r="A143" s="15" t="n"/>
      <c r="B143" s="12" t="n"/>
      <c r="C143" s="12" t="n"/>
      <c r="D143" s="12" t="n"/>
      <c r="E143" s="12" t="n"/>
      <c r="F143" s="14" t="n"/>
      <c r="G143" s="14" t="n"/>
      <c r="H143" s="13">
        <f>IFERROR(VLOOKUP(D143,LaborRates,6,FALSE),"")</f>
        <v/>
      </c>
      <c r="I143" s="13">
        <f>IFERROR(VLOOKUP(D143,LaborRates,7,FALSE),"")</f>
        <v/>
      </c>
      <c r="J143" s="13">
        <f>IF(OR(F143="",H143=""),"",F143*H143)</f>
        <v/>
      </c>
      <c r="K143" s="13">
        <f>IF(OR(G143="",I143=""),"",G143*I143)</f>
        <v/>
      </c>
      <c r="L143" s="13">
        <f>IF(J143="",K143,IF(K143="",J143,J143+K143))</f>
        <v/>
      </c>
      <c r="M143" s="12" t="n"/>
      <c r="N143" s="12" t="n"/>
      <c r="O143" s="12" t="n"/>
    </row>
    <row r="144">
      <c r="A144" s="15" t="n"/>
      <c r="B144" s="12" t="n"/>
      <c r="C144" s="12" t="n"/>
      <c r="D144" s="12" t="n"/>
      <c r="E144" s="12" t="n"/>
      <c r="F144" s="14" t="n"/>
      <c r="G144" s="14" t="n"/>
      <c r="H144" s="13">
        <f>IFERROR(VLOOKUP(D144,LaborRates,6,FALSE),"")</f>
        <v/>
      </c>
      <c r="I144" s="13">
        <f>IFERROR(VLOOKUP(D144,LaborRates,7,FALSE),"")</f>
        <v/>
      </c>
      <c r="J144" s="13">
        <f>IF(OR(F144="",H144=""),"",F144*H144)</f>
        <v/>
      </c>
      <c r="K144" s="13">
        <f>IF(OR(G144="",I144=""),"",G144*I144)</f>
        <v/>
      </c>
      <c r="L144" s="13">
        <f>IF(J144="",K144,IF(K144="",J144,J144+K144))</f>
        <v/>
      </c>
      <c r="M144" s="12" t="n"/>
      <c r="N144" s="12" t="n"/>
      <c r="O144" s="12" t="n"/>
    </row>
    <row r="145">
      <c r="A145" s="15" t="n"/>
      <c r="B145" s="12" t="n"/>
      <c r="C145" s="12" t="n"/>
      <c r="D145" s="12" t="n"/>
      <c r="E145" s="12" t="n"/>
      <c r="F145" s="14" t="n"/>
      <c r="G145" s="14" t="n"/>
      <c r="H145" s="13">
        <f>IFERROR(VLOOKUP(D145,LaborRates,6,FALSE),"")</f>
        <v/>
      </c>
      <c r="I145" s="13">
        <f>IFERROR(VLOOKUP(D145,LaborRates,7,FALSE),"")</f>
        <v/>
      </c>
      <c r="J145" s="13">
        <f>IF(OR(F145="",H145=""),"",F145*H145)</f>
        <v/>
      </c>
      <c r="K145" s="13">
        <f>IF(OR(G145="",I145=""),"",G145*I145)</f>
        <v/>
      </c>
      <c r="L145" s="13">
        <f>IF(J145="",K145,IF(K145="",J145,J145+K145))</f>
        <v/>
      </c>
      <c r="M145" s="12" t="n"/>
      <c r="N145" s="12" t="n"/>
      <c r="O145" s="12" t="n"/>
    </row>
    <row r="146">
      <c r="A146" s="15" t="n"/>
      <c r="B146" s="12" t="n"/>
      <c r="C146" s="12" t="n"/>
      <c r="D146" s="12" t="n"/>
      <c r="E146" s="12" t="n"/>
      <c r="F146" s="14" t="n"/>
      <c r="G146" s="14" t="n"/>
      <c r="H146" s="13">
        <f>IFERROR(VLOOKUP(D146,LaborRates,6,FALSE),"")</f>
        <v/>
      </c>
      <c r="I146" s="13">
        <f>IFERROR(VLOOKUP(D146,LaborRates,7,FALSE),"")</f>
        <v/>
      </c>
      <c r="J146" s="13">
        <f>IF(OR(F146="",H146=""),"",F146*H146)</f>
        <v/>
      </c>
      <c r="K146" s="13">
        <f>IF(OR(G146="",I146=""),"",G146*I146)</f>
        <v/>
      </c>
      <c r="L146" s="13">
        <f>IF(J146="",K146,IF(K146="",J146,J146+K146))</f>
        <v/>
      </c>
      <c r="M146" s="12" t="n"/>
      <c r="N146" s="12" t="n"/>
      <c r="O146" s="12" t="n"/>
    </row>
    <row r="147">
      <c r="A147" s="15" t="n"/>
      <c r="B147" s="12" t="n"/>
      <c r="C147" s="12" t="n"/>
      <c r="D147" s="12" t="n"/>
      <c r="E147" s="12" t="n"/>
      <c r="F147" s="14" t="n"/>
      <c r="G147" s="14" t="n"/>
      <c r="H147" s="13">
        <f>IFERROR(VLOOKUP(D147,LaborRates,6,FALSE),"")</f>
        <v/>
      </c>
      <c r="I147" s="13">
        <f>IFERROR(VLOOKUP(D147,LaborRates,7,FALSE),"")</f>
        <v/>
      </c>
      <c r="J147" s="13">
        <f>IF(OR(F147="",H147=""),"",F147*H147)</f>
        <v/>
      </c>
      <c r="K147" s="13">
        <f>IF(OR(G147="",I147=""),"",G147*I147)</f>
        <v/>
      </c>
      <c r="L147" s="13">
        <f>IF(J147="",K147,IF(K147="",J147,J147+K147))</f>
        <v/>
      </c>
      <c r="M147" s="12" t="n"/>
      <c r="N147" s="12" t="n"/>
      <c r="O147" s="12" t="n"/>
    </row>
    <row r="148">
      <c r="A148" s="15" t="n"/>
      <c r="B148" s="12" t="n"/>
      <c r="C148" s="12" t="n"/>
      <c r="D148" s="12" t="n"/>
      <c r="E148" s="12" t="n"/>
      <c r="F148" s="14" t="n"/>
      <c r="G148" s="14" t="n"/>
      <c r="H148" s="13">
        <f>IFERROR(VLOOKUP(D148,LaborRates,6,FALSE),"")</f>
        <v/>
      </c>
      <c r="I148" s="13">
        <f>IFERROR(VLOOKUP(D148,LaborRates,7,FALSE),"")</f>
        <v/>
      </c>
      <c r="J148" s="13">
        <f>IF(OR(F148="",H148=""),"",F148*H148)</f>
        <v/>
      </c>
      <c r="K148" s="13">
        <f>IF(OR(G148="",I148=""),"",G148*I148)</f>
        <v/>
      </c>
      <c r="L148" s="13">
        <f>IF(J148="",K148,IF(K148="",J148,J148+K148))</f>
        <v/>
      </c>
      <c r="M148" s="12" t="n"/>
      <c r="N148" s="12" t="n"/>
      <c r="O148" s="12" t="n"/>
    </row>
    <row r="149">
      <c r="A149" s="15" t="n"/>
      <c r="B149" s="12" t="n"/>
      <c r="C149" s="12" t="n"/>
      <c r="D149" s="12" t="n"/>
      <c r="E149" s="12" t="n"/>
      <c r="F149" s="14" t="n"/>
      <c r="G149" s="14" t="n"/>
      <c r="H149" s="13">
        <f>IFERROR(VLOOKUP(D149,LaborRates,6,FALSE),"")</f>
        <v/>
      </c>
      <c r="I149" s="13">
        <f>IFERROR(VLOOKUP(D149,LaborRates,7,FALSE),"")</f>
        <v/>
      </c>
      <c r="J149" s="13">
        <f>IF(OR(F149="",H149=""),"",F149*H149)</f>
        <v/>
      </c>
      <c r="K149" s="13">
        <f>IF(OR(G149="",I149=""),"",G149*I149)</f>
        <v/>
      </c>
      <c r="L149" s="13">
        <f>IF(J149="",K149,IF(K149="",J149,J149+K149))</f>
        <v/>
      </c>
      <c r="M149" s="12" t="n"/>
      <c r="N149" s="12" t="n"/>
      <c r="O149" s="12" t="n"/>
    </row>
    <row r="150">
      <c r="A150" s="15" t="n"/>
      <c r="B150" s="12" t="n"/>
      <c r="C150" s="12" t="n"/>
      <c r="D150" s="12" t="n"/>
      <c r="E150" s="12" t="n"/>
      <c r="F150" s="14" t="n"/>
      <c r="G150" s="14" t="n"/>
      <c r="H150" s="13">
        <f>IFERROR(VLOOKUP(D150,LaborRates,6,FALSE),"")</f>
        <v/>
      </c>
      <c r="I150" s="13">
        <f>IFERROR(VLOOKUP(D150,LaborRates,7,FALSE),"")</f>
        <v/>
      </c>
      <c r="J150" s="13">
        <f>IF(OR(F150="",H150=""),"",F150*H150)</f>
        <v/>
      </c>
      <c r="K150" s="13">
        <f>IF(OR(G150="",I150=""),"",G150*I150)</f>
        <v/>
      </c>
      <c r="L150" s="13">
        <f>IF(J150="",K150,IF(K150="",J150,J150+K150))</f>
        <v/>
      </c>
      <c r="M150" s="12" t="n"/>
      <c r="N150" s="12" t="n"/>
      <c r="O150" s="12" t="n"/>
    </row>
    <row r="151">
      <c r="A151" s="15" t="n"/>
      <c r="B151" s="12" t="n"/>
      <c r="C151" s="12" t="n"/>
      <c r="D151" s="12" t="n"/>
      <c r="E151" s="12" t="n"/>
      <c r="F151" s="14" t="n"/>
      <c r="G151" s="14" t="n"/>
      <c r="H151" s="13">
        <f>IFERROR(VLOOKUP(D151,LaborRates,6,FALSE),"")</f>
        <v/>
      </c>
      <c r="I151" s="13">
        <f>IFERROR(VLOOKUP(D151,LaborRates,7,FALSE),"")</f>
        <v/>
      </c>
      <c r="J151" s="13">
        <f>IF(OR(F151="",H151=""),"",F151*H151)</f>
        <v/>
      </c>
      <c r="K151" s="13">
        <f>IF(OR(G151="",I151=""),"",G151*I151)</f>
        <v/>
      </c>
      <c r="L151" s="13">
        <f>IF(J151="",K151,IF(K151="",J151,J151+K151))</f>
        <v/>
      </c>
      <c r="M151" s="12" t="n"/>
      <c r="N151" s="12" t="n"/>
      <c r="O151" s="12" t="n"/>
    </row>
    <row r="152">
      <c r="A152" s="15" t="n"/>
      <c r="B152" s="12" t="n"/>
      <c r="C152" s="12" t="n"/>
      <c r="D152" s="12" t="n"/>
      <c r="E152" s="12" t="n"/>
      <c r="F152" s="14" t="n"/>
      <c r="G152" s="14" t="n"/>
      <c r="H152" s="13">
        <f>IFERROR(VLOOKUP(D152,LaborRates,6,FALSE),"")</f>
        <v/>
      </c>
      <c r="I152" s="13">
        <f>IFERROR(VLOOKUP(D152,LaborRates,7,FALSE),"")</f>
        <v/>
      </c>
      <c r="J152" s="13">
        <f>IF(OR(F152="",H152=""),"",F152*H152)</f>
        <v/>
      </c>
      <c r="K152" s="13">
        <f>IF(OR(G152="",I152=""),"",G152*I152)</f>
        <v/>
      </c>
      <c r="L152" s="13">
        <f>IF(J152="",K152,IF(K152="",J152,J152+K152))</f>
        <v/>
      </c>
      <c r="M152" s="12" t="n"/>
      <c r="N152" s="12" t="n"/>
      <c r="O152" s="12" t="n"/>
    </row>
    <row r="153">
      <c r="A153" s="15" t="n"/>
      <c r="B153" s="12" t="n"/>
      <c r="C153" s="12" t="n"/>
      <c r="D153" s="12" t="n"/>
      <c r="E153" s="12" t="n"/>
      <c r="F153" s="14" t="n"/>
      <c r="G153" s="14" t="n"/>
      <c r="H153" s="13">
        <f>IFERROR(VLOOKUP(D153,LaborRates,6,FALSE),"")</f>
        <v/>
      </c>
      <c r="I153" s="13">
        <f>IFERROR(VLOOKUP(D153,LaborRates,7,FALSE),"")</f>
        <v/>
      </c>
      <c r="J153" s="13">
        <f>IF(OR(F153="",H153=""),"",F153*H153)</f>
        <v/>
      </c>
      <c r="K153" s="13">
        <f>IF(OR(G153="",I153=""),"",G153*I153)</f>
        <v/>
      </c>
      <c r="L153" s="13">
        <f>IF(J153="",K153,IF(K153="",J153,J153+K153))</f>
        <v/>
      </c>
      <c r="M153" s="12" t="n"/>
      <c r="N153" s="12" t="n"/>
      <c r="O153" s="12" t="n"/>
    </row>
    <row r="154">
      <c r="A154" s="15" t="n"/>
      <c r="B154" s="12" t="n"/>
      <c r="C154" s="12" t="n"/>
      <c r="D154" s="12" t="n"/>
      <c r="E154" s="12" t="n"/>
      <c r="F154" s="14" t="n"/>
      <c r="G154" s="14" t="n"/>
      <c r="H154" s="13">
        <f>IFERROR(VLOOKUP(D154,LaborRates,6,FALSE),"")</f>
        <v/>
      </c>
      <c r="I154" s="13">
        <f>IFERROR(VLOOKUP(D154,LaborRates,7,FALSE),"")</f>
        <v/>
      </c>
      <c r="J154" s="13">
        <f>IF(OR(F154="",H154=""),"",F154*H154)</f>
        <v/>
      </c>
      <c r="K154" s="13">
        <f>IF(OR(G154="",I154=""),"",G154*I154)</f>
        <v/>
      </c>
      <c r="L154" s="13">
        <f>IF(J154="",K154,IF(K154="",J154,J154+K154))</f>
        <v/>
      </c>
      <c r="M154" s="12" t="n"/>
      <c r="N154" s="12" t="n"/>
      <c r="O154" s="12" t="n"/>
    </row>
    <row r="155">
      <c r="A155" s="15" t="n"/>
      <c r="B155" s="12" t="n"/>
      <c r="C155" s="12" t="n"/>
      <c r="D155" s="12" t="n"/>
      <c r="E155" s="12" t="n"/>
      <c r="F155" s="14" t="n"/>
      <c r="G155" s="14" t="n"/>
      <c r="H155" s="13">
        <f>IFERROR(VLOOKUP(D155,LaborRates,6,FALSE),"")</f>
        <v/>
      </c>
      <c r="I155" s="13">
        <f>IFERROR(VLOOKUP(D155,LaborRates,7,FALSE),"")</f>
        <v/>
      </c>
      <c r="J155" s="13">
        <f>IF(OR(F155="",H155=""),"",F155*H155)</f>
        <v/>
      </c>
      <c r="K155" s="13">
        <f>IF(OR(G155="",I155=""),"",G155*I155)</f>
        <v/>
      </c>
      <c r="L155" s="13">
        <f>IF(J155="",K155,IF(K155="",J155,J155+K155))</f>
        <v/>
      </c>
      <c r="M155" s="12" t="n"/>
      <c r="N155" s="12" t="n"/>
      <c r="O155" s="12" t="n"/>
    </row>
    <row r="156">
      <c r="A156" s="15" t="n"/>
      <c r="B156" s="12" t="n"/>
      <c r="C156" s="12" t="n"/>
      <c r="D156" s="12" t="n"/>
      <c r="E156" s="12" t="n"/>
      <c r="F156" s="14" t="n"/>
      <c r="G156" s="14" t="n"/>
      <c r="H156" s="13">
        <f>IFERROR(VLOOKUP(D156,LaborRates,6,FALSE),"")</f>
        <v/>
      </c>
      <c r="I156" s="13">
        <f>IFERROR(VLOOKUP(D156,LaborRates,7,FALSE),"")</f>
        <v/>
      </c>
      <c r="J156" s="13">
        <f>IF(OR(F156="",H156=""),"",F156*H156)</f>
        <v/>
      </c>
      <c r="K156" s="13">
        <f>IF(OR(G156="",I156=""),"",G156*I156)</f>
        <v/>
      </c>
      <c r="L156" s="13">
        <f>IF(J156="",K156,IF(K156="",J156,J156+K156))</f>
        <v/>
      </c>
      <c r="M156" s="12" t="n"/>
      <c r="N156" s="12" t="n"/>
      <c r="O156" s="12" t="n"/>
    </row>
    <row r="157">
      <c r="A157" s="15" t="n"/>
      <c r="B157" s="12" t="n"/>
      <c r="C157" s="12" t="n"/>
      <c r="D157" s="12" t="n"/>
      <c r="E157" s="12" t="n"/>
      <c r="F157" s="14" t="n"/>
      <c r="G157" s="14" t="n"/>
      <c r="H157" s="13">
        <f>IFERROR(VLOOKUP(D157,LaborRates,6,FALSE),"")</f>
        <v/>
      </c>
      <c r="I157" s="13">
        <f>IFERROR(VLOOKUP(D157,LaborRates,7,FALSE),"")</f>
        <v/>
      </c>
      <c r="J157" s="13">
        <f>IF(OR(F157="",H157=""),"",F157*H157)</f>
        <v/>
      </c>
      <c r="K157" s="13">
        <f>IF(OR(G157="",I157=""),"",G157*I157)</f>
        <v/>
      </c>
      <c r="L157" s="13">
        <f>IF(J157="",K157,IF(K157="",J157,J157+K157))</f>
        <v/>
      </c>
      <c r="M157" s="12" t="n"/>
      <c r="N157" s="12" t="n"/>
      <c r="O157" s="12" t="n"/>
    </row>
    <row r="158">
      <c r="A158" s="15" t="n"/>
      <c r="B158" s="12" t="n"/>
      <c r="C158" s="12" t="n"/>
      <c r="D158" s="12" t="n"/>
      <c r="E158" s="12" t="n"/>
      <c r="F158" s="14" t="n"/>
      <c r="G158" s="14" t="n"/>
      <c r="H158" s="13">
        <f>IFERROR(VLOOKUP(D158,LaborRates,6,FALSE),"")</f>
        <v/>
      </c>
      <c r="I158" s="13">
        <f>IFERROR(VLOOKUP(D158,LaborRates,7,FALSE),"")</f>
        <v/>
      </c>
      <c r="J158" s="13">
        <f>IF(OR(F158="",H158=""),"",F158*H158)</f>
        <v/>
      </c>
      <c r="K158" s="13">
        <f>IF(OR(G158="",I158=""),"",G158*I158)</f>
        <v/>
      </c>
      <c r="L158" s="13">
        <f>IF(J158="",K158,IF(K158="",J158,J158+K158))</f>
        <v/>
      </c>
      <c r="M158" s="12" t="n"/>
      <c r="N158" s="12" t="n"/>
      <c r="O158" s="12" t="n"/>
    </row>
    <row r="159">
      <c r="A159" s="15" t="n"/>
      <c r="B159" s="12" t="n"/>
      <c r="C159" s="12" t="n"/>
      <c r="D159" s="12" t="n"/>
      <c r="E159" s="12" t="n"/>
      <c r="F159" s="14" t="n"/>
      <c r="G159" s="14" t="n"/>
      <c r="H159" s="13">
        <f>IFERROR(VLOOKUP(D159,LaborRates,6,FALSE),"")</f>
        <v/>
      </c>
      <c r="I159" s="13">
        <f>IFERROR(VLOOKUP(D159,LaborRates,7,FALSE),"")</f>
        <v/>
      </c>
      <c r="J159" s="13">
        <f>IF(OR(F159="",H159=""),"",F159*H159)</f>
        <v/>
      </c>
      <c r="K159" s="13">
        <f>IF(OR(G159="",I159=""),"",G159*I159)</f>
        <v/>
      </c>
      <c r="L159" s="13">
        <f>IF(J159="",K159,IF(K159="",J159,J159+K159))</f>
        <v/>
      </c>
      <c r="M159" s="12" t="n"/>
      <c r="N159" s="12" t="n"/>
      <c r="O159" s="12" t="n"/>
    </row>
    <row r="160">
      <c r="A160" s="15" t="n"/>
      <c r="B160" s="12" t="n"/>
      <c r="C160" s="12" t="n"/>
      <c r="D160" s="12" t="n"/>
      <c r="E160" s="12" t="n"/>
      <c r="F160" s="14" t="n"/>
      <c r="G160" s="14" t="n"/>
      <c r="H160" s="13">
        <f>IFERROR(VLOOKUP(D160,LaborRates,6,FALSE),"")</f>
        <v/>
      </c>
      <c r="I160" s="13">
        <f>IFERROR(VLOOKUP(D160,LaborRates,7,FALSE),"")</f>
        <v/>
      </c>
      <c r="J160" s="13">
        <f>IF(OR(F160="",H160=""),"",F160*H160)</f>
        <v/>
      </c>
      <c r="K160" s="13">
        <f>IF(OR(G160="",I160=""),"",G160*I160)</f>
        <v/>
      </c>
      <c r="L160" s="13">
        <f>IF(J160="",K160,IF(K160="",J160,J160+K160))</f>
        <v/>
      </c>
      <c r="M160" s="12" t="n"/>
      <c r="N160" s="12" t="n"/>
      <c r="O160" s="12" t="n"/>
    </row>
    <row r="161">
      <c r="A161" s="15" t="n"/>
      <c r="B161" s="12" t="n"/>
      <c r="C161" s="12" t="n"/>
      <c r="D161" s="12" t="n"/>
      <c r="E161" s="12" t="n"/>
      <c r="F161" s="14" t="n"/>
      <c r="G161" s="14" t="n"/>
      <c r="H161" s="13">
        <f>IFERROR(VLOOKUP(D161,LaborRates,6,FALSE),"")</f>
        <v/>
      </c>
      <c r="I161" s="13">
        <f>IFERROR(VLOOKUP(D161,LaborRates,7,FALSE),"")</f>
        <v/>
      </c>
      <c r="J161" s="13">
        <f>IF(OR(F161="",H161=""),"",F161*H161)</f>
        <v/>
      </c>
      <c r="K161" s="13">
        <f>IF(OR(G161="",I161=""),"",G161*I161)</f>
        <v/>
      </c>
      <c r="L161" s="13">
        <f>IF(J161="",K161,IF(K161="",J161,J161+K161))</f>
        <v/>
      </c>
      <c r="M161" s="12" t="n"/>
      <c r="N161" s="12" t="n"/>
      <c r="O161" s="12" t="n"/>
    </row>
    <row r="162">
      <c r="A162" s="15" t="n"/>
      <c r="B162" s="12" t="n"/>
      <c r="C162" s="12" t="n"/>
      <c r="D162" s="12" t="n"/>
      <c r="E162" s="12" t="n"/>
      <c r="F162" s="14" t="n"/>
      <c r="G162" s="14" t="n"/>
      <c r="H162" s="13">
        <f>IFERROR(VLOOKUP(D162,LaborRates,6,FALSE),"")</f>
        <v/>
      </c>
      <c r="I162" s="13">
        <f>IFERROR(VLOOKUP(D162,LaborRates,7,FALSE),"")</f>
        <v/>
      </c>
      <c r="J162" s="13">
        <f>IF(OR(F162="",H162=""),"",F162*H162)</f>
        <v/>
      </c>
      <c r="K162" s="13">
        <f>IF(OR(G162="",I162=""),"",G162*I162)</f>
        <v/>
      </c>
      <c r="L162" s="13">
        <f>IF(J162="",K162,IF(K162="",J162,J162+K162))</f>
        <v/>
      </c>
      <c r="M162" s="12" t="n"/>
      <c r="N162" s="12" t="n"/>
      <c r="O162" s="12" t="n"/>
    </row>
    <row r="163">
      <c r="A163" s="15" t="n"/>
      <c r="B163" s="12" t="n"/>
      <c r="C163" s="12" t="n"/>
      <c r="D163" s="12" t="n"/>
      <c r="E163" s="12" t="n"/>
      <c r="F163" s="14" t="n"/>
      <c r="G163" s="14" t="n"/>
      <c r="H163" s="13">
        <f>IFERROR(VLOOKUP(D163,LaborRates,6,FALSE),"")</f>
        <v/>
      </c>
      <c r="I163" s="13">
        <f>IFERROR(VLOOKUP(D163,LaborRates,7,FALSE),"")</f>
        <v/>
      </c>
      <c r="J163" s="13">
        <f>IF(OR(F163="",H163=""),"",F163*H163)</f>
        <v/>
      </c>
      <c r="K163" s="13">
        <f>IF(OR(G163="",I163=""),"",G163*I163)</f>
        <v/>
      </c>
      <c r="L163" s="13">
        <f>IF(J163="",K163,IF(K163="",J163,J163+K163))</f>
        <v/>
      </c>
      <c r="M163" s="12" t="n"/>
      <c r="N163" s="12" t="n"/>
      <c r="O163" s="12" t="n"/>
    </row>
    <row r="164">
      <c r="A164" s="15" t="n"/>
      <c r="B164" s="12" t="n"/>
      <c r="C164" s="12" t="n"/>
      <c r="D164" s="12" t="n"/>
      <c r="E164" s="12" t="n"/>
      <c r="F164" s="14" t="n"/>
      <c r="G164" s="14" t="n"/>
      <c r="H164" s="13">
        <f>IFERROR(VLOOKUP(D164,LaborRates,6,FALSE),"")</f>
        <v/>
      </c>
      <c r="I164" s="13">
        <f>IFERROR(VLOOKUP(D164,LaborRates,7,FALSE),"")</f>
        <v/>
      </c>
      <c r="J164" s="13">
        <f>IF(OR(F164="",H164=""),"",F164*H164)</f>
        <v/>
      </c>
      <c r="K164" s="13">
        <f>IF(OR(G164="",I164=""),"",G164*I164)</f>
        <v/>
      </c>
      <c r="L164" s="13">
        <f>IF(J164="",K164,IF(K164="",J164,J164+K164))</f>
        <v/>
      </c>
      <c r="M164" s="12" t="n"/>
      <c r="N164" s="12" t="n"/>
      <c r="O164" s="12" t="n"/>
    </row>
    <row r="165">
      <c r="A165" s="15" t="n"/>
      <c r="B165" s="12" t="n"/>
      <c r="C165" s="12" t="n"/>
      <c r="D165" s="12" t="n"/>
      <c r="E165" s="12" t="n"/>
      <c r="F165" s="14" t="n"/>
      <c r="G165" s="14" t="n"/>
      <c r="H165" s="13">
        <f>IFERROR(VLOOKUP(D165,LaborRates,6,FALSE),"")</f>
        <v/>
      </c>
      <c r="I165" s="13">
        <f>IFERROR(VLOOKUP(D165,LaborRates,7,FALSE),"")</f>
        <v/>
      </c>
      <c r="J165" s="13">
        <f>IF(OR(F165="",H165=""),"",F165*H165)</f>
        <v/>
      </c>
      <c r="K165" s="13">
        <f>IF(OR(G165="",I165=""),"",G165*I165)</f>
        <v/>
      </c>
      <c r="L165" s="13">
        <f>IF(J165="",K165,IF(K165="",J165,J165+K165))</f>
        <v/>
      </c>
      <c r="M165" s="12" t="n"/>
      <c r="N165" s="12" t="n"/>
      <c r="O165" s="12" t="n"/>
    </row>
    <row r="166">
      <c r="A166" s="15" t="n"/>
      <c r="B166" s="12" t="n"/>
      <c r="C166" s="12" t="n"/>
      <c r="D166" s="12" t="n"/>
      <c r="E166" s="12" t="n"/>
      <c r="F166" s="14" t="n"/>
      <c r="G166" s="14" t="n"/>
      <c r="H166" s="13">
        <f>IFERROR(VLOOKUP(D166,LaborRates,6,FALSE),"")</f>
        <v/>
      </c>
      <c r="I166" s="13">
        <f>IFERROR(VLOOKUP(D166,LaborRates,7,FALSE),"")</f>
        <v/>
      </c>
      <c r="J166" s="13">
        <f>IF(OR(F166="",H166=""),"",F166*H166)</f>
        <v/>
      </c>
      <c r="K166" s="13">
        <f>IF(OR(G166="",I166=""),"",G166*I166)</f>
        <v/>
      </c>
      <c r="L166" s="13">
        <f>IF(J166="",K166,IF(K166="",J166,J166+K166))</f>
        <v/>
      </c>
      <c r="M166" s="12" t="n"/>
      <c r="N166" s="12" t="n"/>
      <c r="O166" s="12" t="n"/>
    </row>
    <row r="167">
      <c r="A167" s="15" t="n"/>
      <c r="B167" s="12" t="n"/>
      <c r="C167" s="12" t="n"/>
      <c r="D167" s="12" t="n"/>
      <c r="E167" s="12" t="n"/>
      <c r="F167" s="14" t="n"/>
      <c r="G167" s="14" t="n"/>
      <c r="H167" s="13">
        <f>IFERROR(VLOOKUP(D167,LaborRates,6,FALSE),"")</f>
        <v/>
      </c>
      <c r="I167" s="13">
        <f>IFERROR(VLOOKUP(D167,LaborRates,7,FALSE),"")</f>
        <v/>
      </c>
      <c r="J167" s="13">
        <f>IF(OR(F167="",H167=""),"",F167*H167)</f>
        <v/>
      </c>
      <c r="K167" s="13">
        <f>IF(OR(G167="",I167=""),"",G167*I167)</f>
        <v/>
      </c>
      <c r="L167" s="13">
        <f>IF(J167="",K167,IF(K167="",J167,J167+K167))</f>
        <v/>
      </c>
      <c r="M167" s="12" t="n"/>
      <c r="N167" s="12" t="n"/>
      <c r="O167" s="12" t="n"/>
    </row>
    <row r="168">
      <c r="A168" s="15" t="n"/>
      <c r="B168" s="12" t="n"/>
      <c r="C168" s="12" t="n"/>
      <c r="D168" s="12" t="n"/>
      <c r="E168" s="12" t="n"/>
      <c r="F168" s="14" t="n"/>
      <c r="G168" s="14" t="n"/>
      <c r="H168" s="13">
        <f>IFERROR(VLOOKUP(D168,LaborRates,6,FALSE),"")</f>
        <v/>
      </c>
      <c r="I168" s="13">
        <f>IFERROR(VLOOKUP(D168,LaborRates,7,FALSE),"")</f>
        <v/>
      </c>
      <c r="J168" s="13">
        <f>IF(OR(F168="",H168=""),"",F168*H168)</f>
        <v/>
      </c>
      <c r="K168" s="13">
        <f>IF(OR(G168="",I168=""),"",G168*I168)</f>
        <v/>
      </c>
      <c r="L168" s="13">
        <f>IF(J168="",K168,IF(K168="",J168,J168+K168))</f>
        <v/>
      </c>
      <c r="M168" s="12" t="n"/>
      <c r="N168" s="12" t="n"/>
      <c r="O168" s="12" t="n"/>
    </row>
    <row r="169">
      <c r="A169" s="15" t="n"/>
      <c r="B169" s="12" t="n"/>
      <c r="C169" s="12" t="n"/>
      <c r="D169" s="12" t="n"/>
      <c r="E169" s="12" t="n"/>
      <c r="F169" s="14" t="n"/>
      <c r="G169" s="14" t="n"/>
      <c r="H169" s="13">
        <f>IFERROR(VLOOKUP(D169,LaborRates,6,FALSE),"")</f>
        <v/>
      </c>
      <c r="I169" s="13">
        <f>IFERROR(VLOOKUP(D169,LaborRates,7,FALSE),"")</f>
        <v/>
      </c>
      <c r="J169" s="13">
        <f>IF(OR(F169="",H169=""),"",F169*H169)</f>
        <v/>
      </c>
      <c r="K169" s="13">
        <f>IF(OR(G169="",I169=""),"",G169*I169)</f>
        <v/>
      </c>
      <c r="L169" s="13">
        <f>IF(J169="",K169,IF(K169="",J169,J169+K169))</f>
        <v/>
      </c>
      <c r="M169" s="12" t="n"/>
      <c r="N169" s="12" t="n"/>
      <c r="O169" s="12" t="n"/>
    </row>
    <row r="170">
      <c r="A170" s="15" t="n"/>
      <c r="B170" s="12" t="n"/>
      <c r="C170" s="12" t="n"/>
      <c r="D170" s="12" t="n"/>
      <c r="E170" s="12" t="n"/>
      <c r="F170" s="14" t="n"/>
      <c r="G170" s="14" t="n"/>
      <c r="H170" s="13">
        <f>IFERROR(VLOOKUP(D170,LaborRates,6,FALSE),"")</f>
        <v/>
      </c>
      <c r="I170" s="13">
        <f>IFERROR(VLOOKUP(D170,LaborRates,7,FALSE),"")</f>
        <v/>
      </c>
      <c r="J170" s="13">
        <f>IF(OR(F170="",H170=""),"",F170*H170)</f>
        <v/>
      </c>
      <c r="K170" s="13">
        <f>IF(OR(G170="",I170=""),"",G170*I170)</f>
        <v/>
      </c>
      <c r="L170" s="13">
        <f>IF(J170="",K170,IF(K170="",J170,J170+K170))</f>
        <v/>
      </c>
      <c r="M170" s="12" t="n"/>
      <c r="N170" s="12" t="n"/>
      <c r="O170" s="12" t="n"/>
    </row>
    <row r="171">
      <c r="A171" s="15" t="n"/>
      <c r="B171" s="12" t="n"/>
      <c r="C171" s="12" t="n"/>
      <c r="D171" s="12" t="n"/>
      <c r="E171" s="12" t="n"/>
      <c r="F171" s="14" t="n"/>
      <c r="G171" s="14" t="n"/>
      <c r="H171" s="13">
        <f>IFERROR(VLOOKUP(D171,LaborRates,6,FALSE),"")</f>
        <v/>
      </c>
      <c r="I171" s="13">
        <f>IFERROR(VLOOKUP(D171,LaborRates,7,FALSE),"")</f>
        <v/>
      </c>
      <c r="J171" s="13">
        <f>IF(OR(F171="",H171=""),"",F171*H171)</f>
        <v/>
      </c>
      <c r="K171" s="13">
        <f>IF(OR(G171="",I171=""),"",G171*I171)</f>
        <v/>
      </c>
      <c r="L171" s="13">
        <f>IF(J171="",K171,IF(K171="",J171,J171+K171))</f>
        <v/>
      </c>
      <c r="M171" s="12" t="n"/>
      <c r="N171" s="12" t="n"/>
      <c r="O171" s="12" t="n"/>
    </row>
    <row r="172">
      <c r="A172" s="15" t="n"/>
      <c r="B172" s="12" t="n"/>
      <c r="C172" s="12" t="n"/>
      <c r="D172" s="12" t="n"/>
      <c r="E172" s="12" t="n"/>
      <c r="F172" s="14" t="n"/>
      <c r="G172" s="14" t="n"/>
      <c r="H172" s="13">
        <f>IFERROR(VLOOKUP(D172,LaborRates,6,FALSE),"")</f>
        <v/>
      </c>
      <c r="I172" s="13">
        <f>IFERROR(VLOOKUP(D172,LaborRates,7,FALSE),"")</f>
        <v/>
      </c>
      <c r="J172" s="13">
        <f>IF(OR(F172="",H172=""),"",F172*H172)</f>
        <v/>
      </c>
      <c r="K172" s="13">
        <f>IF(OR(G172="",I172=""),"",G172*I172)</f>
        <v/>
      </c>
      <c r="L172" s="13">
        <f>IF(J172="",K172,IF(K172="",J172,J172+K172))</f>
        <v/>
      </c>
      <c r="M172" s="12" t="n"/>
      <c r="N172" s="12" t="n"/>
      <c r="O172" s="12" t="n"/>
    </row>
    <row r="173">
      <c r="A173" s="15" t="n"/>
      <c r="B173" s="12" t="n"/>
      <c r="C173" s="12" t="n"/>
      <c r="D173" s="12" t="n"/>
      <c r="E173" s="12" t="n"/>
      <c r="F173" s="14" t="n"/>
      <c r="G173" s="14" t="n"/>
      <c r="H173" s="13">
        <f>IFERROR(VLOOKUP(D173,LaborRates,6,FALSE),"")</f>
        <v/>
      </c>
      <c r="I173" s="13">
        <f>IFERROR(VLOOKUP(D173,LaborRates,7,FALSE),"")</f>
        <v/>
      </c>
      <c r="J173" s="13">
        <f>IF(OR(F173="",H173=""),"",F173*H173)</f>
        <v/>
      </c>
      <c r="K173" s="13">
        <f>IF(OR(G173="",I173=""),"",G173*I173)</f>
        <v/>
      </c>
      <c r="L173" s="13">
        <f>IF(J173="",K173,IF(K173="",J173,J173+K173))</f>
        <v/>
      </c>
      <c r="M173" s="12" t="n"/>
      <c r="N173" s="12" t="n"/>
      <c r="O173" s="12" t="n"/>
    </row>
    <row r="174">
      <c r="A174" s="15" t="n"/>
      <c r="B174" s="12" t="n"/>
      <c r="C174" s="12" t="n"/>
      <c r="D174" s="12" t="n"/>
      <c r="E174" s="12" t="n"/>
      <c r="F174" s="14" t="n"/>
      <c r="G174" s="14" t="n"/>
      <c r="H174" s="13">
        <f>IFERROR(VLOOKUP(D174,LaborRates,6,FALSE),"")</f>
        <v/>
      </c>
      <c r="I174" s="13">
        <f>IFERROR(VLOOKUP(D174,LaborRates,7,FALSE),"")</f>
        <v/>
      </c>
      <c r="J174" s="13">
        <f>IF(OR(F174="",H174=""),"",F174*H174)</f>
        <v/>
      </c>
      <c r="K174" s="13">
        <f>IF(OR(G174="",I174=""),"",G174*I174)</f>
        <v/>
      </c>
      <c r="L174" s="13">
        <f>IF(J174="",K174,IF(K174="",J174,J174+K174))</f>
        <v/>
      </c>
      <c r="M174" s="12" t="n"/>
      <c r="N174" s="12" t="n"/>
      <c r="O174" s="12" t="n"/>
    </row>
    <row r="175">
      <c r="A175" s="15" t="n"/>
      <c r="B175" s="12" t="n"/>
      <c r="C175" s="12" t="n"/>
      <c r="D175" s="12" t="n"/>
      <c r="E175" s="12" t="n"/>
      <c r="F175" s="14" t="n"/>
      <c r="G175" s="14" t="n"/>
      <c r="H175" s="13">
        <f>IFERROR(VLOOKUP(D175,LaborRates,6,FALSE),"")</f>
        <v/>
      </c>
      <c r="I175" s="13">
        <f>IFERROR(VLOOKUP(D175,LaborRates,7,FALSE),"")</f>
        <v/>
      </c>
      <c r="J175" s="13">
        <f>IF(OR(F175="",H175=""),"",F175*H175)</f>
        <v/>
      </c>
      <c r="K175" s="13">
        <f>IF(OR(G175="",I175=""),"",G175*I175)</f>
        <v/>
      </c>
      <c r="L175" s="13">
        <f>IF(J175="",K175,IF(K175="",J175,J175+K175))</f>
        <v/>
      </c>
      <c r="M175" s="12" t="n"/>
      <c r="N175" s="12" t="n"/>
      <c r="O175" s="12" t="n"/>
    </row>
    <row r="176">
      <c r="A176" s="15" t="n"/>
      <c r="B176" s="12" t="n"/>
      <c r="C176" s="12" t="n"/>
      <c r="D176" s="12" t="n"/>
      <c r="E176" s="12" t="n"/>
      <c r="F176" s="14" t="n"/>
      <c r="G176" s="14" t="n"/>
      <c r="H176" s="13">
        <f>IFERROR(VLOOKUP(D176,LaborRates,6,FALSE),"")</f>
        <v/>
      </c>
      <c r="I176" s="13">
        <f>IFERROR(VLOOKUP(D176,LaborRates,7,FALSE),"")</f>
        <v/>
      </c>
      <c r="J176" s="13">
        <f>IF(OR(F176="",H176=""),"",F176*H176)</f>
        <v/>
      </c>
      <c r="K176" s="13">
        <f>IF(OR(G176="",I176=""),"",G176*I176)</f>
        <v/>
      </c>
      <c r="L176" s="13">
        <f>IF(J176="",K176,IF(K176="",J176,J176+K176))</f>
        <v/>
      </c>
      <c r="M176" s="12" t="n"/>
      <c r="N176" s="12" t="n"/>
      <c r="O176" s="12" t="n"/>
    </row>
    <row r="177">
      <c r="A177" s="15" t="n"/>
      <c r="B177" s="12" t="n"/>
      <c r="C177" s="12" t="n"/>
      <c r="D177" s="12" t="n"/>
      <c r="E177" s="12" t="n"/>
      <c r="F177" s="14" t="n"/>
      <c r="G177" s="14" t="n"/>
      <c r="H177" s="13">
        <f>IFERROR(VLOOKUP(D177,LaborRates,6,FALSE),"")</f>
        <v/>
      </c>
      <c r="I177" s="13">
        <f>IFERROR(VLOOKUP(D177,LaborRates,7,FALSE),"")</f>
        <v/>
      </c>
      <c r="J177" s="13">
        <f>IF(OR(F177="",H177=""),"",F177*H177)</f>
        <v/>
      </c>
      <c r="K177" s="13">
        <f>IF(OR(G177="",I177=""),"",G177*I177)</f>
        <v/>
      </c>
      <c r="L177" s="13">
        <f>IF(J177="",K177,IF(K177="",J177,J177+K177))</f>
        <v/>
      </c>
      <c r="M177" s="12" t="n"/>
      <c r="N177" s="12" t="n"/>
      <c r="O177" s="12" t="n"/>
    </row>
    <row r="178">
      <c r="A178" s="15" t="n"/>
      <c r="B178" s="12" t="n"/>
      <c r="C178" s="12" t="n"/>
      <c r="D178" s="12" t="n"/>
      <c r="E178" s="12" t="n"/>
      <c r="F178" s="14" t="n"/>
      <c r="G178" s="14" t="n"/>
      <c r="H178" s="13">
        <f>IFERROR(VLOOKUP(D178,LaborRates,6,FALSE),"")</f>
        <v/>
      </c>
      <c r="I178" s="13">
        <f>IFERROR(VLOOKUP(D178,LaborRates,7,FALSE),"")</f>
        <v/>
      </c>
      <c r="J178" s="13">
        <f>IF(OR(F178="",H178=""),"",F178*H178)</f>
        <v/>
      </c>
      <c r="K178" s="13">
        <f>IF(OR(G178="",I178=""),"",G178*I178)</f>
        <v/>
      </c>
      <c r="L178" s="13">
        <f>IF(J178="",K178,IF(K178="",J178,J178+K178))</f>
        <v/>
      </c>
      <c r="M178" s="12" t="n"/>
      <c r="N178" s="12" t="n"/>
      <c r="O178" s="12" t="n"/>
    </row>
    <row r="179">
      <c r="A179" s="15" t="n"/>
      <c r="B179" s="12" t="n"/>
      <c r="C179" s="12" t="n"/>
      <c r="D179" s="12" t="n"/>
      <c r="E179" s="12" t="n"/>
      <c r="F179" s="14" t="n"/>
      <c r="G179" s="14" t="n"/>
      <c r="H179" s="13">
        <f>IFERROR(VLOOKUP(D179,LaborRates,6,FALSE),"")</f>
        <v/>
      </c>
      <c r="I179" s="13">
        <f>IFERROR(VLOOKUP(D179,LaborRates,7,FALSE),"")</f>
        <v/>
      </c>
      <c r="J179" s="13">
        <f>IF(OR(F179="",H179=""),"",F179*H179)</f>
        <v/>
      </c>
      <c r="K179" s="13">
        <f>IF(OR(G179="",I179=""),"",G179*I179)</f>
        <v/>
      </c>
      <c r="L179" s="13">
        <f>IF(J179="",K179,IF(K179="",J179,J179+K179))</f>
        <v/>
      </c>
      <c r="M179" s="12" t="n"/>
      <c r="N179" s="12" t="n"/>
      <c r="O179" s="12" t="n"/>
    </row>
    <row r="180">
      <c r="A180" s="15" t="n"/>
      <c r="B180" s="12" t="n"/>
      <c r="C180" s="12" t="n"/>
      <c r="D180" s="12" t="n"/>
      <c r="E180" s="12" t="n"/>
      <c r="F180" s="14" t="n"/>
      <c r="G180" s="14" t="n"/>
      <c r="H180" s="13">
        <f>IFERROR(VLOOKUP(D180,LaborRates,6,FALSE),"")</f>
        <v/>
      </c>
      <c r="I180" s="13">
        <f>IFERROR(VLOOKUP(D180,LaborRates,7,FALSE),"")</f>
        <v/>
      </c>
      <c r="J180" s="13">
        <f>IF(OR(F180="",H180=""),"",F180*H180)</f>
        <v/>
      </c>
      <c r="K180" s="13">
        <f>IF(OR(G180="",I180=""),"",G180*I180)</f>
        <v/>
      </c>
      <c r="L180" s="13">
        <f>IF(J180="",K180,IF(K180="",J180,J180+K180))</f>
        <v/>
      </c>
      <c r="M180" s="12" t="n"/>
      <c r="N180" s="12" t="n"/>
      <c r="O180" s="12" t="n"/>
    </row>
    <row r="181">
      <c r="A181" s="15" t="n"/>
      <c r="B181" s="12" t="n"/>
      <c r="C181" s="12" t="n"/>
      <c r="D181" s="12" t="n"/>
      <c r="E181" s="12" t="n"/>
      <c r="F181" s="14" t="n"/>
      <c r="G181" s="14" t="n"/>
      <c r="H181" s="13">
        <f>IFERROR(VLOOKUP(D181,LaborRates,6,FALSE),"")</f>
        <v/>
      </c>
      <c r="I181" s="13">
        <f>IFERROR(VLOOKUP(D181,LaborRates,7,FALSE),"")</f>
        <v/>
      </c>
      <c r="J181" s="13">
        <f>IF(OR(F181="",H181=""),"",F181*H181)</f>
        <v/>
      </c>
      <c r="K181" s="13">
        <f>IF(OR(G181="",I181=""),"",G181*I181)</f>
        <v/>
      </c>
      <c r="L181" s="13">
        <f>IF(J181="",K181,IF(K181="",J181,J181+K181))</f>
        <v/>
      </c>
      <c r="M181" s="12" t="n"/>
      <c r="N181" s="12" t="n"/>
      <c r="O181" s="12" t="n"/>
    </row>
    <row r="182">
      <c r="A182" s="15" t="n"/>
      <c r="B182" s="12" t="n"/>
      <c r="C182" s="12" t="n"/>
      <c r="D182" s="12" t="n"/>
      <c r="E182" s="12" t="n"/>
      <c r="F182" s="14" t="n"/>
      <c r="G182" s="14" t="n"/>
      <c r="H182" s="13">
        <f>IFERROR(VLOOKUP(D182,LaborRates,6,FALSE),"")</f>
        <v/>
      </c>
      <c r="I182" s="13">
        <f>IFERROR(VLOOKUP(D182,LaborRates,7,FALSE),"")</f>
        <v/>
      </c>
      <c r="J182" s="13">
        <f>IF(OR(F182="",H182=""),"",F182*H182)</f>
        <v/>
      </c>
      <c r="K182" s="13">
        <f>IF(OR(G182="",I182=""),"",G182*I182)</f>
        <v/>
      </c>
      <c r="L182" s="13">
        <f>IF(J182="",K182,IF(K182="",J182,J182+K182))</f>
        <v/>
      </c>
      <c r="M182" s="12" t="n"/>
      <c r="N182" s="12" t="n"/>
      <c r="O182" s="12" t="n"/>
    </row>
    <row r="183">
      <c r="A183" s="15" t="n"/>
      <c r="B183" s="12" t="n"/>
      <c r="C183" s="12" t="n"/>
      <c r="D183" s="12" t="n"/>
      <c r="E183" s="12" t="n"/>
      <c r="F183" s="14" t="n"/>
      <c r="G183" s="14" t="n"/>
      <c r="H183" s="13">
        <f>IFERROR(VLOOKUP(D183,LaborRates,6,FALSE),"")</f>
        <v/>
      </c>
      <c r="I183" s="13">
        <f>IFERROR(VLOOKUP(D183,LaborRates,7,FALSE),"")</f>
        <v/>
      </c>
      <c r="J183" s="13">
        <f>IF(OR(F183="",H183=""),"",F183*H183)</f>
        <v/>
      </c>
      <c r="K183" s="13">
        <f>IF(OR(G183="",I183=""),"",G183*I183)</f>
        <v/>
      </c>
      <c r="L183" s="13">
        <f>IF(J183="",K183,IF(K183="",J183,J183+K183))</f>
        <v/>
      </c>
      <c r="M183" s="12" t="n"/>
      <c r="N183" s="12" t="n"/>
      <c r="O183" s="12" t="n"/>
    </row>
    <row r="184">
      <c r="A184" s="15" t="n"/>
      <c r="B184" s="12" t="n"/>
      <c r="C184" s="12" t="n"/>
      <c r="D184" s="12" t="n"/>
      <c r="E184" s="12" t="n"/>
      <c r="F184" s="14" t="n"/>
      <c r="G184" s="14" t="n"/>
      <c r="H184" s="13">
        <f>IFERROR(VLOOKUP(D184,LaborRates,6,FALSE),"")</f>
        <v/>
      </c>
      <c r="I184" s="13">
        <f>IFERROR(VLOOKUP(D184,LaborRates,7,FALSE),"")</f>
        <v/>
      </c>
      <c r="J184" s="13">
        <f>IF(OR(F184="",H184=""),"",F184*H184)</f>
        <v/>
      </c>
      <c r="K184" s="13">
        <f>IF(OR(G184="",I184=""),"",G184*I184)</f>
        <v/>
      </c>
      <c r="L184" s="13">
        <f>IF(J184="",K184,IF(K184="",J184,J184+K184))</f>
        <v/>
      </c>
      <c r="M184" s="12" t="n"/>
      <c r="N184" s="12" t="n"/>
      <c r="O184" s="12" t="n"/>
    </row>
    <row r="185">
      <c r="A185" s="15" t="n"/>
      <c r="B185" s="12" t="n"/>
      <c r="C185" s="12" t="n"/>
      <c r="D185" s="12" t="n"/>
      <c r="E185" s="12" t="n"/>
      <c r="F185" s="14" t="n"/>
      <c r="G185" s="14" t="n"/>
      <c r="H185" s="13">
        <f>IFERROR(VLOOKUP(D185,LaborRates,6,FALSE),"")</f>
        <v/>
      </c>
      <c r="I185" s="13">
        <f>IFERROR(VLOOKUP(D185,LaborRates,7,FALSE),"")</f>
        <v/>
      </c>
      <c r="J185" s="13">
        <f>IF(OR(F185="",H185=""),"",F185*H185)</f>
        <v/>
      </c>
      <c r="K185" s="13">
        <f>IF(OR(G185="",I185=""),"",G185*I185)</f>
        <v/>
      </c>
      <c r="L185" s="13">
        <f>IF(J185="",K185,IF(K185="",J185,J185+K185))</f>
        <v/>
      </c>
      <c r="M185" s="12" t="n"/>
      <c r="N185" s="12" t="n"/>
      <c r="O185" s="12" t="n"/>
    </row>
    <row r="186">
      <c r="A186" s="15" t="n"/>
      <c r="B186" s="12" t="n"/>
      <c r="C186" s="12" t="n"/>
      <c r="D186" s="12" t="n"/>
      <c r="E186" s="12" t="n"/>
      <c r="F186" s="14" t="n"/>
      <c r="G186" s="14" t="n"/>
      <c r="H186" s="13">
        <f>IFERROR(VLOOKUP(D186,LaborRates,6,FALSE),"")</f>
        <v/>
      </c>
      <c r="I186" s="13">
        <f>IFERROR(VLOOKUP(D186,LaborRates,7,FALSE),"")</f>
        <v/>
      </c>
      <c r="J186" s="13">
        <f>IF(OR(F186="",H186=""),"",F186*H186)</f>
        <v/>
      </c>
      <c r="K186" s="13">
        <f>IF(OR(G186="",I186=""),"",G186*I186)</f>
        <v/>
      </c>
      <c r="L186" s="13">
        <f>IF(J186="",K186,IF(K186="",J186,J186+K186))</f>
        <v/>
      </c>
      <c r="M186" s="12" t="n"/>
      <c r="N186" s="12" t="n"/>
      <c r="O186" s="12" t="n"/>
    </row>
    <row r="187">
      <c r="A187" s="15" t="n"/>
      <c r="B187" s="12" t="n"/>
      <c r="C187" s="12" t="n"/>
      <c r="D187" s="12" t="n"/>
      <c r="E187" s="12" t="n"/>
      <c r="F187" s="14" t="n"/>
      <c r="G187" s="14" t="n"/>
      <c r="H187" s="13">
        <f>IFERROR(VLOOKUP(D187,LaborRates,6,FALSE),"")</f>
        <v/>
      </c>
      <c r="I187" s="13">
        <f>IFERROR(VLOOKUP(D187,LaborRates,7,FALSE),"")</f>
        <v/>
      </c>
      <c r="J187" s="13">
        <f>IF(OR(F187="",H187=""),"",F187*H187)</f>
        <v/>
      </c>
      <c r="K187" s="13">
        <f>IF(OR(G187="",I187=""),"",G187*I187)</f>
        <v/>
      </c>
      <c r="L187" s="13">
        <f>IF(J187="",K187,IF(K187="",J187,J187+K187))</f>
        <v/>
      </c>
      <c r="M187" s="12" t="n"/>
      <c r="N187" s="12" t="n"/>
      <c r="O187" s="12" t="n"/>
    </row>
    <row r="188">
      <c r="A188" s="15" t="n"/>
      <c r="B188" s="12" t="n"/>
      <c r="C188" s="12" t="n"/>
      <c r="D188" s="12" t="n"/>
      <c r="E188" s="12" t="n"/>
      <c r="F188" s="14" t="n"/>
      <c r="G188" s="14" t="n"/>
      <c r="H188" s="13">
        <f>IFERROR(VLOOKUP(D188,LaborRates,6,FALSE),"")</f>
        <v/>
      </c>
      <c r="I188" s="13">
        <f>IFERROR(VLOOKUP(D188,LaborRates,7,FALSE),"")</f>
        <v/>
      </c>
      <c r="J188" s="13">
        <f>IF(OR(F188="",H188=""),"",F188*H188)</f>
        <v/>
      </c>
      <c r="K188" s="13">
        <f>IF(OR(G188="",I188=""),"",G188*I188)</f>
        <v/>
      </c>
      <c r="L188" s="13">
        <f>IF(J188="",K188,IF(K188="",J188,J188+K188))</f>
        <v/>
      </c>
      <c r="M188" s="12" t="n"/>
      <c r="N188" s="12" t="n"/>
      <c r="O188" s="12" t="n"/>
    </row>
    <row r="189">
      <c r="A189" s="15" t="n"/>
      <c r="B189" s="12" t="n"/>
      <c r="C189" s="12" t="n"/>
      <c r="D189" s="12" t="n"/>
      <c r="E189" s="12" t="n"/>
      <c r="F189" s="14" t="n"/>
      <c r="G189" s="14" t="n"/>
      <c r="H189" s="13">
        <f>IFERROR(VLOOKUP(D189,LaborRates,6,FALSE),"")</f>
        <v/>
      </c>
      <c r="I189" s="13">
        <f>IFERROR(VLOOKUP(D189,LaborRates,7,FALSE),"")</f>
        <v/>
      </c>
      <c r="J189" s="13">
        <f>IF(OR(F189="",H189=""),"",F189*H189)</f>
        <v/>
      </c>
      <c r="K189" s="13">
        <f>IF(OR(G189="",I189=""),"",G189*I189)</f>
        <v/>
      </c>
      <c r="L189" s="13">
        <f>IF(J189="",K189,IF(K189="",J189,J189+K189))</f>
        <v/>
      </c>
      <c r="M189" s="12" t="n"/>
      <c r="N189" s="12" t="n"/>
      <c r="O189" s="12" t="n"/>
    </row>
    <row r="190">
      <c r="A190" s="15" t="n"/>
      <c r="B190" s="12" t="n"/>
      <c r="C190" s="12" t="n"/>
      <c r="D190" s="12" t="n"/>
      <c r="E190" s="12" t="n"/>
      <c r="F190" s="14" t="n"/>
      <c r="G190" s="14" t="n"/>
      <c r="H190" s="13">
        <f>IFERROR(VLOOKUP(D190,LaborRates,6,FALSE),"")</f>
        <v/>
      </c>
      <c r="I190" s="13">
        <f>IFERROR(VLOOKUP(D190,LaborRates,7,FALSE),"")</f>
        <v/>
      </c>
      <c r="J190" s="13">
        <f>IF(OR(F190="",H190=""),"",F190*H190)</f>
        <v/>
      </c>
      <c r="K190" s="13">
        <f>IF(OR(G190="",I190=""),"",G190*I190)</f>
        <v/>
      </c>
      <c r="L190" s="13">
        <f>IF(J190="",K190,IF(K190="",J190,J190+K190))</f>
        <v/>
      </c>
      <c r="M190" s="12" t="n"/>
      <c r="N190" s="12" t="n"/>
      <c r="O190" s="12" t="n"/>
    </row>
    <row r="191">
      <c r="A191" s="15" t="n"/>
      <c r="B191" s="12" t="n"/>
      <c r="C191" s="12" t="n"/>
      <c r="D191" s="12" t="n"/>
      <c r="E191" s="12" t="n"/>
      <c r="F191" s="14" t="n"/>
      <c r="G191" s="14" t="n"/>
      <c r="H191" s="13">
        <f>IFERROR(VLOOKUP(D191,LaborRates,6,FALSE),"")</f>
        <v/>
      </c>
      <c r="I191" s="13">
        <f>IFERROR(VLOOKUP(D191,LaborRates,7,FALSE),"")</f>
        <v/>
      </c>
      <c r="J191" s="13">
        <f>IF(OR(F191="",H191=""),"",F191*H191)</f>
        <v/>
      </c>
      <c r="K191" s="13">
        <f>IF(OR(G191="",I191=""),"",G191*I191)</f>
        <v/>
      </c>
      <c r="L191" s="13">
        <f>IF(J191="",K191,IF(K191="",J191,J191+K191))</f>
        <v/>
      </c>
      <c r="M191" s="12" t="n"/>
      <c r="N191" s="12" t="n"/>
      <c r="O191" s="12" t="n"/>
    </row>
    <row r="192">
      <c r="A192" s="15" t="n"/>
      <c r="B192" s="12" t="n"/>
      <c r="C192" s="12" t="n"/>
      <c r="D192" s="12" t="n"/>
      <c r="E192" s="12" t="n"/>
      <c r="F192" s="14" t="n"/>
      <c r="G192" s="14" t="n"/>
      <c r="H192" s="13">
        <f>IFERROR(VLOOKUP(D192,LaborRates,6,FALSE),"")</f>
        <v/>
      </c>
      <c r="I192" s="13">
        <f>IFERROR(VLOOKUP(D192,LaborRates,7,FALSE),"")</f>
        <v/>
      </c>
      <c r="J192" s="13">
        <f>IF(OR(F192="",H192=""),"",F192*H192)</f>
        <v/>
      </c>
      <c r="K192" s="13">
        <f>IF(OR(G192="",I192=""),"",G192*I192)</f>
        <v/>
      </c>
      <c r="L192" s="13">
        <f>IF(J192="",K192,IF(K192="",J192,J192+K192))</f>
        <v/>
      </c>
      <c r="M192" s="12" t="n"/>
      <c r="N192" s="12" t="n"/>
      <c r="O192" s="12" t="n"/>
    </row>
    <row r="193">
      <c r="A193" s="15" t="n"/>
      <c r="B193" s="12" t="n"/>
      <c r="C193" s="12" t="n"/>
      <c r="D193" s="12" t="n"/>
      <c r="E193" s="12" t="n"/>
      <c r="F193" s="14" t="n"/>
      <c r="G193" s="14" t="n"/>
      <c r="H193" s="13">
        <f>IFERROR(VLOOKUP(D193,LaborRates,6,FALSE),"")</f>
        <v/>
      </c>
      <c r="I193" s="13">
        <f>IFERROR(VLOOKUP(D193,LaborRates,7,FALSE),"")</f>
        <v/>
      </c>
      <c r="J193" s="13">
        <f>IF(OR(F193="",H193=""),"",F193*H193)</f>
        <v/>
      </c>
      <c r="K193" s="13">
        <f>IF(OR(G193="",I193=""),"",G193*I193)</f>
        <v/>
      </c>
      <c r="L193" s="13">
        <f>IF(J193="",K193,IF(K193="",J193,J193+K193))</f>
        <v/>
      </c>
      <c r="M193" s="12" t="n"/>
      <c r="N193" s="12" t="n"/>
      <c r="O193" s="12" t="n"/>
    </row>
    <row r="194">
      <c r="A194" s="15" t="n"/>
      <c r="B194" s="12" t="n"/>
      <c r="C194" s="12" t="n"/>
      <c r="D194" s="12" t="n"/>
      <c r="E194" s="12" t="n"/>
      <c r="F194" s="14" t="n"/>
      <c r="G194" s="14" t="n"/>
      <c r="H194" s="13">
        <f>IFERROR(VLOOKUP(D194,LaborRates,6,FALSE),"")</f>
        <v/>
      </c>
      <c r="I194" s="13">
        <f>IFERROR(VLOOKUP(D194,LaborRates,7,FALSE),"")</f>
        <v/>
      </c>
      <c r="J194" s="13">
        <f>IF(OR(F194="",H194=""),"",F194*H194)</f>
        <v/>
      </c>
      <c r="K194" s="13">
        <f>IF(OR(G194="",I194=""),"",G194*I194)</f>
        <v/>
      </c>
      <c r="L194" s="13">
        <f>IF(J194="",K194,IF(K194="",J194,J194+K194))</f>
        <v/>
      </c>
      <c r="M194" s="12" t="n"/>
      <c r="N194" s="12" t="n"/>
      <c r="O194" s="12" t="n"/>
    </row>
    <row r="195">
      <c r="A195" s="15" t="n"/>
      <c r="B195" s="12" t="n"/>
      <c r="C195" s="12" t="n"/>
      <c r="D195" s="12" t="n"/>
      <c r="E195" s="12" t="n"/>
      <c r="F195" s="14" t="n"/>
      <c r="G195" s="14" t="n"/>
      <c r="H195" s="13">
        <f>IFERROR(VLOOKUP(D195,LaborRates,6,FALSE),"")</f>
        <v/>
      </c>
      <c r="I195" s="13">
        <f>IFERROR(VLOOKUP(D195,LaborRates,7,FALSE),"")</f>
        <v/>
      </c>
      <c r="J195" s="13">
        <f>IF(OR(F195="",H195=""),"",F195*H195)</f>
        <v/>
      </c>
      <c r="K195" s="13">
        <f>IF(OR(G195="",I195=""),"",G195*I195)</f>
        <v/>
      </c>
      <c r="L195" s="13">
        <f>IF(J195="",K195,IF(K195="",J195,J195+K195))</f>
        <v/>
      </c>
      <c r="M195" s="12" t="n"/>
      <c r="N195" s="12" t="n"/>
      <c r="O195" s="12" t="n"/>
    </row>
    <row r="196">
      <c r="A196" s="15" t="n"/>
      <c r="B196" s="12" t="n"/>
      <c r="C196" s="12" t="n"/>
      <c r="D196" s="12" t="n"/>
      <c r="E196" s="12" t="n"/>
      <c r="F196" s="14" t="n"/>
      <c r="G196" s="14" t="n"/>
      <c r="H196" s="13">
        <f>IFERROR(VLOOKUP(D196,LaborRates,6,FALSE),"")</f>
        <v/>
      </c>
      <c r="I196" s="13">
        <f>IFERROR(VLOOKUP(D196,LaborRates,7,FALSE),"")</f>
        <v/>
      </c>
      <c r="J196" s="13">
        <f>IF(OR(F196="",H196=""),"",F196*H196)</f>
        <v/>
      </c>
      <c r="K196" s="13">
        <f>IF(OR(G196="",I196=""),"",G196*I196)</f>
        <v/>
      </c>
      <c r="L196" s="13">
        <f>IF(J196="",K196,IF(K196="",J196,J196+K196))</f>
        <v/>
      </c>
      <c r="M196" s="12" t="n"/>
      <c r="N196" s="12" t="n"/>
      <c r="O196" s="12" t="n"/>
    </row>
    <row r="197">
      <c r="A197" s="15" t="n"/>
      <c r="B197" s="12" t="n"/>
      <c r="C197" s="12" t="n"/>
      <c r="D197" s="12" t="n"/>
      <c r="E197" s="12" t="n"/>
      <c r="F197" s="14" t="n"/>
      <c r="G197" s="14" t="n"/>
      <c r="H197" s="13">
        <f>IFERROR(VLOOKUP(D197,LaborRates,6,FALSE),"")</f>
        <v/>
      </c>
      <c r="I197" s="13">
        <f>IFERROR(VLOOKUP(D197,LaborRates,7,FALSE),"")</f>
        <v/>
      </c>
      <c r="J197" s="13">
        <f>IF(OR(F197="",H197=""),"",F197*H197)</f>
        <v/>
      </c>
      <c r="K197" s="13">
        <f>IF(OR(G197="",I197=""),"",G197*I197)</f>
        <v/>
      </c>
      <c r="L197" s="13">
        <f>IF(J197="",K197,IF(K197="",J197,J197+K197))</f>
        <v/>
      </c>
      <c r="M197" s="12" t="n"/>
      <c r="N197" s="12" t="n"/>
      <c r="O197" s="12" t="n"/>
    </row>
    <row r="198">
      <c r="A198" s="15" t="n"/>
      <c r="B198" s="12" t="n"/>
      <c r="C198" s="12" t="n"/>
      <c r="D198" s="12" t="n"/>
      <c r="E198" s="12" t="n"/>
      <c r="F198" s="14" t="n"/>
      <c r="G198" s="14" t="n"/>
      <c r="H198" s="13">
        <f>IFERROR(VLOOKUP(D198,LaborRates,6,FALSE),"")</f>
        <v/>
      </c>
      <c r="I198" s="13">
        <f>IFERROR(VLOOKUP(D198,LaborRates,7,FALSE),"")</f>
        <v/>
      </c>
      <c r="J198" s="13">
        <f>IF(OR(F198="",H198=""),"",F198*H198)</f>
        <v/>
      </c>
      <c r="K198" s="13">
        <f>IF(OR(G198="",I198=""),"",G198*I198)</f>
        <v/>
      </c>
      <c r="L198" s="13">
        <f>IF(J198="",K198,IF(K198="",J198,J198+K198))</f>
        <v/>
      </c>
      <c r="M198" s="12" t="n"/>
      <c r="N198" s="12" t="n"/>
      <c r="O198" s="12" t="n"/>
    </row>
    <row r="199">
      <c r="A199" s="15" t="n"/>
      <c r="B199" s="12" t="n"/>
      <c r="C199" s="12" t="n"/>
      <c r="D199" s="12" t="n"/>
      <c r="E199" s="12" t="n"/>
      <c r="F199" s="14" t="n"/>
      <c r="G199" s="14" t="n"/>
      <c r="H199" s="13">
        <f>IFERROR(VLOOKUP(D199,LaborRates,6,FALSE),"")</f>
        <v/>
      </c>
      <c r="I199" s="13">
        <f>IFERROR(VLOOKUP(D199,LaborRates,7,FALSE),"")</f>
        <v/>
      </c>
      <c r="J199" s="13">
        <f>IF(OR(F199="",H199=""),"",F199*H199)</f>
        <v/>
      </c>
      <c r="K199" s="13">
        <f>IF(OR(G199="",I199=""),"",G199*I199)</f>
        <v/>
      </c>
      <c r="L199" s="13">
        <f>IF(J199="",K199,IF(K199="",J199,J199+K199))</f>
        <v/>
      </c>
      <c r="M199" s="12" t="n"/>
      <c r="N199" s="12" t="n"/>
      <c r="O199" s="12" t="n"/>
    </row>
    <row r="200">
      <c r="A200" s="15" t="n"/>
      <c r="B200" s="12" t="n"/>
      <c r="C200" s="12" t="n"/>
      <c r="D200" s="12" t="n"/>
      <c r="E200" s="12" t="n"/>
      <c r="F200" s="14" t="n"/>
      <c r="G200" s="14" t="n"/>
      <c r="H200" s="13">
        <f>IFERROR(VLOOKUP(D200,LaborRates,6,FALSE),"")</f>
        <v/>
      </c>
      <c r="I200" s="13">
        <f>IFERROR(VLOOKUP(D200,LaborRates,7,FALSE),"")</f>
        <v/>
      </c>
      <c r="J200" s="13">
        <f>IF(OR(F200="",H200=""),"",F200*H200)</f>
        <v/>
      </c>
      <c r="K200" s="13">
        <f>IF(OR(G200="",I200=""),"",G200*I200)</f>
        <v/>
      </c>
      <c r="L200" s="13">
        <f>IF(J200="",K200,IF(K200="",J200,J200+K200))</f>
        <v/>
      </c>
      <c r="M200" s="12" t="n"/>
      <c r="N200" s="12" t="n"/>
      <c r="O200" s="12" t="n"/>
    </row>
    <row r="201">
      <c r="A201" s="15" t="n"/>
      <c r="B201" s="12" t="n"/>
      <c r="C201" s="12" t="n"/>
      <c r="D201" s="12" t="n"/>
      <c r="E201" s="12" t="n"/>
      <c r="F201" s="14" t="n"/>
      <c r="G201" s="14" t="n"/>
      <c r="H201" s="13">
        <f>IFERROR(VLOOKUP(D201,LaborRates,6,FALSE),"")</f>
        <v/>
      </c>
      <c r="I201" s="13">
        <f>IFERROR(VLOOKUP(D201,LaborRates,7,FALSE),"")</f>
        <v/>
      </c>
      <c r="J201" s="13">
        <f>IF(OR(F201="",H201=""),"",F201*H201)</f>
        <v/>
      </c>
      <c r="K201" s="13">
        <f>IF(OR(G201="",I201=""),"",G201*I201)</f>
        <v/>
      </c>
      <c r="L201" s="13">
        <f>IF(J201="",K201,IF(K201="",J201,J201+K201))</f>
        <v/>
      </c>
      <c r="M201" s="12" t="n"/>
      <c r="N201" s="12" t="n"/>
      <c r="O201" s="12" t="n"/>
    </row>
    <row r="202">
      <c r="A202" s="15" t="n"/>
      <c r="B202" s="12" t="n"/>
      <c r="C202" s="12" t="n"/>
      <c r="D202" s="12" t="n"/>
      <c r="E202" s="12" t="n"/>
      <c r="F202" s="14" t="n"/>
      <c r="G202" s="14" t="n"/>
      <c r="H202" s="13">
        <f>IFERROR(VLOOKUP(D202,LaborRates,6,FALSE),"")</f>
        <v/>
      </c>
      <c r="I202" s="13">
        <f>IFERROR(VLOOKUP(D202,LaborRates,7,FALSE),"")</f>
        <v/>
      </c>
      <c r="J202" s="13">
        <f>IF(OR(F202="",H202=""),"",F202*H202)</f>
        <v/>
      </c>
      <c r="K202" s="13">
        <f>IF(OR(G202="",I202=""),"",G202*I202)</f>
        <v/>
      </c>
      <c r="L202" s="13">
        <f>IF(J202="",K202,IF(K202="",J202,J202+K202))</f>
        <v/>
      </c>
      <c r="M202" s="12" t="n"/>
      <c r="N202" s="12" t="n"/>
      <c r="O202" s="12" t="n"/>
    </row>
    <row r="203">
      <c r="A203" s="15" t="n"/>
      <c r="B203" s="12" t="n"/>
      <c r="C203" s="12" t="n"/>
      <c r="D203" s="12" t="n"/>
      <c r="E203" s="12" t="n"/>
      <c r="F203" s="14" t="n"/>
      <c r="G203" s="14" t="n"/>
      <c r="H203" s="13">
        <f>IFERROR(VLOOKUP(D203,LaborRates,6,FALSE),"")</f>
        <v/>
      </c>
      <c r="I203" s="13">
        <f>IFERROR(VLOOKUP(D203,LaborRates,7,FALSE),"")</f>
        <v/>
      </c>
      <c r="J203" s="13">
        <f>IF(OR(F203="",H203=""),"",F203*H203)</f>
        <v/>
      </c>
      <c r="K203" s="13">
        <f>IF(OR(G203="",I203=""),"",G203*I203)</f>
        <v/>
      </c>
      <c r="L203" s="13">
        <f>IF(J203="",K203,IF(K203="",J203,J203+K203))</f>
        <v/>
      </c>
      <c r="M203" s="12" t="n"/>
      <c r="N203" s="12" t="n"/>
      <c r="O203" s="12" t="n"/>
    </row>
    <row r="205">
      <c r="E205" s="16" t="inlineStr">
        <is>
          <t>TOTALS</t>
        </is>
      </c>
      <c r="F205" s="17">
        <f>SUM(F4:F203)</f>
        <v/>
      </c>
      <c r="G205" s="17">
        <f>SUM(G4:G203)</f>
        <v/>
      </c>
      <c r="J205" s="18">
        <f>SUM(J4:J203)</f>
        <v/>
      </c>
      <c r="K205" s="18">
        <f>SUM(K4:K203)</f>
        <v/>
      </c>
      <c r="L205" s="18">
        <f>SUM(L4:L203)</f>
        <v/>
      </c>
    </row>
  </sheetData>
  <mergeCells count="1">
    <mergeCell ref="A1:O1"/>
  </mergeCells>
  <conditionalFormatting sqref="M4:M203">
    <cfRule type="expression" priority="1" dxfId="0">
      <formula>M4="Disputed"</formula>
    </cfRule>
    <cfRule type="expression" priority="2" dxfId="1">
      <formula>M4="Unsigned"</formula>
    </cfRule>
    <cfRule type="expression" priority="3" dxfId="2">
      <formula>M4="Approved"</formula>
    </cfRule>
    <cfRule type="expression" priority="4" dxfId="2">
      <formula>M4="Paid"</formula>
    </cfRule>
  </conditionalFormatting>
  <dataValidations count="1">
    <dataValidation sqref="M4:M203" showDropDown="0" showInputMessage="0" showErrorMessage="0" allowBlank="1" type="list">
      <formula1>"Pending,Signed,Disputed,Approved,Invoiced,Paid,Unsigned"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14" customWidth="1" min="4" max="4"/>
    <col width="28" customWidth="1" min="5" max="5"/>
    <col width="10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</cols>
  <sheetData>
    <row r="1" ht="32" customHeight="1">
      <c r="A1" s="1" t="inlineStr">
        <is>
          <t>EQUIPMENT TICKETS</t>
        </is>
      </c>
    </row>
    <row r="3" ht="30" customHeight="1">
      <c r="A3" s="11" t="inlineStr">
        <is>
          <t>Date</t>
        </is>
      </c>
      <c r="B3" s="11" t="inlineStr">
        <is>
          <t>Ticket #</t>
        </is>
      </c>
      <c r="C3" s="11" t="inlineStr">
        <is>
          <t>Equipment</t>
        </is>
      </c>
      <c r="D3" s="11" t="inlineStr">
        <is>
          <t>Owned / Rented</t>
        </is>
      </c>
      <c r="E3" s="11" t="inlineStr">
        <is>
          <t>Task / CO Ref</t>
        </is>
      </c>
      <c r="F3" s="11" t="inlineStr">
        <is>
          <t>Hours</t>
        </is>
      </c>
      <c r="G3" s="11" t="inlineStr">
        <is>
          <t>Hourly Rate ($)</t>
        </is>
      </c>
      <c r="H3" s="11" t="inlineStr">
        <is>
          <t>Subtotal ($)</t>
        </is>
      </c>
      <c r="I3" s="11" t="inlineStr">
        <is>
          <t>Markup</t>
        </is>
      </c>
      <c r="J3" s="11" t="inlineStr">
        <is>
          <t>Billed Total ($)</t>
        </is>
      </c>
      <c r="K3" s="11" t="inlineStr">
        <is>
          <t>Status</t>
        </is>
      </c>
      <c r="L3" s="11" t="inlineStr">
        <is>
          <t>GC Signature</t>
        </is>
      </c>
      <c r="M3" s="11" t="inlineStr">
        <is>
          <t>Notes</t>
        </is>
      </c>
    </row>
    <row r="4">
      <c r="A4" s="15" t="n"/>
      <c r="B4" s="12" t="n"/>
      <c r="C4" s="12" t="n"/>
      <c r="D4" s="12" t="n"/>
      <c r="E4" s="12" t="n"/>
      <c r="F4" s="14" t="n"/>
      <c r="G4" s="13" t="n"/>
      <c r="H4" s="13">
        <f>IF(OR(F4="",G4=""),"",F4*G4)</f>
        <v/>
      </c>
      <c r="I4" s="19">
        <f>IF(D4="Owned",EquipOwnedMarkup,IF(D4="Rented",EquipRentedMarkup,0))</f>
        <v/>
      </c>
      <c r="J4" s="13">
        <f>IF(H4="","",H4*(1+I4))</f>
        <v/>
      </c>
      <c r="K4" s="12" t="n"/>
      <c r="L4" s="12" t="n"/>
      <c r="M4" s="12" t="n"/>
    </row>
    <row r="5">
      <c r="A5" s="15" t="n"/>
      <c r="B5" s="12" t="n"/>
      <c r="C5" s="12" t="n"/>
      <c r="D5" s="12" t="n"/>
      <c r="E5" s="12" t="n"/>
      <c r="F5" s="14" t="n"/>
      <c r="G5" s="13" t="n"/>
      <c r="H5" s="13">
        <f>IF(OR(F5="",G5=""),"",F5*G5)</f>
        <v/>
      </c>
      <c r="I5" s="19">
        <f>IF(D5="Owned",EquipOwnedMarkup,IF(D5="Rented",EquipRentedMarkup,0))</f>
        <v/>
      </c>
      <c r="J5" s="13">
        <f>IF(H5="","",H5*(1+I5))</f>
        <v/>
      </c>
      <c r="K5" s="12" t="n"/>
      <c r="L5" s="12" t="n"/>
      <c r="M5" s="12" t="n"/>
    </row>
    <row r="6">
      <c r="A6" s="15" t="n"/>
      <c r="B6" s="12" t="n"/>
      <c r="C6" s="12" t="n"/>
      <c r="D6" s="12" t="n"/>
      <c r="E6" s="12" t="n"/>
      <c r="F6" s="14" t="n"/>
      <c r="G6" s="13" t="n"/>
      <c r="H6" s="13">
        <f>IF(OR(F6="",G6=""),"",F6*G6)</f>
        <v/>
      </c>
      <c r="I6" s="19">
        <f>IF(D6="Owned",EquipOwnedMarkup,IF(D6="Rented",EquipRentedMarkup,0))</f>
        <v/>
      </c>
      <c r="J6" s="13">
        <f>IF(H6="","",H6*(1+I6))</f>
        <v/>
      </c>
      <c r="K6" s="12" t="n"/>
      <c r="L6" s="12" t="n"/>
      <c r="M6" s="12" t="n"/>
    </row>
    <row r="7">
      <c r="A7" s="15" t="n"/>
      <c r="B7" s="12" t="n"/>
      <c r="C7" s="12" t="n"/>
      <c r="D7" s="12" t="n"/>
      <c r="E7" s="12" t="n"/>
      <c r="F7" s="14" t="n"/>
      <c r="G7" s="13" t="n"/>
      <c r="H7" s="13">
        <f>IF(OR(F7="",G7=""),"",F7*G7)</f>
        <v/>
      </c>
      <c r="I7" s="19">
        <f>IF(D7="Owned",EquipOwnedMarkup,IF(D7="Rented",EquipRentedMarkup,0))</f>
        <v/>
      </c>
      <c r="J7" s="13">
        <f>IF(H7="","",H7*(1+I7))</f>
        <v/>
      </c>
      <c r="K7" s="12" t="n"/>
      <c r="L7" s="12" t="n"/>
      <c r="M7" s="12" t="n"/>
    </row>
    <row r="8">
      <c r="A8" s="15" t="n"/>
      <c r="B8" s="12" t="n"/>
      <c r="C8" s="12" t="n"/>
      <c r="D8" s="12" t="n"/>
      <c r="E8" s="12" t="n"/>
      <c r="F8" s="14" t="n"/>
      <c r="G8" s="13" t="n"/>
      <c r="H8" s="13">
        <f>IF(OR(F8="",G8=""),"",F8*G8)</f>
        <v/>
      </c>
      <c r="I8" s="19">
        <f>IF(D8="Owned",EquipOwnedMarkup,IF(D8="Rented",EquipRentedMarkup,0))</f>
        <v/>
      </c>
      <c r="J8" s="13">
        <f>IF(H8="","",H8*(1+I8))</f>
        <v/>
      </c>
      <c r="K8" s="12" t="n"/>
      <c r="L8" s="12" t="n"/>
      <c r="M8" s="12" t="n"/>
    </row>
    <row r="9">
      <c r="A9" s="15" t="n"/>
      <c r="B9" s="12" t="n"/>
      <c r="C9" s="12" t="n"/>
      <c r="D9" s="12" t="n"/>
      <c r="E9" s="12" t="n"/>
      <c r="F9" s="14" t="n"/>
      <c r="G9" s="13" t="n"/>
      <c r="H9" s="13">
        <f>IF(OR(F9="",G9=""),"",F9*G9)</f>
        <v/>
      </c>
      <c r="I9" s="19">
        <f>IF(D9="Owned",EquipOwnedMarkup,IF(D9="Rented",EquipRentedMarkup,0))</f>
        <v/>
      </c>
      <c r="J9" s="13">
        <f>IF(H9="","",H9*(1+I9))</f>
        <v/>
      </c>
      <c r="K9" s="12" t="n"/>
      <c r="L9" s="12" t="n"/>
      <c r="M9" s="12" t="n"/>
    </row>
    <row r="10">
      <c r="A10" s="15" t="n"/>
      <c r="B10" s="12" t="n"/>
      <c r="C10" s="12" t="n"/>
      <c r="D10" s="12" t="n"/>
      <c r="E10" s="12" t="n"/>
      <c r="F10" s="14" t="n"/>
      <c r="G10" s="13" t="n"/>
      <c r="H10" s="13">
        <f>IF(OR(F10="",G10=""),"",F10*G10)</f>
        <v/>
      </c>
      <c r="I10" s="19">
        <f>IF(D10="Owned",EquipOwnedMarkup,IF(D10="Rented",EquipRentedMarkup,0))</f>
        <v/>
      </c>
      <c r="J10" s="13">
        <f>IF(H10="","",H10*(1+I10))</f>
        <v/>
      </c>
      <c r="K10" s="12" t="n"/>
      <c r="L10" s="12" t="n"/>
      <c r="M10" s="12" t="n"/>
    </row>
    <row r="11">
      <c r="A11" s="15" t="n"/>
      <c r="B11" s="12" t="n"/>
      <c r="C11" s="12" t="n"/>
      <c r="D11" s="12" t="n"/>
      <c r="E11" s="12" t="n"/>
      <c r="F11" s="14" t="n"/>
      <c r="G11" s="13" t="n"/>
      <c r="H11" s="13">
        <f>IF(OR(F11="",G11=""),"",F11*G11)</f>
        <v/>
      </c>
      <c r="I11" s="19">
        <f>IF(D11="Owned",EquipOwnedMarkup,IF(D11="Rented",EquipRentedMarkup,0))</f>
        <v/>
      </c>
      <c r="J11" s="13">
        <f>IF(H11="","",H11*(1+I11))</f>
        <v/>
      </c>
      <c r="K11" s="12" t="n"/>
      <c r="L11" s="12" t="n"/>
      <c r="M11" s="12" t="n"/>
    </row>
    <row r="12">
      <c r="A12" s="15" t="n"/>
      <c r="B12" s="12" t="n"/>
      <c r="C12" s="12" t="n"/>
      <c r="D12" s="12" t="n"/>
      <c r="E12" s="12" t="n"/>
      <c r="F12" s="14" t="n"/>
      <c r="G12" s="13" t="n"/>
      <c r="H12" s="13">
        <f>IF(OR(F12="",G12=""),"",F12*G12)</f>
        <v/>
      </c>
      <c r="I12" s="19">
        <f>IF(D12="Owned",EquipOwnedMarkup,IF(D12="Rented",EquipRentedMarkup,0))</f>
        <v/>
      </c>
      <c r="J12" s="13">
        <f>IF(H12="","",H12*(1+I12))</f>
        <v/>
      </c>
      <c r="K12" s="12" t="n"/>
      <c r="L12" s="12" t="n"/>
      <c r="M12" s="12" t="n"/>
    </row>
    <row r="13">
      <c r="A13" s="15" t="n"/>
      <c r="B13" s="12" t="n"/>
      <c r="C13" s="12" t="n"/>
      <c r="D13" s="12" t="n"/>
      <c r="E13" s="12" t="n"/>
      <c r="F13" s="14" t="n"/>
      <c r="G13" s="13" t="n"/>
      <c r="H13" s="13">
        <f>IF(OR(F13="",G13=""),"",F13*G13)</f>
        <v/>
      </c>
      <c r="I13" s="19">
        <f>IF(D13="Owned",EquipOwnedMarkup,IF(D13="Rented",EquipRentedMarkup,0))</f>
        <v/>
      </c>
      <c r="J13" s="13">
        <f>IF(H13="","",H13*(1+I13))</f>
        <v/>
      </c>
      <c r="K13" s="12" t="n"/>
      <c r="L13" s="12" t="n"/>
      <c r="M13" s="12" t="n"/>
    </row>
    <row r="14">
      <c r="A14" s="15" t="n"/>
      <c r="B14" s="12" t="n"/>
      <c r="C14" s="12" t="n"/>
      <c r="D14" s="12" t="n"/>
      <c r="E14" s="12" t="n"/>
      <c r="F14" s="14" t="n"/>
      <c r="G14" s="13" t="n"/>
      <c r="H14" s="13">
        <f>IF(OR(F14="",G14=""),"",F14*G14)</f>
        <v/>
      </c>
      <c r="I14" s="19">
        <f>IF(D14="Owned",EquipOwnedMarkup,IF(D14="Rented",EquipRentedMarkup,0))</f>
        <v/>
      </c>
      <c r="J14" s="13">
        <f>IF(H14="","",H14*(1+I14))</f>
        <v/>
      </c>
      <c r="K14" s="12" t="n"/>
      <c r="L14" s="12" t="n"/>
      <c r="M14" s="12" t="n"/>
    </row>
    <row r="15">
      <c r="A15" s="15" t="n"/>
      <c r="B15" s="12" t="n"/>
      <c r="C15" s="12" t="n"/>
      <c r="D15" s="12" t="n"/>
      <c r="E15" s="12" t="n"/>
      <c r="F15" s="14" t="n"/>
      <c r="G15" s="13" t="n"/>
      <c r="H15" s="13">
        <f>IF(OR(F15="",G15=""),"",F15*G15)</f>
        <v/>
      </c>
      <c r="I15" s="19">
        <f>IF(D15="Owned",EquipOwnedMarkup,IF(D15="Rented",EquipRentedMarkup,0))</f>
        <v/>
      </c>
      <c r="J15" s="13">
        <f>IF(H15="","",H15*(1+I15))</f>
        <v/>
      </c>
      <c r="K15" s="12" t="n"/>
      <c r="L15" s="12" t="n"/>
      <c r="M15" s="12" t="n"/>
    </row>
    <row r="16">
      <c r="A16" s="15" t="n"/>
      <c r="B16" s="12" t="n"/>
      <c r="C16" s="12" t="n"/>
      <c r="D16" s="12" t="n"/>
      <c r="E16" s="12" t="n"/>
      <c r="F16" s="14" t="n"/>
      <c r="G16" s="13" t="n"/>
      <c r="H16" s="13">
        <f>IF(OR(F16="",G16=""),"",F16*G16)</f>
        <v/>
      </c>
      <c r="I16" s="19">
        <f>IF(D16="Owned",EquipOwnedMarkup,IF(D16="Rented",EquipRentedMarkup,0))</f>
        <v/>
      </c>
      <c r="J16" s="13">
        <f>IF(H16="","",H16*(1+I16))</f>
        <v/>
      </c>
      <c r="K16" s="12" t="n"/>
      <c r="L16" s="12" t="n"/>
      <c r="M16" s="12" t="n"/>
    </row>
    <row r="17">
      <c r="A17" s="15" t="n"/>
      <c r="B17" s="12" t="n"/>
      <c r="C17" s="12" t="n"/>
      <c r="D17" s="12" t="n"/>
      <c r="E17" s="12" t="n"/>
      <c r="F17" s="14" t="n"/>
      <c r="G17" s="13" t="n"/>
      <c r="H17" s="13">
        <f>IF(OR(F17="",G17=""),"",F17*G17)</f>
        <v/>
      </c>
      <c r="I17" s="19">
        <f>IF(D17="Owned",EquipOwnedMarkup,IF(D17="Rented",EquipRentedMarkup,0))</f>
        <v/>
      </c>
      <c r="J17" s="13">
        <f>IF(H17="","",H17*(1+I17))</f>
        <v/>
      </c>
      <c r="K17" s="12" t="n"/>
      <c r="L17" s="12" t="n"/>
      <c r="M17" s="12" t="n"/>
    </row>
    <row r="18">
      <c r="A18" s="15" t="n"/>
      <c r="B18" s="12" t="n"/>
      <c r="C18" s="12" t="n"/>
      <c r="D18" s="12" t="n"/>
      <c r="E18" s="12" t="n"/>
      <c r="F18" s="14" t="n"/>
      <c r="G18" s="13" t="n"/>
      <c r="H18" s="13">
        <f>IF(OR(F18="",G18=""),"",F18*G18)</f>
        <v/>
      </c>
      <c r="I18" s="19">
        <f>IF(D18="Owned",EquipOwnedMarkup,IF(D18="Rented",EquipRentedMarkup,0))</f>
        <v/>
      </c>
      <c r="J18" s="13">
        <f>IF(H18="","",H18*(1+I18))</f>
        <v/>
      </c>
      <c r="K18" s="12" t="n"/>
      <c r="L18" s="12" t="n"/>
      <c r="M18" s="12" t="n"/>
    </row>
    <row r="19">
      <c r="A19" s="15" t="n"/>
      <c r="B19" s="12" t="n"/>
      <c r="C19" s="12" t="n"/>
      <c r="D19" s="12" t="n"/>
      <c r="E19" s="12" t="n"/>
      <c r="F19" s="14" t="n"/>
      <c r="G19" s="13" t="n"/>
      <c r="H19" s="13">
        <f>IF(OR(F19="",G19=""),"",F19*G19)</f>
        <v/>
      </c>
      <c r="I19" s="19">
        <f>IF(D19="Owned",EquipOwnedMarkup,IF(D19="Rented",EquipRentedMarkup,0))</f>
        <v/>
      </c>
      <c r="J19" s="13">
        <f>IF(H19="","",H19*(1+I19))</f>
        <v/>
      </c>
      <c r="K19" s="12" t="n"/>
      <c r="L19" s="12" t="n"/>
      <c r="M19" s="12" t="n"/>
    </row>
    <row r="20">
      <c r="A20" s="15" t="n"/>
      <c r="B20" s="12" t="n"/>
      <c r="C20" s="12" t="n"/>
      <c r="D20" s="12" t="n"/>
      <c r="E20" s="12" t="n"/>
      <c r="F20" s="14" t="n"/>
      <c r="G20" s="13" t="n"/>
      <c r="H20" s="13">
        <f>IF(OR(F20="",G20=""),"",F20*G20)</f>
        <v/>
      </c>
      <c r="I20" s="19">
        <f>IF(D20="Owned",EquipOwnedMarkup,IF(D20="Rented",EquipRentedMarkup,0))</f>
        <v/>
      </c>
      <c r="J20" s="13">
        <f>IF(H20="","",H20*(1+I20))</f>
        <v/>
      </c>
      <c r="K20" s="12" t="n"/>
      <c r="L20" s="12" t="n"/>
      <c r="M20" s="12" t="n"/>
    </row>
    <row r="21">
      <c r="A21" s="15" t="n"/>
      <c r="B21" s="12" t="n"/>
      <c r="C21" s="12" t="n"/>
      <c r="D21" s="12" t="n"/>
      <c r="E21" s="12" t="n"/>
      <c r="F21" s="14" t="n"/>
      <c r="G21" s="13" t="n"/>
      <c r="H21" s="13">
        <f>IF(OR(F21="",G21=""),"",F21*G21)</f>
        <v/>
      </c>
      <c r="I21" s="19">
        <f>IF(D21="Owned",EquipOwnedMarkup,IF(D21="Rented",EquipRentedMarkup,0))</f>
        <v/>
      </c>
      <c r="J21" s="13">
        <f>IF(H21="","",H21*(1+I21))</f>
        <v/>
      </c>
      <c r="K21" s="12" t="n"/>
      <c r="L21" s="12" t="n"/>
      <c r="M21" s="12" t="n"/>
    </row>
    <row r="22">
      <c r="A22" s="15" t="n"/>
      <c r="B22" s="12" t="n"/>
      <c r="C22" s="12" t="n"/>
      <c r="D22" s="12" t="n"/>
      <c r="E22" s="12" t="n"/>
      <c r="F22" s="14" t="n"/>
      <c r="G22" s="13" t="n"/>
      <c r="H22" s="13">
        <f>IF(OR(F22="",G22=""),"",F22*G22)</f>
        <v/>
      </c>
      <c r="I22" s="19">
        <f>IF(D22="Owned",EquipOwnedMarkup,IF(D22="Rented",EquipRentedMarkup,0))</f>
        <v/>
      </c>
      <c r="J22" s="13">
        <f>IF(H22="","",H22*(1+I22))</f>
        <v/>
      </c>
      <c r="K22" s="12" t="n"/>
      <c r="L22" s="12" t="n"/>
      <c r="M22" s="12" t="n"/>
    </row>
    <row r="23">
      <c r="A23" s="15" t="n"/>
      <c r="B23" s="12" t="n"/>
      <c r="C23" s="12" t="n"/>
      <c r="D23" s="12" t="n"/>
      <c r="E23" s="12" t="n"/>
      <c r="F23" s="14" t="n"/>
      <c r="G23" s="13" t="n"/>
      <c r="H23" s="13">
        <f>IF(OR(F23="",G23=""),"",F23*G23)</f>
        <v/>
      </c>
      <c r="I23" s="19">
        <f>IF(D23="Owned",EquipOwnedMarkup,IF(D23="Rented",EquipRentedMarkup,0))</f>
        <v/>
      </c>
      <c r="J23" s="13">
        <f>IF(H23="","",H23*(1+I23))</f>
        <v/>
      </c>
      <c r="K23" s="12" t="n"/>
      <c r="L23" s="12" t="n"/>
      <c r="M23" s="12" t="n"/>
    </row>
    <row r="24">
      <c r="A24" s="15" t="n"/>
      <c r="B24" s="12" t="n"/>
      <c r="C24" s="12" t="n"/>
      <c r="D24" s="12" t="n"/>
      <c r="E24" s="12" t="n"/>
      <c r="F24" s="14" t="n"/>
      <c r="G24" s="13" t="n"/>
      <c r="H24" s="13">
        <f>IF(OR(F24="",G24=""),"",F24*G24)</f>
        <v/>
      </c>
      <c r="I24" s="19">
        <f>IF(D24="Owned",EquipOwnedMarkup,IF(D24="Rented",EquipRentedMarkup,0))</f>
        <v/>
      </c>
      <c r="J24" s="13">
        <f>IF(H24="","",H24*(1+I24))</f>
        <v/>
      </c>
      <c r="K24" s="12" t="n"/>
      <c r="L24" s="12" t="n"/>
      <c r="M24" s="12" t="n"/>
    </row>
    <row r="25">
      <c r="A25" s="15" t="n"/>
      <c r="B25" s="12" t="n"/>
      <c r="C25" s="12" t="n"/>
      <c r="D25" s="12" t="n"/>
      <c r="E25" s="12" t="n"/>
      <c r="F25" s="14" t="n"/>
      <c r="G25" s="13" t="n"/>
      <c r="H25" s="13">
        <f>IF(OR(F25="",G25=""),"",F25*G25)</f>
        <v/>
      </c>
      <c r="I25" s="19">
        <f>IF(D25="Owned",EquipOwnedMarkup,IF(D25="Rented",EquipRentedMarkup,0))</f>
        <v/>
      </c>
      <c r="J25" s="13">
        <f>IF(H25="","",H25*(1+I25))</f>
        <v/>
      </c>
      <c r="K25" s="12" t="n"/>
      <c r="L25" s="12" t="n"/>
      <c r="M25" s="12" t="n"/>
    </row>
    <row r="26">
      <c r="A26" s="15" t="n"/>
      <c r="B26" s="12" t="n"/>
      <c r="C26" s="12" t="n"/>
      <c r="D26" s="12" t="n"/>
      <c r="E26" s="12" t="n"/>
      <c r="F26" s="14" t="n"/>
      <c r="G26" s="13" t="n"/>
      <c r="H26" s="13">
        <f>IF(OR(F26="",G26=""),"",F26*G26)</f>
        <v/>
      </c>
      <c r="I26" s="19">
        <f>IF(D26="Owned",EquipOwnedMarkup,IF(D26="Rented",EquipRentedMarkup,0))</f>
        <v/>
      </c>
      <c r="J26" s="13">
        <f>IF(H26="","",H26*(1+I26))</f>
        <v/>
      </c>
      <c r="K26" s="12" t="n"/>
      <c r="L26" s="12" t="n"/>
      <c r="M26" s="12" t="n"/>
    </row>
    <row r="27">
      <c r="A27" s="15" t="n"/>
      <c r="B27" s="12" t="n"/>
      <c r="C27" s="12" t="n"/>
      <c r="D27" s="12" t="n"/>
      <c r="E27" s="12" t="n"/>
      <c r="F27" s="14" t="n"/>
      <c r="G27" s="13" t="n"/>
      <c r="H27" s="13">
        <f>IF(OR(F27="",G27=""),"",F27*G27)</f>
        <v/>
      </c>
      <c r="I27" s="19">
        <f>IF(D27="Owned",EquipOwnedMarkup,IF(D27="Rented",EquipRentedMarkup,0))</f>
        <v/>
      </c>
      <c r="J27" s="13">
        <f>IF(H27="","",H27*(1+I27))</f>
        <v/>
      </c>
      <c r="K27" s="12" t="n"/>
      <c r="L27" s="12" t="n"/>
      <c r="M27" s="12" t="n"/>
    </row>
    <row r="28">
      <c r="A28" s="15" t="n"/>
      <c r="B28" s="12" t="n"/>
      <c r="C28" s="12" t="n"/>
      <c r="D28" s="12" t="n"/>
      <c r="E28" s="12" t="n"/>
      <c r="F28" s="14" t="n"/>
      <c r="G28" s="13" t="n"/>
      <c r="H28" s="13">
        <f>IF(OR(F28="",G28=""),"",F28*G28)</f>
        <v/>
      </c>
      <c r="I28" s="19">
        <f>IF(D28="Owned",EquipOwnedMarkup,IF(D28="Rented",EquipRentedMarkup,0))</f>
        <v/>
      </c>
      <c r="J28" s="13">
        <f>IF(H28="","",H28*(1+I28))</f>
        <v/>
      </c>
      <c r="K28" s="12" t="n"/>
      <c r="L28" s="12" t="n"/>
      <c r="M28" s="12" t="n"/>
    </row>
    <row r="29">
      <c r="A29" s="15" t="n"/>
      <c r="B29" s="12" t="n"/>
      <c r="C29" s="12" t="n"/>
      <c r="D29" s="12" t="n"/>
      <c r="E29" s="12" t="n"/>
      <c r="F29" s="14" t="n"/>
      <c r="G29" s="13" t="n"/>
      <c r="H29" s="13">
        <f>IF(OR(F29="",G29=""),"",F29*G29)</f>
        <v/>
      </c>
      <c r="I29" s="19">
        <f>IF(D29="Owned",EquipOwnedMarkup,IF(D29="Rented",EquipRentedMarkup,0))</f>
        <v/>
      </c>
      <c r="J29" s="13">
        <f>IF(H29="","",H29*(1+I29))</f>
        <v/>
      </c>
      <c r="K29" s="12" t="n"/>
      <c r="L29" s="12" t="n"/>
      <c r="M29" s="12" t="n"/>
    </row>
    <row r="30">
      <c r="A30" s="15" t="n"/>
      <c r="B30" s="12" t="n"/>
      <c r="C30" s="12" t="n"/>
      <c r="D30" s="12" t="n"/>
      <c r="E30" s="12" t="n"/>
      <c r="F30" s="14" t="n"/>
      <c r="G30" s="13" t="n"/>
      <c r="H30" s="13">
        <f>IF(OR(F30="",G30=""),"",F30*G30)</f>
        <v/>
      </c>
      <c r="I30" s="19">
        <f>IF(D30="Owned",EquipOwnedMarkup,IF(D30="Rented",EquipRentedMarkup,0))</f>
        <v/>
      </c>
      <c r="J30" s="13">
        <f>IF(H30="","",H30*(1+I30))</f>
        <v/>
      </c>
      <c r="K30" s="12" t="n"/>
      <c r="L30" s="12" t="n"/>
      <c r="M30" s="12" t="n"/>
    </row>
    <row r="31">
      <c r="A31" s="15" t="n"/>
      <c r="B31" s="12" t="n"/>
      <c r="C31" s="12" t="n"/>
      <c r="D31" s="12" t="n"/>
      <c r="E31" s="12" t="n"/>
      <c r="F31" s="14" t="n"/>
      <c r="G31" s="13" t="n"/>
      <c r="H31" s="13">
        <f>IF(OR(F31="",G31=""),"",F31*G31)</f>
        <v/>
      </c>
      <c r="I31" s="19">
        <f>IF(D31="Owned",EquipOwnedMarkup,IF(D31="Rented",EquipRentedMarkup,0))</f>
        <v/>
      </c>
      <c r="J31" s="13">
        <f>IF(H31="","",H31*(1+I31))</f>
        <v/>
      </c>
      <c r="K31" s="12" t="n"/>
      <c r="L31" s="12" t="n"/>
      <c r="M31" s="12" t="n"/>
    </row>
    <row r="32">
      <c r="A32" s="15" t="n"/>
      <c r="B32" s="12" t="n"/>
      <c r="C32" s="12" t="n"/>
      <c r="D32" s="12" t="n"/>
      <c r="E32" s="12" t="n"/>
      <c r="F32" s="14" t="n"/>
      <c r="G32" s="13" t="n"/>
      <c r="H32" s="13">
        <f>IF(OR(F32="",G32=""),"",F32*G32)</f>
        <v/>
      </c>
      <c r="I32" s="19">
        <f>IF(D32="Owned",EquipOwnedMarkup,IF(D32="Rented",EquipRentedMarkup,0))</f>
        <v/>
      </c>
      <c r="J32" s="13">
        <f>IF(H32="","",H32*(1+I32))</f>
        <v/>
      </c>
      <c r="K32" s="12" t="n"/>
      <c r="L32" s="12" t="n"/>
      <c r="M32" s="12" t="n"/>
    </row>
    <row r="33">
      <c r="A33" s="15" t="n"/>
      <c r="B33" s="12" t="n"/>
      <c r="C33" s="12" t="n"/>
      <c r="D33" s="12" t="n"/>
      <c r="E33" s="12" t="n"/>
      <c r="F33" s="14" t="n"/>
      <c r="G33" s="13" t="n"/>
      <c r="H33" s="13">
        <f>IF(OR(F33="",G33=""),"",F33*G33)</f>
        <v/>
      </c>
      <c r="I33" s="19">
        <f>IF(D33="Owned",EquipOwnedMarkup,IF(D33="Rented",EquipRentedMarkup,0))</f>
        <v/>
      </c>
      <c r="J33" s="13">
        <f>IF(H33="","",H33*(1+I33))</f>
        <v/>
      </c>
      <c r="K33" s="12" t="n"/>
      <c r="L33" s="12" t="n"/>
      <c r="M33" s="12" t="n"/>
    </row>
    <row r="34">
      <c r="A34" s="15" t="n"/>
      <c r="B34" s="12" t="n"/>
      <c r="C34" s="12" t="n"/>
      <c r="D34" s="12" t="n"/>
      <c r="E34" s="12" t="n"/>
      <c r="F34" s="14" t="n"/>
      <c r="G34" s="13" t="n"/>
      <c r="H34" s="13">
        <f>IF(OR(F34="",G34=""),"",F34*G34)</f>
        <v/>
      </c>
      <c r="I34" s="19">
        <f>IF(D34="Owned",EquipOwnedMarkup,IF(D34="Rented",EquipRentedMarkup,0))</f>
        <v/>
      </c>
      <c r="J34" s="13">
        <f>IF(H34="","",H34*(1+I34))</f>
        <v/>
      </c>
      <c r="K34" s="12" t="n"/>
      <c r="L34" s="12" t="n"/>
      <c r="M34" s="12" t="n"/>
    </row>
    <row r="35">
      <c r="A35" s="15" t="n"/>
      <c r="B35" s="12" t="n"/>
      <c r="C35" s="12" t="n"/>
      <c r="D35" s="12" t="n"/>
      <c r="E35" s="12" t="n"/>
      <c r="F35" s="14" t="n"/>
      <c r="G35" s="13" t="n"/>
      <c r="H35" s="13">
        <f>IF(OR(F35="",G35=""),"",F35*G35)</f>
        <v/>
      </c>
      <c r="I35" s="19">
        <f>IF(D35="Owned",EquipOwnedMarkup,IF(D35="Rented",EquipRentedMarkup,0))</f>
        <v/>
      </c>
      <c r="J35" s="13">
        <f>IF(H35="","",H35*(1+I35))</f>
        <v/>
      </c>
      <c r="K35" s="12" t="n"/>
      <c r="L35" s="12" t="n"/>
      <c r="M35" s="12" t="n"/>
    </row>
    <row r="36">
      <c r="A36" s="15" t="n"/>
      <c r="B36" s="12" t="n"/>
      <c r="C36" s="12" t="n"/>
      <c r="D36" s="12" t="n"/>
      <c r="E36" s="12" t="n"/>
      <c r="F36" s="14" t="n"/>
      <c r="G36" s="13" t="n"/>
      <c r="H36" s="13">
        <f>IF(OR(F36="",G36=""),"",F36*G36)</f>
        <v/>
      </c>
      <c r="I36" s="19">
        <f>IF(D36="Owned",EquipOwnedMarkup,IF(D36="Rented",EquipRentedMarkup,0))</f>
        <v/>
      </c>
      <c r="J36" s="13">
        <f>IF(H36="","",H36*(1+I36))</f>
        <v/>
      </c>
      <c r="K36" s="12" t="n"/>
      <c r="L36" s="12" t="n"/>
      <c r="M36" s="12" t="n"/>
    </row>
    <row r="37">
      <c r="A37" s="15" t="n"/>
      <c r="B37" s="12" t="n"/>
      <c r="C37" s="12" t="n"/>
      <c r="D37" s="12" t="n"/>
      <c r="E37" s="12" t="n"/>
      <c r="F37" s="14" t="n"/>
      <c r="G37" s="13" t="n"/>
      <c r="H37" s="13">
        <f>IF(OR(F37="",G37=""),"",F37*G37)</f>
        <v/>
      </c>
      <c r="I37" s="19">
        <f>IF(D37="Owned",EquipOwnedMarkup,IF(D37="Rented",EquipRentedMarkup,0))</f>
        <v/>
      </c>
      <c r="J37" s="13">
        <f>IF(H37="","",H37*(1+I37))</f>
        <v/>
      </c>
      <c r="K37" s="12" t="n"/>
      <c r="L37" s="12" t="n"/>
      <c r="M37" s="12" t="n"/>
    </row>
    <row r="38">
      <c r="A38" s="15" t="n"/>
      <c r="B38" s="12" t="n"/>
      <c r="C38" s="12" t="n"/>
      <c r="D38" s="12" t="n"/>
      <c r="E38" s="12" t="n"/>
      <c r="F38" s="14" t="n"/>
      <c r="G38" s="13" t="n"/>
      <c r="H38" s="13">
        <f>IF(OR(F38="",G38=""),"",F38*G38)</f>
        <v/>
      </c>
      <c r="I38" s="19">
        <f>IF(D38="Owned",EquipOwnedMarkup,IF(D38="Rented",EquipRentedMarkup,0))</f>
        <v/>
      </c>
      <c r="J38" s="13">
        <f>IF(H38="","",H38*(1+I38))</f>
        <v/>
      </c>
      <c r="K38" s="12" t="n"/>
      <c r="L38" s="12" t="n"/>
      <c r="M38" s="12" t="n"/>
    </row>
    <row r="39">
      <c r="A39" s="15" t="n"/>
      <c r="B39" s="12" t="n"/>
      <c r="C39" s="12" t="n"/>
      <c r="D39" s="12" t="n"/>
      <c r="E39" s="12" t="n"/>
      <c r="F39" s="14" t="n"/>
      <c r="G39" s="13" t="n"/>
      <c r="H39" s="13">
        <f>IF(OR(F39="",G39=""),"",F39*G39)</f>
        <v/>
      </c>
      <c r="I39" s="19">
        <f>IF(D39="Owned",EquipOwnedMarkup,IF(D39="Rented",EquipRentedMarkup,0))</f>
        <v/>
      </c>
      <c r="J39" s="13">
        <f>IF(H39="","",H39*(1+I39))</f>
        <v/>
      </c>
      <c r="K39" s="12" t="n"/>
      <c r="L39" s="12" t="n"/>
      <c r="M39" s="12" t="n"/>
    </row>
    <row r="40">
      <c r="A40" s="15" t="n"/>
      <c r="B40" s="12" t="n"/>
      <c r="C40" s="12" t="n"/>
      <c r="D40" s="12" t="n"/>
      <c r="E40" s="12" t="n"/>
      <c r="F40" s="14" t="n"/>
      <c r="G40" s="13" t="n"/>
      <c r="H40" s="13">
        <f>IF(OR(F40="",G40=""),"",F40*G40)</f>
        <v/>
      </c>
      <c r="I40" s="19">
        <f>IF(D40="Owned",EquipOwnedMarkup,IF(D40="Rented",EquipRentedMarkup,0))</f>
        <v/>
      </c>
      <c r="J40" s="13">
        <f>IF(H40="","",H40*(1+I40))</f>
        <v/>
      </c>
      <c r="K40" s="12" t="n"/>
      <c r="L40" s="12" t="n"/>
      <c r="M40" s="12" t="n"/>
    </row>
    <row r="41">
      <c r="A41" s="15" t="n"/>
      <c r="B41" s="12" t="n"/>
      <c r="C41" s="12" t="n"/>
      <c r="D41" s="12" t="n"/>
      <c r="E41" s="12" t="n"/>
      <c r="F41" s="14" t="n"/>
      <c r="G41" s="13" t="n"/>
      <c r="H41" s="13">
        <f>IF(OR(F41="",G41=""),"",F41*G41)</f>
        <v/>
      </c>
      <c r="I41" s="19">
        <f>IF(D41="Owned",EquipOwnedMarkup,IF(D41="Rented",EquipRentedMarkup,0))</f>
        <v/>
      </c>
      <c r="J41" s="13">
        <f>IF(H41="","",H41*(1+I41))</f>
        <v/>
      </c>
      <c r="K41" s="12" t="n"/>
      <c r="L41" s="12" t="n"/>
      <c r="M41" s="12" t="n"/>
    </row>
    <row r="42">
      <c r="A42" s="15" t="n"/>
      <c r="B42" s="12" t="n"/>
      <c r="C42" s="12" t="n"/>
      <c r="D42" s="12" t="n"/>
      <c r="E42" s="12" t="n"/>
      <c r="F42" s="14" t="n"/>
      <c r="G42" s="13" t="n"/>
      <c r="H42" s="13">
        <f>IF(OR(F42="",G42=""),"",F42*G42)</f>
        <v/>
      </c>
      <c r="I42" s="19">
        <f>IF(D42="Owned",EquipOwnedMarkup,IF(D42="Rented",EquipRentedMarkup,0))</f>
        <v/>
      </c>
      <c r="J42" s="13">
        <f>IF(H42="","",H42*(1+I42))</f>
        <v/>
      </c>
      <c r="K42" s="12" t="n"/>
      <c r="L42" s="12" t="n"/>
      <c r="M42" s="12" t="n"/>
    </row>
    <row r="43">
      <c r="A43" s="15" t="n"/>
      <c r="B43" s="12" t="n"/>
      <c r="C43" s="12" t="n"/>
      <c r="D43" s="12" t="n"/>
      <c r="E43" s="12" t="n"/>
      <c r="F43" s="14" t="n"/>
      <c r="G43" s="13" t="n"/>
      <c r="H43" s="13">
        <f>IF(OR(F43="",G43=""),"",F43*G43)</f>
        <v/>
      </c>
      <c r="I43" s="19">
        <f>IF(D43="Owned",EquipOwnedMarkup,IF(D43="Rented",EquipRentedMarkup,0))</f>
        <v/>
      </c>
      <c r="J43" s="13">
        <f>IF(H43="","",H43*(1+I43))</f>
        <v/>
      </c>
      <c r="K43" s="12" t="n"/>
      <c r="L43" s="12" t="n"/>
      <c r="M43" s="12" t="n"/>
    </row>
    <row r="44">
      <c r="A44" s="15" t="n"/>
      <c r="B44" s="12" t="n"/>
      <c r="C44" s="12" t="n"/>
      <c r="D44" s="12" t="n"/>
      <c r="E44" s="12" t="n"/>
      <c r="F44" s="14" t="n"/>
      <c r="G44" s="13" t="n"/>
      <c r="H44" s="13">
        <f>IF(OR(F44="",G44=""),"",F44*G44)</f>
        <v/>
      </c>
      <c r="I44" s="19">
        <f>IF(D44="Owned",EquipOwnedMarkup,IF(D44="Rented",EquipRentedMarkup,0))</f>
        <v/>
      </c>
      <c r="J44" s="13">
        <f>IF(H44="","",H44*(1+I44))</f>
        <v/>
      </c>
      <c r="K44" s="12" t="n"/>
      <c r="L44" s="12" t="n"/>
      <c r="M44" s="12" t="n"/>
    </row>
    <row r="45">
      <c r="A45" s="15" t="n"/>
      <c r="B45" s="12" t="n"/>
      <c r="C45" s="12" t="n"/>
      <c r="D45" s="12" t="n"/>
      <c r="E45" s="12" t="n"/>
      <c r="F45" s="14" t="n"/>
      <c r="G45" s="13" t="n"/>
      <c r="H45" s="13">
        <f>IF(OR(F45="",G45=""),"",F45*G45)</f>
        <v/>
      </c>
      <c r="I45" s="19">
        <f>IF(D45="Owned",EquipOwnedMarkup,IF(D45="Rented",EquipRentedMarkup,0))</f>
        <v/>
      </c>
      <c r="J45" s="13">
        <f>IF(H45="","",H45*(1+I45))</f>
        <v/>
      </c>
      <c r="K45" s="12" t="n"/>
      <c r="L45" s="12" t="n"/>
      <c r="M45" s="12" t="n"/>
    </row>
    <row r="46">
      <c r="A46" s="15" t="n"/>
      <c r="B46" s="12" t="n"/>
      <c r="C46" s="12" t="n"/>
      <c r="D46" s="12" t="n"/>
      <c r="E46" s="12" t="n"/>
      <c r="F46" s="14" t="n"/>
      <c r="G46" s="13" t="n"/>
      <c r="H46" s="13">
        <f>IF(OR(F46="",G46=""),"",F46*G46)</f>
        <v/>
      </c>
      <c r="I46" s="19">
        <f>IF(D46="Owned",EquipOwnedMarkup,IF(D46="Rented",EquipRentedMarkup,0))</f>
        <v/>
      </c>
      <c r="J46" s="13">
        <f>IF(H46="","",H46*(1+I46))</f>
        <v/>
      </c>
      <c r="K46" s="12" t="n"/>
      <c r="L46" s="12" t="n"/>
      <c r="M46" s="12" t="n"/>
    </row>
    <row r="47">
      <c r="A47" s="15" t="n"/>
      <c r="B47" s="12" t="n"/>
      <c r="C47" s="12" t="n"/>
      <c r="D47" s="12" t="n"/>
      <c r="E47" s="12" t="n"/>
      <c r="F47" s="14" t="n"/>
      <c r="G47" s="13" t="n"/>
      <c r="H47" s="13">
        <f>IF(OR(F47="",G47=""),"",F47*G47)</f>
        <v/>
      </c>
      <c r="I47" s="19">
        <f>IF(D47="Owned",EquipOwnedMarkup,IF(D47="Rented",EquipRentedMarkup,0))</f>
        <v/>
      </c>
      <c r="J47" s="13">
        <f>IF(H47="","",H47*(1+I47))</f>
        <v/>
      </c>
      <c r="K47" s="12" t="n"/>
      <c r="L47" s="12" t="n"/>
      <c r="M47" s="12" t="n"/>
    </row>
    <row r="48">
      <c r="A48" s="15" t="n"/>
      <c r="B48" s="12" t="n"/>
      <c r="C48" s="12" t="n"/>
      <c r="D48" s="12" t="n"/>
      <c r="E48" s="12" t="n"/>
      <c r="F48" s="14" t="n"/>
      <c r="G48" s="13" t="n"/>
      <c r="H48" s="13">
        <f>IF(OR(F48="",G48=""),"",F48*G48)</f>
        <v/>
      </c>
      <c r="I48" s="19">
        <f>IF(D48="Owned",EquipOwnedMarkup,IF(D48="Rented",EquipRentedMarkup,0))</f>
        <v/>
      </c>
      <c r="J48" s="13">
        <f>IF(H48="","",H48*(1+I48))</f>
        <v/>
      </c>
      <c r="K48" s="12" t="n"/>
      <c r="L48" s="12" t="n"/>
      <c r="M48" s="12" t="n"/>
    </row>
    <row r="49">
      <c r="A49" s="15" t="n"/>
      <c r="B49" s="12" t="n"/>
      <c r="C49" s="12" t="n"/>
      <c r="D49" s="12" t="n"/>
      <c r="E49" s="12" t="n"/>
      <c r="F49" s="14" t="n"/>
      <c r="G49" s="13" t="n"/>
      <c r="H49" s="13">
        <f>IF(OR(F49="",G49=""),"",F49*G49)</f>
        <v/>
      </c>
      <c r="I49" s="19">
        <f>IF(D49="Owned",EquipOwnedMarkup,IF(D49="Rented",EquipRentedMarkup,0))</f>
        <v/>
      </c>
      <c r="J49" s="13">
        <f>IF(H49="","",H49*(1+I49))</f>
        <v/>
      </c>
      <c r="K49" s="12" t="n"/>
      <c r="L49" s="12" t="n"/>
      <c r="M49" s="12" t="n"/>
    </row>
    <row r="50">
      <c r="A50" s="15" t="n"/>
      <c r="B50" s="12" t="n"/>
      <c r="C50" s="12" t="n"/>
      <c r="D50" s="12" t="n"/>
      <c r="E50" s="12" t="n"/>
      <c r="F50" s="14" t="n"/>
      <c r="G50" s="13" t="n"/>
      <c r="H50" s="13">
        <f>IF(OR(F50="",G50=""),"",F50*G50)</f>
        <v/>
      </c>
      <c r="I50" s="19">
        <f>IF(D50="Owned",EquipOwnedMarkup,IF(D50="Rented",EquipRentedMarkup,0))</f>
        <v/>
      </c>
      <c r="J50" s="13">
        <f>IF(H50="","",H50*(1+I50))</f>
        <v/>
      </c>
      <c r="K50" s="12" t="n"/>
      <c r="L50" s="12" t="n"/>
      <c r="M50" s="12" t="n"/>
    </row>
    <row r="51">
      <c r="A51" s="15" t="n"/>
      <c r="B51" s="12" t="n"/>
      <c r="C51" s="12" t="n"/>
      <c r="D51" s="12" t="n"/>
      <c r="E51" s="12" t="n"/>
      <c r="F51" s="14" t="n"/>
      <c r="G51" s="13" t="n"/>
      <c r="H51" s="13">
        <f>IF(OR(F51="",G51=""),"",F51*G51)</f>
        <v/>
      </c>
      <c r="I51" s="19">
        <f>IF(D51="Owned",EquipOwnedMarkup,IF(D51="Rented",EquipRentedMarkup,0))</f>
        <v/>
      </c>
      <c r="J51" s="13">
        <f>IF(H51="","",H51*(1+I51))</f>
        <v/>
      </c>
      <c r="K51" s="12" t="n"/>
      <c r="L51" s="12" t="n"/>
      <c r="M51" s="12" t="n"/>
    </row>
    <row r="52">
      <c r="A52" s="15" t="n"/>
      <c r="B52" s="12" t="n"/>
      <c r="C52" s="12" t="n"/>
      <c r="D52" s="12" t="n"/>
      <c r="E52" s="12" t="n"/>
      <c r="F52" s="14" t="n"/>
      <c r="G52" s="13" t="n"/>
      <c r="H52" s="13">
        <f>IF(OR(F52="",G52=""),"",F52*G52)</f>
        <v/>
      </c>
      <c r="I52" s="19">
        <f>IF(D52="Owned",EquipOwnedMarkup,IF(D52="Rented",EquipRentedMarkup,0))</f>
        <v/>
      </c>
      <c r="J52" s="13">
        <f>IF(H52="","",H52*(1+I52))</f>
        <v/>
      </c>
      <c r="K52" s="12" t="n"/>
      <c r="L52" s="12" t="n"/>
      <c r="M52" s="12" t="n"/>
    </row>
    <row r="53">
      <c r="A53" s="15" t="n"/>
      <c r="B53" s="12" t="n"/>
      <c r="C53" s="12" t="n"/>
      <c r="D53" s="12" t="n"/>
      <c r="E53" s="12" t="n"/>
      <c r="F53" s="14" t="n"/>
      <c r="G53" s="13" t="n"/>
      <c r="H53" s="13">
        <f>IF(OR(F53="",G53=""),"",F53*G53)</f>
        <v/>
      </c>
      <c r="I53" s="19">
        <f>IF(D53="Owned",EquipOwnedMarkup,IF(D53="Rented",EquipRentedMarkup,0))</f>
        <v/>
      </c>
      <c r="J53" s="13">
        <f>IF(H53="","",H53*(1+I53))</f>
        <v/>
      </c>
      <c r="K53" s="12" t="n"/>
      <c r="L53" s="12" t="n"/>
      <c r="M53" s="12" t="n"/>
    </row>
    <row r="54">
      <c r="A54" s="15" t="n"/>
      <c r="B54" s="12" t="n"/>
      <c r="C54" s="12" t="n"/>
      <c r="D54" s="12" t="n"/>
      <c r="E54" s="12" t="n"/>
      <c r="F54" s="14" t="n"/>
      <c r="G54" s="13" t="n"/>
      <c r="H54" s="13">
        <f>IF(OR(F54="",G54=""),"",F54*G54)</f>
        <v/>
      </c>
      <c r="I54" s="19">
        <f>IF(D54="Owned",EquipOwnedMarkup,IF(D54="Rented",EquipRentedMarkup,0))</f>
        <v/>
      </c>
      <c r="J54" s="13">
        <f>IF(H54="","",H54*(1+I54))</f>
        <v/>
      </c>
      <c r="K54" s="12" t="n"/>
      <c r="L54" s="12" t="n"/>
      <c r="M54" s="12" t="n"/>
    </row>
    <row r="55">
      <c r="A55" s="15" t="n"/>
      <c r="B55" s="12" t="n"/>
      <c r="C55" s="12" t="n"/>
      <c r="D55" s="12" t="n"/>
      <c r="E55" s="12" t="n"/>
      <c r="F55" s="14" t="n"/>
      <c r="G55" s="13" t="n"/>
      <c r="H55" s="13">
        <f>IF(OR(F55="",G55=""),"",F55*G55)</f>
        <v/>
      </c>
      <c r="I55" s="19">
        <f>IF(D55="Owned",EquipOwnedMarkup,IF(D55="Rented",EquipRentedMarkup,0))</f>
        <v/>
      </c>
      <c r="J55" s="13">
        <f>IF(H55="","",H55*(1+I55))</f>
        <v/>
      </c>
      <c r="K55" s="12" t="n"/>
      <c r="L55" s="12" t="n"/>
      <c r="M55" s="12" t="n"/>
    </row>
    <row r="56">
      <c r="A56" s="15" t="n"/>
      <c r="B56" s="12" t="n"/>
      <c r="C56" s="12" t="n"/>
      <c r="D56" s="12" t="n"/>
      <c r="E56" s="12" t="n"/>
      <c r="F56" s="14" t="n"/>
      <c r="G56" s="13" t="n"/>
      <c r="H56" s="13">
        <f>IF(OR(F56="",G56=""),"",F56*G56)</f>
        <v/>
      </c>
      <c r="I56" s="19">
        <f>IF(D56="Owned",EquipOwnedMarkup,IF(D56="Rented",EquipRentedMarkup,0))</f>
        <v/>
      </c>
      <c r="J56" s="13">
        <f>IF(H56="","",H56*(1+I56))</f>
        <v/>
      </c>
      <c r="K56" s="12" t="n"/>
      <c r="L56" s="12" t="n"/>
      <c r="M56" s="12" t="n"/>
    </row>
    <row r="57">
      <c r="A57" s="15" t="n"/>
      <c r="B57" s="12" t="n"/>
      <c r="C57" s="12" t="n"/>
      <c r="D57" s="12" t="n"/>
      <c r="E57" s="12" t="n"/>
      <c r="F57" s="14" t="n"/>
      <c r="G57" s="13" t="n"/>
      <c r="H57" s="13">
        <f>IF(OR(F57="",G57=""),"",F57*G57)</f>
        <v/>
      </c>
      <c r="I57" s="19">
        <f>IF(D57="Owned",EquipOwnedMarkup,IF(D57="Rented",EquipRentedMarkup,0))</f>
        <v/>
      </c>
      <c r="J57" s="13">
        <f>IF(H57="","",H57*(1+I57))</f>
        <v/>
      </c>
      <c r="K57" s="12" t="n"/>
      <c r="L57" s="12" t="n"/>
      <c r="M57" s="12" t="n"/>
    </row>
    <row r="58">
      <c r="A58" s="15" t="n"/>
      <c r="B58" s="12" t="n"/>
      <c r="C58" s="12" t="n"/>
      <c r="D58" s="12" t="n"/>
      <c r="E58" s="12" t="n"/>
      <c r="F58" s="14" t="n"/>
      <c r="G58" s="13" t="n"/>
      <c r="H58" s="13">
        <f>IF(OR(F58="",G58=""),"",F58*G58)</f>
        <v/>
      </c>
      <c r="I58" s="19">
        <f>IF(D58="Owned",EquipOwnedMarkup,IF(D58="Rented",EquipRentedMarkup,0))</f>
        <v/>
      </c>
      <c r="J58" s="13">
        <f>IF(H58="","",H58*(1+I58))</f>
        <v/>
      </c>
      <c r="K58" s="12" t="n"/>
      <c r="L58" s="12" t="n"/>
      <c r="M58" s="12" t="n"/>
    </row>
    <row r="59">
      <c r="A59" s="15" t="n"/>
      <c r="B59" s="12" t="n"/>
      <c r="C59" s="12" t="n"/>
      <c r="D59" s="12" t="n"/>
      <c r="E59" s="12" t="n"/>
      <c r="F59" s="14" t="n"/>
      <c r="G59" s="13" t="n"/>
      <c r="H59" s="13">
        <f>IF(OR(F59="",G59=""),"",F59*G59)</f>
        <v/>
      </c>
      <c r="I59" s="19">
        <f>IF(D59="Owned",EquipOwnedMarkup,IF(D59="Rented",EquipRentedMarkup,0))</f>
        <v/>
      </c>
      <c r="J59" s="13">
        <f>IF(H59="","",H59*(1+I59))</f>
        <v/>
      </c>
      <c r="K59" s="12" t="n"/>
      <c r="L59" s="12" t="n"/>
      <c r="M59" s="12" t="n"/>
    </row>
    <row r="60">
      <c r="A60" s="15" t="n"/>
      <c r="B60" s="12" t="n"/>
      <c r="C60" s="12" t="n"/>
      <c r="D60" s="12" t="n"/>
      <c r="E60" s="12" t="n"/>
      <c r="F60" s="14" t="n"/>
      <c r="G60" s="13" t="n"/>
      <c r="H60" s="13">
        <f>IF(OR(F60="",G60=""),"",F60*G60)</f>
        <v/>
      </c>
      <c r="I60" s="19">
        <f>IF(D60="Owned",EquipOwnedMarkup,IF(D60="Rented",EquipRentedMarkup,0))</f>
        <v/>
      </c>
      <c r="J60" s="13">
        <f>IF(H60="","",H60*(1+I60))</f>
        <v/>
      </c>
      <c r="K60" s="12" t="n"/>
      <c r="L60" s="12" t="n"/>
      <c r="M60" s="12" t="n"/>
    </row>
    <row r="61">
      <c r="A61" s="15" t="n"/>
      <c r="B61" s="12" t="n"/>
      <c r="C61" s="12" t="n"/>
      <c r="D61" s="12" t="n"/>
      <c r="E61" s="12" t="n"/>
      <c r="F61" s="14" t="n"/>
      <c r="G61" s="13" t="n"/>
      <c r="H61" s="13">
        <f>IF(OR(F61="",G61=""),"",F61*G61)</f>
        <v/>
      </c>
      <c r="I61" s="19">
        <f>IF(D61="Owned",EquipOwnedMarkup,IF(D61="Rented",EquipRentedMarkup,0))</f>
        <v/>
      </c>
      <c r="J61" s="13">
        <f>IF(H61="","",H61*(1+I61))</f>
        <v/>
      </c>
      <c r="K61" s="12" t="n"/>
      <c r="L61" s="12" t="n"/>
      <c r="M61" s="12" t="n"/>
    </row>
    <row r="62">
      <c r="A62" s="15" t="n"/>
      <c r="B62" s="12" t="n"/>
      <c r="C62" s="12" t="n"/>
      <c r="D62" s="12" t="n"/>
      <c r="E62" s="12" t="n"/>
      <c r="F62" s="14" t="n"/>
      <c r="G62" s="13" t="n"/>
      <c r="H62" s="13">
        <f>IF(OR(F62="",G62=""),"",F62*G62)</f>
        <v/>
      </c>
      <c r="I62" s="19">
        <f>IF(D62="Owned",EquipOwnedMarkup,IF(D62="Rented",EquipRentedMarkup,0))</f>
        <v/>
      </c>
      <c r="J62" s="13">
        <f>IF(H62="","",H62*(1+I62))</f>
        <v/>
      </c>
      <c r="K62" s="12" t="n"/>
      <c r="L62" s="12" t="n"/>
      <c r="M62" s="12" t="n"/>
    </row>
    <row r="63">
      <c r="A63" s="15" t="n"/>
      <c r="B63" s="12" t="n"/>
      <c r="C63" s="12" t="n"/>
      <c r="D63" s="12" t="n"/>
      <c r="E63" s="12" t="n"/>
      <c r="F63" s="14" t="n"/>
      <c r="G63" s="13" t="n"/>
      <c r="H63" s="13">
        <f>IF(OR(F63="",G63=""),"",F63*G63)</f>
        <v/>
      </c>
      <c r="I63" s="19">
        <f>IF(D63="Owned",EquipOwnedMarkup,IF(D63="Rented",EquipRentedMarkup,0))</f>
        <v/>
      </c>
      <c r="J63" s="13">
        <f>IF(H63="","",H63*(1+I63))</f>
        <v/>
      </c>
      <c r="K63" s="12" t="n"/>
      <c r="L63" s="12" t="n"/>
      <c r="M63" s="12" t="n"/>
    </row>
    <row r="64">
      <c r="A64" s="15" t="n"/>
      <c r="B64" s="12" t="n"/>
      <c r="C64" s="12" t="n"/>
      <c r="D64" s="12" t="n"/>
      <c r="E64" s="12" t="n"/>
      <c r="F64" s="14" t="n"/>
      <c r="G64" s="13" t="n"/>
      <c r="H64" s="13">
        <f>IF(OR(F64="",G64=""),"",F64*G64)</f>
        <v/>
      </c>
      <c r="I64" s="19">
        <f>IF(D64="Owned",EquipOwnedMarkup,IF(D64="Rented",EquipRentedMarkup,0))</f>
        <v/>
      </c>
      <c r="J64" s="13">
        <f>IF(H64="","",H64*(1+I64))</f>
        <v/>
      </c>
      <c r="K64" s="12" t="n"/>
      <c r="L64" s="12" t="n"/>
      <c r="M64" s="12" t="n"/>
    </row>
    <row r="65">
      <c r="A65" s="15" t="n"/>
      <c r="B65" s="12" t="n"/>
      <c r="C65" s="12" t="n"/>
      <c r="D65" s="12" t="n"/>
      <c r="E65" s="12" t="n"/>
      <c r="F65" s="14" t="n"/>
      <c r="G65" s="13" t="n"/>
      <c r="H65" s="13">
        <f>IF(OR(F65="",G65=""),"",F65*G65)</f>
        <v/>
      </c>
      <c r="I65" s="19">
        <f>IF(D65="Owned",EquipOwnedMarkup,IF(D65="Rented",EquipRentedMarkup,0))</f>
        <v/>
      </c>
      <c r="J65" s="13">
        <f>IF(H65="","",H65*(1+I65))</f>
        <v/>
      </c>
      <c r="K65" s="12" t="n"/>
      <c r="L65" s="12" t="n"/>
      <c r="M65" s="12" t="n"/>
    </row>
    <row r="66">
      <c r="A66" s="15" t="n"/>
      <c r="B66" s="12" t="n"/>
      <c r="C66" s="12" t="n"/>
      <c r="D66" s="12" t="n"/>
      <c r="E66" s="12" t="n"/>
      <c r="F66" s="14" t="n"/>
      <c r="G66" s="13" t="n"/>
      <c r="H66" s="13">
        <f>IF(OR(F66="",G66=""),"",F66*G66)</f>
        <v/>
      </c>
      <c r="I66" s="19">
        <f>IF(D66="Owned",EquipOwnedMarkup,IF(D66="Rented",EquipRentedMarkup,0))</f>
        <v/>
      </c>
      <c r="J66" s="13">
        <f>IF(H66="","",H66*(1+I66))</f>
        <v/>
      </c>
      <c r="K66" s="12" t="n"/>
      <c r="L66" s="12" t="n"/>
      <c r="M66" s="12" t="n"/>
    </row>
    <row r="67">
      <c r="A67" s="15" t="n"/>
      <c r="B67" s="12" t="n"/>
      <c r="C67" s="12" t="n"/>
      <c r="D67" s="12" t="n"/>
      <c r="E67" s="12" t="n"/>
      <c r="F67" s="14" t="n"/>
      <c r="G67" s="13" t="n"/>
      <c r="H67" s="13">
        <f>IF(OR(F67="",G67=""),"",F67*G67)</f>
        <v/>
      </c>
      <c r="I67" s="19">
        <f>IF(D67="Owned",EquipOwnedMarkup,IF(D67="Rented",EquipRentedMarkup,0))</f>
        <v/>
      </c>
      <c r="J67" s="13">
        <f>IF(H67="","",H67*(1+I67))</f>
        <v/>
      </c>
      <c r="K67" s="12" t="n"/>
      <c r="L67" s="12" t="n"/>
      <c r="M67" s="12" t="n"/>
    </row>
    <row r="68">
      <c r="A68" s="15" t="n"/>
      <c r="B68" s="12" t="n"/>
      <c r="C68" s="12" t="n"/>
      <c r="D68" s="12" t="n"/>
      <c r="E68" s="12" t="n"/>
      <c r="F68" s="14" t="n"/>
      <c r="G68" s="13" t="n"/>
      <c r="H68" s="13">
        <f>IF(OR(F68="",G68=""),"",F68*G68)</f>
        <v/>
      </c>
      <c r="I68" s="19">
        <f>IF(D68="Owned",EquipOwnedMarkup,IF(D68="Rented",EquipRentedMarkup,0))</f>
        <v/>
      </c>
      <c r="J68" s="13">
        <f>IF(H68="","",H68*(1+I68))</f>
        <v/>
      </c>
      <c r="K68" s="12" t="n"/>
      <c r="L68" s="12" t="n"/>
      <c r="M68" s="12" t="n"/>
    </row>
    <row r="69">
      <c r="A69" s="15" t="n"/>
      <c r="B69" s="12" t="n"/>
      <c r="C69" s="12" t="n"/>
      <c r="D69" s="12" t="n"/>
      <c r="E69" s="12" t="n"/>
      <c r="F69" s="14" t="n"/>
      <c r="G69" s="13" t="n"/>
      <c r="H69" s="13">
        <f>IF(OR(F69="",G69=""),"",F69*G69)</f>
        <v/>
      </c>
      <c r="I69" s="19">
        <f>IF(D69="Owned",EquipOwnedMarkup,IF(D69="Rented",EquipRentedMarkup,0))</f>
        <v/>
      </c>
      <c r="J69" s="13">
        <f>IF(H69="","",H69*(1+I69))</f>
        <v/>
      </c>
      <c r="K69" s="12" t="n"/>
      <c r="L69" s="12" t="n"/>
      <c r="M69" s="12" t="n"/>
    </row>
    <row r="70">
      <c r="A70" s="15" t="n"/>
      <c r="B70" s="12" t="n"/>
      <c r="C70" s="12" t="n"/>
      <c r="D70" s="12" t="n"/>
      <c r="E70" s="12" t="n"/>
      <c r="F70" s="14" t="n"/>
      <c r="G70" s="13" t="n"/>
      <c r="H70" s="13">
        <f>IF(OR(F70="",G70=""),"",F70*G70)</f>
        <v/>
      </c>
      <c r="I70" s="19">
        <f>IF(D70="Owned",EquipOwnedMarkup,IF(D70="Rented",EquipRentedMarkup,0))</f>
        <v/>
      </c>
      <c r="J70" s="13">
        <f>IF(H70="","",H70*(1+I70))</f>
        <v/>
      </c>
      <c r="K70" s="12" t="n"/>
      <c r="L70" s="12" t="n"/>
      <c r="M70" s="12" t="n"/>
    </row>
    <row r="71">
      <c r="A71" s="15" t="n"/>
      <c r="B71" s="12" t="n"/>
      <c r="C71" s="12" t="n"/>
      <c r="D71" s="12" t="n"/>
      <c r="E71" s="12" t="n"/>
      <c r="F71" s="14" t="n"/>
      <c r="G71" s="13" t="n"/>
      <c r="H71" s="13">
        <f>IF(OR(F71="",G71=""),"",F71*G71)</f>
        <v/>
      </c>
      <c r="I71" s="19">
        <f>IF(D71="Owned",EquipOwnedMarkup,IF(D71="Rented",EquipRentedMarkup,0))</f>
        <v/>
      </c>
      <c r="J71" s="13">
        <f>IF(H71="","",H71*(1+I71))</f>
        <v/>
      </c>
      <c r="K71" s="12" t="n"/>
      <c r="L71" s="12" t="n"/>
      <c r="M71" s="12" t="n"/>
    </row>
    <row r="72">
      <c r="A72" s="15" t="n"/>
      <c r="B72" s="12" t="n"/>
      <c r="C72" s="12" t="n"/>
      <c r="D72" s="12" t="n"/>
      <c r="E72" s="12" t="n"/>
      <c r="F72" s="14" t="n"/>
      <c r="G72" s="13" t="n"/>
      <c r="H72" s="13">
        <f>IF(OR(F72="",G72=""),"",F72*G72)</f>
        <v/>
      </c>
      <c r="I72" s="19">
        <f>IF(D72="Owned",EquipOwnedMarkup,IF(D72="Rented",EquipRentedMarkup,0))</f>
        <v/>
      </c>
      <c r="J72" s="13">
        <f>IF(H72="","",H72*(1+I72))</f>
        <v/>
      </c>
      <c r="K72" s="12" t="n"/>
      <c r="L72" s="12" t="n"/>
      <c r="M72" s="12" t="n"/>
    </row>
    <row r="73">
      <c r="A73" s="15" t="n"/>
      <c r="B73" s="12" t="n"/>
      <c r="C73" s="12" t="n"/>
      <c r="D73" s="12" t="n"/>
      <c r="E73" s="12" t="n"/>
      <c r="F73" s="14" t="n"/>
      <c r="G73" s="13" t="n"/>
      <c r="H73" s="13">
        <f>IF(OR(F73="",G73=""),"",F73*G73)</f>
        <v/>
      </c>
      <c r="I73" s="19">
        <f>IF(D73="Owned",EquipOwnedMarkup,IF(D73="Rented",EquipRentedMarkup,0))</f>
        <v/>
      </c>
      <c r="J73" s="13">
        <f>IF(H73="","",H73*(1+I73))</f>
        <v/>
      </c>
      <c r="K73" s="12" t="n"/>
      <c r="L73" s="12" t="n"/>
      <c r="M73" s="12" t="n"/>
    </row>
    <row r="74">
      <c r="A74" s="15" t="n"/>
      <c r="B74" s="12" t="n"/>
      <c r="C74" s="12" t="n"/>
      <c r="D74" s="12" t="n"/>
      <c r="E74" s="12" t="n"/>
      <c r="F74" s="14" t="n"/>
      <c r="G74" s="13" t="n"/>
      <c r="H74" s="13">
        <f>IF(OR(F74="",G74=""),"",F74*G74)</f>
        <v/>
      </c>
      <c r="I74" s="19">
        <f>IF(D74="Owned",EquipOwnedMarkup,IF(D74="Rented",EquipRentedMarkup,0))</f>
        <v/>
      </c>
      <c r="J74" s="13">
        <f>IF(H74="","",H74*(1+I74))</f>
        <v/>
      </c>
      <c r="K74" s="12" t="n"/>
      <c r="L74" s="12" t="n"/>
      <c r="M74" s="12" t="n"/>
    </row>
    <row r="75">
      <c r="A75" s="15" t="n"/>
      <c r="B75" s="12" t="n"/>
      <c r="C75" s="12" t="n"/>
      <c r="D75" s="12" t="n"/>
      <c r="E75" s="12" t="n"/>
      <c r="F75" s="14" t="n"/>
      <c r="G75" s="13" t="n"/>
      <c r="H75" s="13">
        <f>IF(OR(F75="",G75=""),"",F75*G75)</f>
        <v/>
      </c>
      <c r="I75" s="19">
        <f>IF(D75="Owned",EquipOwnedMarkup,IF(D75="Rented",EquipRentedMarkup,0))</f>
        <v/>
      </c>
      <c r="J75" s="13">
        <f>IF(H75="","",H75*(1+I75))</f>
        <v/>
      </c>
      <c r="K75" s="12" t="n"/>
      <c r="L75" s="12" t="n"/>
      <c r="M75" s="12" t="n"/>
    </row>
    <row r="76">
      <c r="A76" s="15" t="n"/>
      <c r="B76" s="12" t="n"/>
      <c r="C76" s="12" t="n"/>
      <c r="D76" s="12" t="n"/>
      <c r="E76" s="12" t="n"/>
      <c r="F76" s="14" t="n"/>
      <c r="G76" s="13" t="n"/>
      <c r="H76" s="13">
        <f>IF(OR(F76="",G76=""),"",F76*G76)</f>
        <v/>
      </c>
      <c r="I76" s="19">
        <f>IF(D76="Owned",EquipOwnedMarkup,IF(D76="Rented",EquipRentedMarkup,0))</f>
        <v/>
      </c>
      <c r="J76" s="13">
        <f>IF(H76="","",H76*(1+I76))</f>
        <v/>
      </c>
      <c r="K76" s="12" t="n"/>
      <c r="L76" s="12" t="n"/>
      <c r="M76" s="12" t="n"/>
    </row>
    <row r="77">
      <c r="A77" s="15" t="n"/>
      <c r="B77" s="12" t="n"/>
      <c r="C77" s="12" t="n"/>
      <c r="D77" s="12" t="n"/>
      <c r="E77" s="12" t="n"/>
      <c r="F77" s="14" t="n"/>
      <c r="G77" s="13" t="n"/>
      <c r="H77" s="13">
        <f>IF(OR(F77="",G77=""),"",F77*G77)</f>
        <v/>
      </c>
      <c r="I77" s="19">
        <f>IF(D77="Owned",EquipOwnedMarkup,IF(D77="Rented",EquipRentedMarkup,0))</f>
        <v/>
      </c>
      <c r="J77" s="13">
        <f>IF(H77="","",H77*(1+I77))</f>
        <v/>
      </c>
      <c r="K77" s="12" t="n"/>
      <c r="L77" s="12" t="n"/>
      <c r="M77" s="12" t="n"/>
    </row>
    <row r="78">
      <c r="A78" s="15" t="n"/>
      <c r="B78" s="12" t="n"/>
      <c r="C78" s="12" t="n"/>
      <c r="D78" s="12" t="n"/>
      <c r="E78" s="12" t="n"/>
      <c r="F78" s="14" t="n"/>
      <c r="G78" s="13" t="n"/>
      <c r="H78" s="13">
        <f>IF(OR(F78="",G78=""),"",F78*G78)</f>
        <v/>
      </c>
      <c r="I78" s="19">
        <f>IF(D78="Owned",EquipOwnedMarkup,IF(D78="Rented",EquipRentedMarkup,0))</f>
        <v/>
      </c>
      <c r="J78" s="13">
        <f>IF(H78="","",H78*(1+I78))</f>
        <v/>
      </c>
      <c r="K78" s="12" t="n"/>
      <c r="L78" s="12" t="n"/>
      <c r="M78" s="12" t="n"/>
    </row>
    <row r="79">
      <c r="A79" s="15" t="n"/>
      <c r="B79" s="12" t="n"/>
      <c r="C79" s="12" t="n"/>
      <c r="D79" s="12" t="n"/>
      <c r="E79" s="12" t="n"/>
      <c r="F79" s="14" t="n"/>
      <c r="G79" s="13" t="n"/>
      <c r="H79" s="13">
        <f>IF(OR(F79="",G79=""),"",F79*G79)</f>
        <v/>
      </c>
      <c r="I79" s="19">
        <f>IF(D79="Owned",EquipOwnedMarkup,IF(D79="Rented",EquipRentedMarkup,0))</f>
        <v/>
      </c>
      <c r="J79" s="13">
        <f>IF(H79="","",H79*(1+I79))</f>
        <v/>
      </c>
      <c r="K79" s="12" t="n"/>
      <c r="L79" s="12" t="n"/>
      <c r="M79" s="12" t="n"/>
    </row>
    <row r="80">
      <c r="A80" s="15" t="n"/>
      <c r="B80" s="12" t="n"/>
      <c r="C80" s="12" t="n"/>
      <c r="D80" s="12" t="n"/>
      <c r="E80" s="12" t="n"/>
      <c r="F80" s="14" t="n"/>
      <c r="G80" s="13" t="n"/>
      <c r="H80" s="13">
        <f>IF(OR(F80="",G80=""),"",F80*G80)</f>
        <v/>
      </c>
      <c r="I80" s="19">
        <f>IF(D80="Owned",EquipOwnedMarkup,IF(D80="Rented",EquipRentedMarkup,0))</f>
        <v/>
      </c>
      <c r="J80" s="13">
        <f>IF(H80="","",H80*(1+I80))</f>
        <v/>
      </c>
      <c r="K80" s="12" t="n"/>
      <c r="L80" s="12" t="n"/>
      <c r="M80" s="12" t="n"/>
    </row>
    <row r="81">
      <c r="A81" s="15" t="n"/>
      <c r="B81" s="12" t="n"/>
      <c r="C81" s="12" t="n"/>
      <c r="D81" s="12" t="n"/>
      <c r="E81" s="12" t="n"/>
      <c r="F81" s="14" t="n"/>
      <c r="G81" s="13" t="n"/>
      <c r="H81" s="13">
        <f>IF(OR(F81="",G81=""),"",F81*G81)</f>
        <v/>
      </c>
      <c r="I81" s="19">
        <f>IF(D81="Owned",EquipOwnedMarkup,IF(D81="Rented",EquipRentedMarkup,0))</f>
        <v/>
      </c>
      <c r="J81" s="13">
        <f>IF(H81="","",H81*(1+I81))</f>
        <v/>
      </c>
      <c r="K81" s="12" t="n"/>
      <c r="L81" s="12" t="n"/>
      <c r="M81" s="12" t="n"/>
    </row>
    <row r="82">
      <c r="A82" s="15" t="n"/>
      <c r="B82" s="12" t="n"/>
      <c r="C82" s="12" t="n"/>
      <c r="D82" s="12" t="n"/>
      <c r="E82" s="12" t="n"/>
      <c r="F82" s="14" t="n"/>
      <c r="G82" s="13" t="n"/>
      <c r="H82" s="13">
        <f>IF(OR(F82="",G82=""),"",F82*G82)</f>
        <v/>
      </c>
      <c r="I82" s="19">
        <f>IF(D82="Owned",EquipOwnedMarkup,IF(D82="Rented",EquipRentedMarkup,0))</f>
        <v/>
      </c>
      <c r="J82" s="13">
        <f>IF(H82="","",H82*(1+I82))</f>
        <v/>
      </c>
      <c r="K82" s="12" t="n"/>
      <c r="L82" s="12" t="n"/>
      <c r="M82" s="12" t="n"/>
    </row>
    <row r="83">
      <c r="A83" s="15" t="n"/>
      <c r="B83" s="12" t="n"/>
      <c r="C83" s="12" t="n"/>
      <c r="D83" s="12" t="n"/>
      <c r="E83" s="12" t="n"/>
      <c r="F83" s="14" t="n"/>
      <c r="G83" s="13" t="n"/>
      <c r="H83" s="13">
        <f>IF(OR(F83="",G83=""),"",F83*G83)</f>
        <v/>
      </c>
      <c r="I83" s="19">
        <f>IF(D83="Owned",EquipOwnedMarkup,IF(D83="Rented",EquipRentedMarkup,0))</f>
        <v/>
      </c>
      <c r="J83" s="13">
        <f>IF(H83="","",H83*(1+I83))</f>
        <v/>
      </c>
      <c r="K83" s="12" t="n"/>
      <c r="L83" s="12" t="n"/>
      <c r="M83" s="12" t="n"/>
    </row>
    <row r="84">
      <c r="A84" s="15" t="n"/>
      <c r="B84" s="12" t="n"/>
      <c r="C84" s="12" t="n"/>
      <c r="D84" s="12" t="n"/>
      <c r="E84" s="12" t="n"/>
      <c r="F84" s="14" t="n"/>
      <c r="G84" s="13" t="n"/>
      <c r="H84" s="13">
        <f>IF(OR(F84="",G84=""),"",F84*G84)</f>
        <v/>
      </c>
      <c r="I84" s="19">
        <f>IF(D84="Owned",EquipOwnedMarkup,IF(D84="Rented",EquipRentedMarkup,0))</f>
        <v/>
      </c>
      <c r="J84" s="13">
        <f>IF(H84="","",H84*(1+I84))</f>
        <v/>
      </c>
      <c r="K84" s="12" t="n"/>
      <c r="L84" s="12" t="n"/>
      <c r="M84" s="12" t="n"/>
    </row>
    <row r="85">
      <c r="A85" s="15" t="n"/>
      <c r="B85" s="12" t="n"/>
      <c r="C85" s="12" t="n"/>
      <c r="D85" s="12" t="n"/>
      <c r="E85" s="12" t="n"/>
      <c r="F85" s="14" t="n"/>
      <c r="G85" s="13" t="n"/>
      <c r="H85" s="13">
        <f>IF(OR(F85="",G85=""),"",F85*G85)</f>
        <v/>
      </c>
      <c r="I85" s="19">
        <f>IF(D85="Owned",EquipOwnedMarkup,IF(D85="Rented",EquipRentedMarkup,0))</f>
        <v/>
      </c>
      <c r="J85" s="13">
        <f>IF(H85="","",H85*(1+I85))</f>
        <v/>
      </c>
      <c r="K85" s="12" t="n"/>
      <c r="L85" s="12" t="n"/>
      <c r="M85" s="12" t="n"/>
    </row>
    <row r="86">
      <c r="A86" s="15" t="n"/>
      <c r="B86" s="12" t="n"/>
      <c r="C86" s="12" t="n"/>
      <c r="D86" s="12" t="n"/>
      <c r="E86" s="12" t="n"/>
      <c r="F86" s="14" t="n"/>
      <c r="G86" s="13" t="n"/>
      <c r="H86" s="13">
        <f>IF(OR(F86="",G86=""),"",F86*G86)</f>
        <v/>
      </c>
      <c r="I86" s="19">
        <f>IF(D86="Owned",EquipOwnedMarkup,IF(D86="Rented",EquipRentedMarkup,0))</f>
        <v/>
      </c>
      <c r="J86" s="13">
        <f>IF(H86="","",H86*(1+I86))</f>
        <v/>
      </c>
      <c r="K86" s="12" t="n"/>
      <c r="L86" s="12" t="n"/>
      <c r="M86" s="12" t="n"/>
    </row>
    <row r="87">
      <c r="A87" s="15" t="n"/>
      <c r="B87" s="12" t="n"/>
      <c r="C87" s="12" t="n"/>
      <c r="D87" s="12" t="n"/>
      <c r="E87" s="12" t="n"/>
      <c r="F87" s="14" t="n"/>
      <c r="G87" s="13" t="n"/>
      <c r="H87" s="13">
        <f>IF(OR(F87="",G87=""),"",F87*G87)</f>
        <v/>
      </c>
      <c r="I87" s="19">
        <f>IF(D87="Owned",EquipOwnedMarkup,IF(D87="Rented",EquipRentedMarkup,0))</f>
        <v/>
      </c>
      <c r="J87" s="13">
        <f>IF(H87="","",H87*(1+I87))</f>
        <v/>
      </c>
      <c r="K87" s="12" t="n"/>
      <c r="L87" s="12" t="n"/>
      <c r="M87" s="12" t="n"/>
    </row>
    <row r="88">
      <c r="A88" s="15" t="n"/>
      <c r="B88" s="12" t="n"/>
      <c r="C88" s="12" t="n"/>
      <c r="D88" s="12" t="n"/>
      <c r="E88" s="12" t="n"/>
      <c r="F88" s="14" t="n"/>
      <c r="G88" s="13" t="n"/>
      <c r="H88" s="13">
        <f>IF(OR(F88="",G88=""),"",F88*G88)</f>
        <v/>
      </c>
      <c r="I88" s="19">
        <f>IF(D88="Owned",EquipOwnedMarkup,IF(D88="Rented",EquipRentedMarkup,0))</f>
        <v/>
      </c>
      <c r="J88" s="13">
        <f>IF(H88="","",H88*(1+I88))</f>
        <v/>
      </c>
      <c r="K88" s="12" t="n"/>
      <c r="L88" s="12" t="n"/>
      <c r="M88" s="12" t="n"/>
    </row>
    <row r="89">
      <c r="A89" s="15" t="n"/>
      <c r="B89" s="12" t="n"/>
      <c r="C89" s="12" t="n"/>
      <c r="D89" s="12" t="n"/>
      <c r="E89" s="12" t="n"/>
      <c r="F89" s="14" t="n"/>
      <c r="G89" s="13" t="n"/>
      <c r="H89" s="13">
        <f>IF(OR(F89="",G89=""),"",F89*G89)</f>
        <v/>
      </c>
      <c r="I89" s="19">
        <f>IF(D89="Owned",EquipOwnedMarkup,IF(D89="Rented",EquipRentedMarkup,0))</f>
        <v/>
      </c>
      <c r="J89" s="13">
        <f>IF(H89="","",H89*(1+I89))</f>
        <v/>
      </c>
      <c r="K89" s="12" t="n"/>
      <c r="L89" s="12" t="n"/>
      <c r="M89" s="12" t="n"/>
    </row>
    <row r="90">
      <c r="A90" s="15" t="n"/>
      <c r="B90" s="12" t="n"/>
      <c r="C90" s="12" t="n"/>
      <c r="D90" s="12" t="n"/>
      <c r="E90" s="12" t="n"/>
      <c r="F90" s="14" t="n"/>
      <c r="G90" s="13" t="n"/>
      <c r="H90" s="13">
        <f>IF(OR(F90="",G90=""),"",F90*G90)</f>
        <v/>
      </c>
      <c r="I90" s="19">
        <f>IF(D90="Owned",EquipOwnedMarkup,IF(D90="Rented",EquipRentedMarkup,0))</f>
        <v/>
      </c>
      <c r="J90" s="13">
        <f>IF(H90="","",H90*(1+I90))</f>
        <v/>
      </c>
      <c r="K90" s="12" t="n"/>
      <c r="L90" s="12" t="n"/>
      <c r="M90" s="12" t="n"/>
    </row>
    <row r="91">
      <c r="A91" s="15" t="n"/>
      <c r="B91" s="12" t="n"/>
      <c r="C91" s="12" t="n"/>
      <c r="D91" s="12" t="n"/>
      <c r="E91" s="12" t="n"/>
      <c r="F91" s="14" t="n"/>
      <c r="G91" s="13" t="n"/>
      <c r="H91" s="13">
        <f>IF(OR(F91="",G91=""),"",F91*G91)</f>
        <v/>
      </c>
      <c r="I91" s="19">
        <f>IF(D91="Owned",EquipOwnedMarkup,IF(D91="Rented",EquipRentedMarkup,0))</f>
        <v/>
      </c>
      <c r="J91" s="13">
        <f>IF(H91="","",H91*(1+I91))</f>
        <v/>
      </c>
      <c r="K91" s="12" t="n"/>
      <c r="L91" s="12" t="n"/>
      <c r="M91" s="12" t="n"/>
    </row>
    <row r="92">
      <c r="A92" s="15" t="n"/>
      <c r="B92" s="12" t="n"/>
      <c r="C92" s="12" t="n"/>
      <c r="D92" s="12" t="n"/>
      <c r="E92" s="12" t="n"/>
      <c r="F92" s="14" t="n"/>
      <c r="G92" s="13" t="n"/>
      <c r="H92" s="13">
        <f>IF(OR(F92="",G92=""),"",F92*G92)</f>
        <v/>
      </c>
      <c r="I92" s="19">
        <f>IF(D92="Owned",EquipOwnedMarkup,IF(D92="Rented",EquipRentedMarkup,0))</f>
        <v/>
      </c>
      <c r="J92" s="13">
        <f>IF(H92="","",H92*(1+I92))</f>
        <v/>
      </c>
      <c r="K92" s="12" t="n"/>
      <c r="L92" s="12" t="n"/>
      <c r="M92" s="12" t="n"/>
    </row>
    <row r="93">
      <c r="A93" s="15" t="n"/>
      <c r="B93" s="12" t="n"/>
      <c r="C93" s="12" t="n"/>
      <c r="D93" s="12" t="n"/>
      <c r="E93" s="12" t="n"/>
      <c r="F93" s="14" t="n"/>
      <c r="G93" s="13" t="n"/>
      <c r="H93" s="13">
        <f>IF(OR(F93="",G93=""),"",F93*G93)</f>
        <v/>
      </c>
      <c r="I93" s="19">
        <f>IF(D93="Owned",EquipOwnedMarkup,IF(D93="Rented",EquipRentedMarkup,0))</f>
        <v/>
      </c>
      <c r="J93" s="13">
        <f>IF(H93="","",H93*(1+I93))</f>
        <v/>
      </c>
      <c r="K93" s="12" t="n"/>
      <c r="L93" s="12" t="n"/>
      <c r="M93" s="12" t="n"/>
    </row>
    <row r="94">
      <c r="A94" s="15" t="n"/>
      <c r="B94" s="12" t="n"/>
      <c r="C94" s="12" t="n"/>
      <c r="D94" s="12" t="n"/>
      <c r="E94" s="12" t="n"/>
      <c r="F94" s="14" t="n"/>
      <c r="G94" s="13" t="n"/>
      <c r="H94" s="13">
        <f>IF(OR(F94="",G94=""),"",F94*G94)</f>
        <v/>
      </c>
      <c r="I94" s="19">
        <f>IF(D94="Owned",EquipOwnedMarkup,IF(D94="Rented",EquipRentedMarkup,0))</f>
        <v/>
      </c>
      <c r="J94" s="13">
        <f>IF(H94="","",H94*(1+I94))</f>
        <v/>
      </c>
      <c r="K94" s="12" t="n"/>
      <c r="L94" s="12" t="n"/>
      <c r="M94" s="12" t="n"/>
    </row>
    <row r="95">
      <c r="A95" s="15" t="n"/>
      <c r="B95" s="12" t="n"/>
      <c r="C95" s="12" t="n"/>
      <c r="D95" s="12" t="n"/>
      <c r="E95" s="12" t="n"/>
      <c r="F95" s="14" t="n"/>
      <c r="G95" s="13" t="n"/>
      <c r="H95" s="13">
        <f>IF(OR(F95="",G95=""),"",F95*G95)</f>
        <v/>
      </c>
      <c r="I95" s="19">
        <f>IF(D95="Owned",EquipOwnedMarkup,IF(D95="Rented",EquipRentedMarkup,0))</f>
        <v/>
      </c>
      <c r="J95" s="13">
        <f>IF(H95="","",H95*(1+I95))</f>
        <v/>
      </c>
      <c r="K95" s="12" t="n"/>
      <c r="L95" s="12" t="n"/>
      <c r="M95" s="12" t="n"/>
    </row>
    <row r="96">
      <c r="A96" s="15" t="n"/>
      <c r="B96" s="12" t="n"/>
      <c r="C96" s="12" t="n"/>
      <c r="D96" s="12" t="n"/>
      <c r="E96" s="12" t="n"/>
      <c r="F96" s="14" t="n"/>
      <c r="G96" s="13" t="n"/>
      <c r="H96" s="13">
        <f>IF(OR(F96="",G96=""),"",F96*G96)</f>
        <v/>
      </c>
      <c r="I96" s="19">
        <f>IF(D96="Owned",EquipOwnedMarkup,IF(D96="Rented",EquipRentedMarkup,0))</f>
        <v/>
      </c>
      <c r="J96" s="13">
        <f>IF(H96="","",H96*(1+I96))</f>
        <v/>
      </c>
      <c r="K96" s="12" t="n"/>
      <c r="L96" s="12" t="n"/>
      <c r="M96" s="12" t="n"/>
    </row>
    <row r="97">
      <c r="A97" s="15" t="n"/>
      <c r="B97" s="12" t="n"/>
      <c r="C97" s="12" t="n"/>
      <c r="D97" s="12" t="n"/>
      <c r="E97" s="12" t="n"/>
      <c r="F97" s="14" t="n"/>
      <c r="G97" s="13" t="n"/>
      <c r="H97" s="13">
        <f>IF(OR(F97="",G97=""),"",F97*G97)</f>
        <v/>
      </c>
      <c r="I97" s="19">
        <f>IF(D97="Owned",EquipOwnedMarkup,IF(D97="Rented",EquipRentedMarkup,0))</f>
        <v/>
      </c>
      <c r="J97" s="13">
        <f>IF(H97="","",H97*(1+I97))</f>
        <v/>
      </c>
      <c r="K97" s="12" t="n"/>
      <c r="L97" s="12" t="n"/>
      <c r="M97" s="12" t="n"/>
    </row>
    <row r="98">
      <c r="A98" s="15" t="n"/>
      <c r="B98" s="12" t="n"/>
      <c r="C98" s="12" t="n"/>
      <c r="D98" s="12" t="n"/>
      <c r="E98" s="12" t="n"/>
      <c r="F98" s="14" t="n"/>
      <c r="G98" s="13" t="n"/>
      <c r="H98" s="13">
        <f>IF(OR(F98="",G98=""),"",F98*G98)</f>
        <v/>
      </c>
      <c r="I98" s="19">
        <f>IF(D98="Owned",EquipOwnedMarkup,IF(D98="Rented",EquipRentedMarkup,0))</f>
        <v/>
      </c>
      <c r="J98" s="13">
        <f>IF(H98="","",H98*(1+I98))</f>
        <v/>
      </c>
      <c r="K98" s="12" t="n"/>
      <c r="L98" s="12" t="n"/>
      <c r="M98" s="12" t="n"/>
    </row>
    <row r="99">
      <c r="A99" s="15" t="n"/>
      <c r="B99" s="12" t="n"/>
      <c r="C99" s="12" t="n"/>
      <c r="D99" s="12" t="n"/>
      <c r="E99" s="12" t="n"/>
      <c r="F99" s="14" t="n"/>
      <c r="G99" s="13" t="n"/>
      <c r="H99" s="13">
        <f>IF(OR(F99="",G99=""),"",F99*G99)</f>
        <v/>
      </c>
      <c r="I99" s="19">
        <f>IF(D99="Owned",EquipOwnedMarkup,IF(D99="Rented",EquipRentedMarkup,0))</f>
        <v/>
      </c>
      <c r="J99" s="13">
        <f>IF(H99="","",H99*(1+I99))</f>
        <v/>
      </c>
      <c r="K99" s="12" t="n"/>
      <c r="L99" s="12" t="n"/>
      <c r="M99" s="12" t="n"/>
    </row>
    <row r="100">
      <c r="A100" s="15" t="n"/>
      <c r="B100" s="12" t="n"/>
      <c r="C100" s="12" t="n"/>
      <c r="D100" s="12" t="n"/>
      <c r="E100" s="12" t="n"/>
      <c r="F100" s="14" t="n"/>
      <c r="G100" s="13" t="n"/>
      <c r="H100" s="13">
        <f>IF(OR(F100="",G100=""),"",F100*G100)</f>
        <v/>
      </c>
      <c r="I100" s="19">
        <f>IF(D100="Owned",EquipOwnedMarkup,IF(D100="Rented",EquipRentedMarkup,0))</f>
        <v/>
      </c>
      <c r="J100" s="13">
        <f>IF(H100="","",H100*(1+I100))</f>
        <v/>
      </c>
      <c r="K100" s="12" t="n"/>
      <c r="L100" s="12" t="n"/>
      <c r="M100" s="12" t="n"/>
    </row>
    <row r="101">
      <c r="A101" s="15" t="n"/>
      <c r="B101" s="12" t="n"/>
      <c r="C101" s="12" t="n"/>
      <c r="D101" s="12" t="n"/>
      <c r="E101" s="12" t="n"/>
      <c r="F101" s="14" t="n"/>
      <c r="G101" s="13" t="n"/>
      <c r="H101" s="13">
        <f>IF(OR(F101="",G101=""),"",F101*G101)</f>
        <v/>
      </c>
      <c r="I101" s="19">
        <f>IF(D101="Owned",EquipOwnedMarkup,IF(D101="Rented",EquipRentedMarkup,0))</f>
        <v/>
      </c>
      <c r="J101" s="13">
        <f>IF(H101="","",H101*(1+I101))</f>
        <v/>
      </c>
      <c r="K101" s="12" t="n"/>
      <c r="L101" s="12" t="n"/>
      <c r="M101" s="12" t="n"/>
    </row>
    <row r="102">
      <c r="A102" s="15" t="n"/>
      <c r="B102" s="12" t="n"/>
      <c r="C102" s="12" t="n"/>
      <c r="D102" s="12" t="n"/>
      <c r="E102" s="12" t="n"/>
      <c r="F102" s="14" t="n"/>
      <c r="G102" s="13" t="n"/>
      <c r="H102" s="13">
        <f>IF(OR(F102="",G102=""),"",F102*G102)</f>
        <v/>
      </c>
      <c r="I102" s="19">
        <f>IF(D102="Owned",EquipOwnedMarkup,IF(D102="Rented",EquipRentedMarkup,0))</f>
        <v/>
      </c>
      <c r="J102" s="13">
        <f>IF(H102="","",H102*(1+I102))</f>
        <v/>
      </c>
      <c r="K102" s="12" t="n"/>
      <c r="L102" s="12" t="n"/>
      <c r="M102" s="12" t="n"/>
    </row>
    <row r="103">
      <c r="A103" s="15" t="n"/>
      <c r="B103" s="12" t="n"/>
      <c r="C103" s="12" t="n"/>
      <c r="D103" s="12" t="n"/>
      <c r="E103" s="12" t="n"/>
      <c r="F103" s="14" t="n"/>
      <c r="G103" s="13" t="n"/>
      <c r="H103" s="13">
        <f>IF(OR(F103="",G103=""),"",F103*G103)</f>
        <v/>
      </c>
      <c r="I103" s="19">
        <f>IF(D103="Owned",EquipOwnedMarkup,IF(D103="Rented",EquipRentedMarkup,0))</f>
        <v/>
      </c>
      <c r="J103" s="13">
        <f>IF(H103="","",H103*(1+I103))</f>
        <v/>
      </c>
      <c r="K103" s="12" t="n"/>
      <c r="L103" s="12" t="n"/>
      <c r="M103" s="12" t="n"/>
    </row>
    <row r="104">
      <c r="A104" s="15" t="n"/>
      <c r="B104" s="12" t="n"/>
      <c r="C104" s="12" t="n"/>
      <c r="D104" s="12" t="n"/>
      <c r="E104" s="12" t="n"/>
      <c r="F104" s="14" t="n"/>
      <c r="G104" s="13" t="n"/>
      <c r="H104" s="13">
        <f>IF(OR(F104="",G104=""),"",F104*G104)</f>
        <v/>
      </c>
      <c r="I104" s="19">
        <f>IF(D104="Owned",EquipOwnedMarkup,IF(D104="Rented",EquipRentedMarkup,0))</f>
        <v/>
      </c>
      <c r="J104" s="13">
        <f>IF(H104="","",H104*(1+I104))</f>
        <v/>
      </c>
      <c r="K104" s="12" t="n"/>
      <c r="L104" s="12" t="n"/>
      <c r="M104" s="12" t="n"/>
    </row>
    <row r="105">
      <c r="A105" s="15" t="n"/>
      <c r="B105" s="12" t="n"/>
      <c r="C105" s="12" t="n"/>
      <c r="D105" s="12" t="n"/>
      <c r="E105" s="12" t="n"/>
      <c r="F105" s="14" t="n"/>
      <c r="G105" s="13" t="n"/>
      <c r="H105" s="13">
        <f>IF(OR(F105="",G105=""),"",F105*G105)</f>
        <v/>
      </c>
      <c r="I105" s="19">
        <f>IF(D105="Owned",EquipOwnedMarkup,IF(D105="Rented",EquipRentedMarkup,0))</f>
        <v/>
      </c>
      <c r="J105" s="13">
        <f>IF(H105="","",H105*(1+I105))</f>
        <v/>
      </c>
      <c r="K105" s="12" t="n"/>
      <c r="L105" s="12" t="n"/>
      <c r="M105" s="12" t="n"/>
    </row>
    <row r="106">
      <c r="A106" s="15" t="n"/>
      <c r="B106" s="12" t="n"/>
      <c r="C106" s="12" t="n"/>
      <c r="D106" s="12" t="n"/>
      <c r="E106" s="12" t="n"/>
      <c r="F106" s="14" t="n"/>
      <c r="G106" s="13" t="n"/>
      <c r="H106" s="13">
        <f>IF(OR(F106="",G106=""),"",F106*G106)</f>
        <v/>
      </c>
      <c r="I106" s="19">
        <f>IF(D106="Owned",EquipOwnedMarkup,IF(D106="Rented",EquipRentedMarkup,0))</f>
        <v/>
      </c>
      <c r="J106" s="13">
        <f>IF(H106="","",H106*(1+I106))</f>
        <v/>
      </c>
      <c r="K106" s="12" t="n"/>
      <c r="L106" s="12" t="n"/>
      <c r="M106" s="12" t="n"/>
    </row>
    <row r="107">
      <c r="A107" s="15" t="n"/>
      <c r="B107" s="12" t="n"/>
      <c r="C107" s="12" t="n"/>
      <c r="D107" s="12" t="n"/>
      <c r="E107" s="12" t="n"/>
      <c r="F107" s="14" t="n"/>
      <c r="G107" s="13" t="n"/>
      <c r="H107" s="13">
        <f>IF(OR(F107="",G107=""),"",F107*G107)</f>
        <v/>
      </c>
      <c r="I107" s="19">
        <f>IF(D107="Owned",EquipOwnedMarkup,IF(D107="Rented",EquipRentedMarkup,0))</f>
        <v/>
      </c>
      <c r="J107" s="13">
        <f>IF(H107="","",H107*(1+I107))</f>
        <v/>
      </c>
      <c r="K107" s="12" t="n"/>
      <c r="L107" s="12" t="n"/>
      <c r="M107" s="12" t="n"/>
    </row>
    <row r="108">
      <c r="A108" s="15" t="n"/>
      <c r="B108" s="12" t="n"/>
      <c r="C108" s="12" t="n"/>
      <c r="D108" s="12" t="n"/>
      <c r="E108" s="12" t="n"/>
      <c r="F108" s="14" t="n"/>
      <c r="G108" s="13" t="n"/>
      <c r="H108" s="13">
        <f>IF(OR(F108="",G108=""),"",F108*G108)</f>
        <v/>
      </c>
      <c r="I108" s="19">
        <f>IF(D108="Owned",EquipOwnedMarkup,IF(D108="Rented",EquipRentedMarkup,0))</f>
        <v/>
      </c>
      <c r="J108" s="13">
        <f>IF(H108="","",H108*(1+I108))</f>
        <v/>
      </c>
      <c r="K108" s="12" t="n"/>
      <c r="L108" s="12" t="n"/>
      <c r="M108" s="12" t="n"/>
    </row>
    <row r="109">
      <c r="A109" s="15" t="n"/>
      <c r="B109" s="12" t="n"/>
      <c r="C109" s="12" t="n"/>
      <c r="D109" s="12" t="n"/>
      <c r="E109" s="12" t="n"/>
      <c r="F109" s="14" t="n"/>
      <c r="G109" s="13" t="n"/>
      <c r="H109" s="13">
        <f>IF(OR(F109="",G109=""),"",F109*G109)</f>
        <v/>
      </c>
      <c r="I109" s="19">
        <f>IF(D109="Owned",EquipOwnedMarkup,IF(D109="Rented",EquipRentedMarkup,0))</f>
        <v/>
      </c>
      <c r="J109" s="13">
        <f>IF(H109="","",H109*(1+I109))</f>
        <v/>
      </c>
      <c r="K109" s="12" t="n"/>
      <c r="L109" s="12" t="n"/>
      <c r="M109" s="12" t="n"/>
    </row>
    <row r="110">
      <c r="A110" s="15" t="n"/>
      <c r="B110" s="12" t="n"/>
      <c r="C110" s="12" t="n"/>
      <c r="D110" s="12" t="n"/>
      <c r="E110" s="12" t="n"/>
      <c r="F110" s="14" t="n"/>
      <c r="G110" s="13" t="n"/>
      <c r="H110" s="13">
        <f>IF(OR(F110="",G110=""),"",F110*G110)</f>
        <v/>
      </c>
      <c r="I110" s="19">
        <f>IF(D110="Owned",EquipOwnedMarkup,IF(D110="Rented",EquipRentedMarkup,0))</f>
        <v/>
      </c>
      <c r="J110" s="13">
        <f>IF(H110="","",H110*(1+I110))</f>
        <v/>
      </c>
      <c r="K110" s="12" t="n"/>
      <c r="L110" s="12" t="n"/>
      <c r="M110" s="12" t="n"/>
    </row>
    <row r="111">
      <c r="A111" s="15" t="n"/>
      <c r="B111" s="12" t="n"/>
      <c r="C111" s="12" t="n"/>
      <c r="D111" s="12" t="n"/>
      <c r="E111" s="12" t="n"/>
      <c r="F111" s="14" t="n"/>
      <c r="G111" s="13" t="n"/>
      <c r="H111" s="13">
        <f>IF(OR(F111="",G111=""),"",F111*G111)</f>
        <v/>
      </c>
      <c r="I111" s="19">
        <f>IF(D111="Owned",EquipOwnedMarkup,IF(D111="Rented",EquipRentedMarkup,0))</f>
        <v/>
      </c>
      <c r="J111" s="13">
        <f>IF(H111="","",H111*(1+I111))</f>
        <v/>
      </c>
      <c r="K111" s="12" t="n"/>
      <c r="L111" s="12" t="n"/>
      <c r="M111" s="12" t="n"/>
    </row>
    <row r="112">
      <c r="A112" s="15" t="n"/>
      <c r="B112" s="12" t="n"/>
      <c r="C112" s="12" t="n"/>
      <c r="D112" s="12" t="n"/>
      <c r="E112" s="12" t="n"/>
      <c r="F112" s="14" t="n"/>
      <c r="G112" s="13" t="n"/>
      <c r="H112" s="13">
        <f>IF(OR(F112="",G112=""),"",F112*G112)</f>
        <v/>
      </c>
      <c r="I112" s="19">
        <f>IF(D112="Owned",EquipOwnedMarkup,IF(D112="Rented",EquipRentedMarkup,0))</f>
        <v/>
      </c>
      <c r="J112" s="13">
        <f>IF(H112="","",H112*(1+I112))</f>
        <v/>
      </c>
      <c r="K112" s="12" t="n"/>
      <c r="L112" s="12" t="n"/>
      <c r="M112" s="12" t="n"/>
    </row>
    <row r="113">
      <c r="A113" s="15" t="n"/>
      <c r="B113" s="12" t="n"/>
      <c r="C113" s="12" t="n"/>
      <c r="D113" s="12" t="n"/>
      <c r="E113" s="12" t="n"/>
      <c r="F113" s="14" t="n"/>
      <c r="G113" s="13" t="n"/>
      <c r="H113" s="13">
        <f>IF(OR(F113="",G113=""),"",F113*G113)</f>
        <v/>
      </c>
      <c r="I113" s="19">
        <f>IF(D113="Owned",EquipOwnedMarkup,IF(D113="Rented",EquipRentedMarkup,0))</f>
        <v/>
      </c>
      <c r="J113" s="13">
        <f>IF(H113="","",H113*(1+I113))</f>
        <v/>
      </c>
      <c r="K113" s="12" t="n"/>
      <c r="L113" s="12" t="n"/>
      <c r="M113" s="12" t="n"/>
    </row>
    <row r="114">
      <c r="A114" s="15" t="n"/>
      <c r="B114" s="12" t="n"/>
      <c r="C114" s="12" t="n"/>
      <c r="D114" s="12" t="n"/>
      <c r="E114" s="12" t="n"/>
      <c r="F114" s="14" t="n"/>
      <c r="G114" s="13" t="n"/>
      <c r="H114" s="13">
        <f>IF(OR(F114="",G114=""),"",F114*G114)</f>
        <v/>
      </c>
      <c r="I114" s="19">
        <f>IF(D114="Owned",EquipOwnedMarkup,IF(D114="Rented",EquipRentedMarkup,0))</f>
        <v/>
      </c>
      <c r="J114" s="13">
        <f>IF(H114="","",H114*(1+I114))</f>
        <v/>
      </c>
      <c r="K114" s="12" t="n"/>
      <c r="L114" s="12" t="n"/>
      <c r="M114" s="12" t="n"/>
    </row>
    <row r="115">
      <c r="A115" s="15" t="n"/>
      <c r="B115" s="12" t="n"/>
      <c r="C115" s="12" t="n"/>
      <c r="D115" s="12" t="n"/>
      <c r="E115" s="12" t="n"/>
      <c r="F115" s="14" t="n"/>
      <c r="G115" s="13" t="n"/>
      <c r="H115" s="13">
        <f>IF(OR(F115="",G115=""),"",F115*G115)</f>
        <v/>
      </c>
      <c r="I115" s="19">
        <f>IF(D115="Owned",EquipOwnedMarkup,IF(D115="Rented",EquipRentedMarkup,0))</f>
        <v/>
      </c>
      <c r="J115" s="13">
        <f>IF(H115="","",H115*(1+I115))</f>
        <v/>
      </c>
      <c r="K115" s="12" t="n"/>
      <c r="L115" s="12" t="n"/>
      <c r="M115" s="12" t="n"/>
    </row>
    <row r="116">
      <c r="A116" s="15" t="n"/>
      <c r="B116" s="12" t="n"/>
      <c r="C116" s="12" t="n"/>
      <c r="D116" s="12" t="n"/>
      <c r="E116" s="12" t="n"/>
      <c r="F116" s="14" t="n"/>
      <c r="G116" s="13" t="n"/>
      <c r="H116" s="13">
        <f>IF(OR(F116="",G116=""),"",F116*G116)</f>
        <v/>
      </c>
      <c r="I116" s="19">
        <f>IF(D116="Owned",EquipOwnedMarkup,IF(D116="Rented",EquipRentedMarkup,0))</f>
        <v/>
      </c>
      <c r="J116" s="13">
        <f>IF(H116="","",H116*(1+I116))</f>
        <v/>
      </c>
      <c r="K116" s="12" t="n"/>
      <c r="L116" s="12" t="n"/>
      <c r="M116" s="12" t="n"/>
    </row>
    <row r="117">
      <c r="A117" s="15" t="n"/>
      <c r="B117" s="12" t="n"/>
      <c r="C117" s="12" t="n"/>
      <c r="D117" s="12" t="n"/>
      <c r="E117" s="12" t="n"/>
      <c r="F117" s="14" t="n"/>
      <c r="G117" s="13" t="n"/>
      <c r="H117" s="13">
        <f>IF(OR(F117="",G117=""),"",F117*G117)</f>
        <v/>
      </c>
      <c r="I117" s="19">
        <f>IF(D117="Owned",EquipOwnedMarkup,IF(D117="Rented",EquipRentedMarkup,0))</f>
        <v/>
      </c>
      <c r="J117" s="13">
        <f>IF(H117="","",H117*(1+I117))</f>
        <v/>
      </c>
      <c r="K117" s="12" t="n"/>
      <c r="L117" s="12" t="n"/>
      <c r="M117" s="12" t="n"/>
    </row>
    <row r="118">
      <c r="A118" s="15" t="n"/>
      <c r="B118" s="12" t="n"/>
      <c r="C118" s="12" t="n"/>
      <c r="D118" s="12" t="n"/>
      <c r="E118" s="12" t="n"/>
      <c r="F118" s="14" t="n"/>
      <c r="G118" s="13" t="n"/>
      <c r="H118" s="13">
        <f>IF(OR(F118="",G118=""),"",F118*G118)</f>
        <v/>
      </c>
      <c r="I118" s="19">
        <f>IF(D118="Owned",EquipOwnedMarkup,IF(D118="Rented",EquipRentedMarkup,0))</f>
        <v/>
      </c>
      <c r="J118" s="13">
        <f>IF(H118="","",H118*(1+I118))</f>
        <v/>
      </c>
      <c r="K118" s="12" t="n"/>
      <c r="L118" s="12" t="n"/>
      <c r="M118" s="12" t="n"/>
    </row>
    <row r="119">
      <c r="A119" s="15" t="n"/>
      <c r="B119" s="12" t="n"/>
      <c r="C119" s="12" t="n"/>
      <c r="D119" s="12" t="n"/>
      <c r="E119" s="12" t="n"/>
      <c r="F119" s="14" t="n"/>
      <c r="G119" s="13" t="n"/>
      <c r="H119" s="13">
        <f>IF(OR(F119="",G119=""),"",F119*G119)</f>
        <v/>
      </c>
      <c r="I119" s="19">
        <f>IF(D119="Owned",EquipOwnedMarkup,IF(D119="Rented",EquipRentedMarkup,0))</f>
        <v/>
      </c>
      <c r="J119" s="13">
        <f>IF(H119="","",H119*(1+I119))</f>
        <v/>
      </c>
      <c r="K119" s="12" t="n"/>
      <c r="L119" s="12" t="n"/>
      <c r="M119" s="12" t="n"/>
    </row>
    <row r="120">
      <c r="A120" s="15" t="n"/>
      <c r="B120" s="12" t="n"/>
      <c r="C120" s="12" t="n"/>
      <c r="D120" s="12" t="n"/>
      <c r="E120" s="12" t="n"/>
      <c r="F120" s="14" t="n"/>
      <c r="G120" s="13" t="n"/>
      <c r="H120" s="13">
        <f>IF(OR(F120="",G120=""),"",F120*G120)</f>
        <v/>
      </c>
      <c r="I120" s="19">
        <f>IF(D120="Owned",EquipOwnedMarkup,IF(D120="Rented",EquipRentedMarkup,0))</f>
        <v/>
      </c>
      <c r="J120" s="13">
        <f>IF(H120="","",H120*(1+I120))</f>
        <v/>
      </c>
      <c r="K120" s="12" t="n"/>
      <c r="L120" s="12" t="n"/>
      <c r="M120" s="12" t="n"/>
    </row>
    <row r="121">
      <c r="A121" s="15" t="n"/>
      <c r="B121" s="12" t="n"/>
      <c r="C121" s="12" t="n"/>
      <c r="D121" s="12" t="n"/>
      <c r="E121" s="12" t="n"/>
      <c r="F121" s="14" t="n"/>
      <c r="G121" s="13" t="n"/>
      <c r="H121" s="13">
        <f>IF(OR(F121="",G121=""),"",F121*G121)</f>
        <v/>
      </c>
      <c r="I121" s="19">
        <f>IF(D121="Owned",EquipOwnedMarkup,IF(D121="Rented",EquipRentedMarkup,0))</f>
        <v/>
      </c>
      <c r="J121" s="13">
        <f>IF(H121="","",H121*(1+I121))</f>
        <v/>
      </c>
      <c r="K121" s="12" t="n"/>
      <c r="L121" s="12" t="n"/>
      <c r="M121" s="12" t="n"/>
    </row>
    <row r="122">
      <c r="A122" s="15" t="n"/>
      <c r="B122" s="12" t="n"/>
      <c r="C122" s="12" t="n"/>
      <c r="D122" s="12" t="n"/>
      <c r="E122" s="12" t="n"/>
      <c r="F122" s="14" t="n"/>
      <c r="G122" s="13" t="n"/>
      <c r="H122" s="13">
        <f>IF(OR(F122="",G122=""),"",F122*G122)</f>
        <v/>
      </c>
      <c r="I122" s="19">
        <f>IF(D122="Owned",EquipOwnedMarkup,IF(D122="Rented",EquipRentedMarkup,0))</f>
        <v/>
      </c>
      <c r="J122" s="13">
        <f>IF(H122="","",H122*(1+I122))</f>
        <v/>
      </c>
      <c r="K122" s="12" t="n"/>
      <c r="L122" s="12" t="n"/>
      <c r="M122" s="12" t="n"/>
    </row>
    <row r="123">
      <c r="A123" s="15" t="n"/>
      <c r="B123" s="12" t="n"/>
      <c r="C123" s="12" t="n"/>
      <c r="D123" s="12" t="n"/>
      <c r="E123" s="12" t="n"/>
      <c r="F123" s="14" t="n"/>
      <c r="G123" s="13" t="n"/>
      <c r="H123" s="13">
        <f>IF(OR(F123="",G123=""),"",F123*G123)</f>
        <v/>
      </c>
      <c r="I123" s="19">
        <f>IF(D123="Owned",EquipOwnedMarkup,IF(D123="Rented",EquipRentedMarkup,0))</f>
        <v/>
      </c>
      <c r="J123" s="13">
        <f>IF(H123="","",H123*(1+I123))</f>
        <v/>
      </c>
      <c r="K123" s="12" t="n"/>
      <c r="L123" s="12" t="n"/>
      <c r="M123" s="12" t="n"/>
    </row>
    <row r="125">
      <c r="E125" s="16" t="inlineStr">
        <is>
          <t>TOTALS</t>
        </is>
      </c>
      <c r="F125" s="17">
        <f>SUM(F4:F123)</f>
        <v/>
      </c>
      <c r="H125" s="18">
        <f>SUM(H4:H123)</f>
        <v/>
      </c>
      <c r="J125" s="18">
        <f>SUM(J4:J123)</f>
        <v/>
      </c>
    </row>
  </sheetData>
  <mergeCells count="1">
    <mergeCell ref="A1:M1"/>
  </mergeCells>
  <dataValidations count="2">
    <dataValidation sqref="D4:D123" showDropDown="0" showInputMessage="0" showErrorMessage="0" allowBlank="1" type="list">
      <formula1>"Owned,Rented"</formula1>
    </dataValidation>
    <dataValidation sqref="K4:K123" showDropDown="0" showInputMessage="0" showErrorMessage="0" allowBlank="1" type="list">
      <formula1>"Pending,Signed,Disputed,Approved,Invoiced,Paid,Unsigned"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20" customWidth="1" min="4" max="4"/>
    <col width="14" customWidth="1" min="5" max="5"/>
    <col width="9" customWidth="1" min="6" max="6"/>
    <col width="22" customWidth="1" min="7" max="7"/>
    <col width="10" customWidth="1" min="8" max="8"/>
    <col width="8" customWidth="1" min="9" max="9"/>
    <col width="12" customWidth="1" min="10" max="10"/>
    <col width="12" customWidth="1" min="11" max="11"/>
    <col width="10" customWidth="1" min="12" max="12"/>
    <col width="14" customWidth="1" min="13" max="13"/>
    <col width="14" customWidth="1" min="14" max="14"/>
    <col width="16" customWidth="1" min="15" max="15"/>
  </cols>
  <sheetData>
    <row r="1" ht="32" customHeight="1">
      <c r="A1" s="1" t="inlineStr">
        <is>
          <t>MATERIAL TICKETS</t>
        </is>
      </c>
    </row>
    <row r="3" ht="30" customHeight="1">
      <c r="A3" s="11" t="inlineStr">
        <is>
          <t>Date</t>
        </is>
      </c>
      <c r="B3" s="11" t="inlineStr">
        <is>
          <t>Ticket #</t>
        </is>
      </c>
      <c r="C3" s="11" t="inlineStr">
        <is>
          <t>Material / Description</t>
        </is>
      </c>
      <c r="D3" s="11" t="inlineStr">
        <is>
          <t>Supplier</t>
        </is>
      </c>
      <c r="E3" s="11" t="inlineStr">
        <is>
          <t>Invoice / PO #</t>
        </is>
      </c>
      <c r="F3" s="11" t="inlineStr">
        <is>
          <t>CSI Div</t>
        </is>
      </c>
      <c r="G3" s="11" t="inlineStr">
        <is>
          <t>Task / CO Ref</t>
        </is>
      </c>
      <c r="H3" s="11" t="inlineStr">
        <is>
          <t>Quantity</t>
        </is>
      </c>
      <c r="I3" s="11" t="inlineStr">
        <is>
          <t>Unit</t>
        </is>
      </c>
      <c r="J3" s="11" t="inlineStr">
        <is>
          <t>Unit Cost ($)</t>
        </is>
      </c>
      <c r="K3" s="11" t="inlineStr">
        <is>
          <t>Subtotal ($)</t>
        </is>
      </c>
      <c r="L3" s="11" t="inlineStr">
        <is>
          <t>Markup</t>
        </is>
      </c>
      <c r="M3" s="11" t="inlineStr">
        <is>
          <t>Billed ($)</t>
        </is>
      </c>
      <c r="N3" s="11" t="inlineStr">
        <is>
          <t>Status</t>
        </is>
      </c>
      <c r="O3" s="11" t="inlineStr">
        <is>
          <t>GC Signature</t>
        </is>
      </c>
    </row>
    <row r="4">
      <c r="A4" s="15" t="n"/>
      <c r="B4" s="12" t="n"/>
      <c r="C4" s="12" t="n"/>
      <c r="D4" s="12" t="n"/>
      <c r="E4" s="12" t="n"/>
      <c r="F4" s="12" t="n"/>
      <c r="G4" s="12" t="n"/>
      <c r="H4" s="12" t="n"/>
      <c r="I4" s="12" t="n"/>
      <c r="J4" s="13" t="n"/>
      <c r="K4" s="13">
        <f>IF(OR(H4="",J4=""),"",H4*J4)</f>
        <v/>
      </c>
      <c r="L4" s="19">
        <f>MaterialMarkup</f>
        <v/>
      </c>
      <c r="M4" s="13">
        <f>IF(K4="","",K4*(1+L4))</f>
        <v/>
      </c>
      <c r="N4" s="12" t="n"/>
      <c r="O4" s="12" t="n"/>
    </row>
    <row r="5">
      <c r="A5" s="15" t="n"/>
      <c r="B5" s="12" t="n"/>
      <c r="C5" s="12" t="n"/>
      <c r="D5" s="12" t="n"/>
      <c r="E5" s="12" t="n"/>
      <c r="F5" s="12" t="n"/>
      <c r="G5" s="12" t="n"/>
      <c r="H5" s="12" t="n"/>
      <c r="I5" s="12" t="n"/>
      <c r="J5" s="13" t="n"/>
      <c r="K5" s="13">
        <f>IF(OR(H5="",J5=""),"",H5*J5)</f>
        <v/>
      </c>
      <c r="L5" s="19">
        <f>MaterialMarkup</f>
        <v/>
      </c>
      <c r="M5" s="13">
        <f>IF(K5="","",K5*(1+L5))</f>
        <v/>
      </c>
      <c r="N5" s="12" t="n"/>
      <c r="O5" s="12" t="n"/>
    </row>
    <row r="6">
      <c r="A6" s="15" t="n"/>
      <c r="B6" s="12" t="n"/>
      <c r="C6" s="12" t="n"/>
      <c r="D6" s="12" t="n"/>
      <c r="E6" s="12" t="n"/>
      <c r="F6" s="12" t="n"/>
      <c r="G6" s="12" t="n"/>
      <c r="H6" s="12" t="n"/>
      <c r="I6" s="12" t="n"/>
      <c r="J6" s="13" t="n"/>
      <c r="K6" s="13">
        <f>IF(OR(H6="",J6=""),"",H6*J6)</f>
        <v/>
      </c>
      <c r="L6" s="19">
        <f>MaterialMarkup</f>
        <v/>
      </c>
      <c r="M6" s="13">
        <f>IF(K6="","",K6*(1+L6))</f>
        <v/>
      </c>
      <c r="N6" s="12" t="n"/>
      <c r="O6" s="12" t="n"/>
    </row>
    <row r="7">
      <c r="A7" s="15" t="n"/>
      <c r="B7" s="12" t="n"/>
      <c r="C7" s="12" t="n"/>
      <c r="D7" s="12" t="n"/>
      <c r="E7" s="12" t="n"/>
      <c r="F7" s="12" t="n"/>
      <c r="G7" s="12" t="n"/>
      <c r="H7" s="12" t="n"/>
      <c r="I7" s="12" t="n"/>
      <c r="J7" s="13" t="n"/>
      <c r="K7" s="13">
        <f>IF(OR(H7="",J7=""),"",H7*J7)</f>
        <v/>
      </c>
      <c r="L7" s="19">
        <f>MaterialMarkup</f>
        <v/>
      </c>
      <c r="M7" s="13">
        <f>IF(K7="","",K7*(1+L7))</f>
        <v/>
      </c>
      <c r="N7" s="12" t="n"/>
      <c r="O7" s="12" t="n"/>
    </row>
    <row r="8">
      <c r="A8" s="15" t="n"/>
      <c r="B8" s="12" t="n"/>
      <c r="C8" s="12" t="n"/>
      <c r="D8" s="12" t="n"/>
      <c r="E8" s="12" t="n"/>
      <c r="F8" s="12" t="n"/>
      <c r="G8" s="12" t="n"/>
      <c r="H8" s="12" t="n"/>
      <c r="I8" s="12" t="n"/>
      <c r="J8" s="13" t="n"/>
      <c r="K8" s="13">
        <f>IF(OR(H8="",J8=""),"",H8*J8)</f>
        <v/>
      </c>
      <c r="L8" s="19">
        <f>MaterialMarkup</f>
        <v/>
      </c>
      <c r="M8" s="13">
        <f>IF(K8="","",K8*(1+L8))</f>
        <v/>
      </c>
      <c r="N8" s="12" t="n"/>
      <c r="O8" s="12" t="n"/>
    </row>
    <row r="9">
      <c r="A9" s="15" t="n"/>
      <c r="B9" s="12" t="n"/>
      <c r="C9" s="12" t="n"/>
      <c r="D9" s="12" t="n"/>
      <c r="E9" s="12" t="n"/>
      <c r="F9" s="12" t="n"/>
      <c r="G9" s="12" t="n"/>
      <c r="H9" s="12" t="n"/>
      <c r="I9" s="12" t="n"/>
      <c r="J9" s="13" t="n"/>
      <c r="K9" s="13">
        <f>IF(OR(H9="",J9=""),"",H9*J9)</f>
        <v/>
      </c>
      <c r="L9" s="19">
        <f>MaterialMarkup</f>
        <v/>
      </c>
      <c r="M9" s="13">
        <f>IF(K9="","",K9*(1+L9))</f>
        <v/>
      </c>
      <c r="N9" s="12" t="n"/>
      <c r="O9" s="12" t="n"/>
    </row>
    <row r="10">
      <c r="A10" s="15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3" t="n"/>
      <c r="K10" s="13">
        <f>IF(OR(H10="",J10=""),"",H10*J10)</f>
        <v/>
      </c>
      <c r="L10" s="19">
        <f>MaterialMarkup</f>
        <v/>
      </c>
      <c r="M10" s="13">
        <f>IF(K10="","",K10*(1+L10))</f>
        <v/>
      </c>
      <c r="N10" s="12" t="n"/>
      <c r="O10" s="12" t="n"/>
    </row>
    <row r="11">
      <c r="A11" s="15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3" t="n"/>
      <c r="K11" s="13">
        <f>IF(OR(H11="",J11=""),"",H11*J11)</f>
        <v/>
      </c>
      <c r="L11" s="19">
        <f>MaterialMarkup</f>
        <v/>
      </c>
      <c r="M11" s="13">
        <f>IF(K11="","",K11*(1+L11))</f>
        <v/>
      </c>
      <c r="N11" s="12" t="n"/>
      <c r="O11" s="12" t="n"/>
    </row>
    <row r="12">
      <c r="A12" s="15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3" t="n"/>
      <c r="K12" s="13">
        <f>IF(OR(H12="",J12=""),"",H12*J12)</f>
        <v/>
      </c>
      <c r="L12" s="19">
        <f>MaterialMarkup</f>
        <v/>
      </c>
      <c r="M12" s="13">
        <f>IF(K12="","",K12*(1+L12))</f>
        <v/>
      </c>
      <c r="N12" s="12" t="n"/>
      <c r="O12" s="12" t="n"/>
    </row>
    <row r="13">
      <c r="A13" s="15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3" t="n"/>
      <c r="K13" s="13">
        <f>IF(OR(H13="",J13=""),"",H13*J13)</f>
        <v/>
      </c>
      <c r="L13" s="19">
        <f>MaterialMarkup</f>
        <v/>
      </c>
      <c r="M13" s="13">
        <f>IF(K13="","",K13*(1+L13))</f>
        <v/>
      </c>
      <c r="N13" s="12" t="n"/>
      <c r="O13" s="12" t="n"/>
    </row>
    <row r="14">
      <c r="A14" s="15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3" t="n"/>
      <c r="K14" s="13">
        <f>IF(OR(H14="",J14=""),"",H14*J14)</f>
        <v/>
      </c>
      <c r="L14" s="19">
        <f>MaterialMarkup</f>
        <v/>
      </c>
      <c r="M14" s="13">
        <f>IF(K14="","",K14*(1+L14))</f>
        <v/>
      </c>
      <c r="N14" s="12" t="n"/>
      <c r="O14" s="12" t="n"/>
    </row>
    <row r="15">
      <c r="A15" s="15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3" t="n"/>
      <c r="K15" s="13">
        <f>IF(OR(H15="",J15=""),"",H15*J15)</f>
        <v/>
      </c>
      <c r="L15" s="19">
        <f>MaterialMarkup</f>
        <v/>
      </c>
      <c r="M15" s="13">
        <f>IF(K15="","",K15*(1+L15))</f>
        <v/>
      </c>
      <c r="N15" s="12" t="n"/>
      <c r="O15" s="12" t="n"/>
    </row>
    <row r="16">
      <c r="A16" s="15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3" t="n"/>
      <c r="K16" s="13">
        <f>IF(OR(H16="",J16=""),"",H16*J16)</f>
        <v/>
      </c>
      <c r="L16" s="19">
        <f>MaterialMarkup</f>
        <v/>
      </c>
      <c r="M16" s="13">
        <f>IF(K16="","",K16*(1+L16))</f>
        <v/>
      </c>
      <c r="N16" s="12" t="n"/>
      <c r="O16" s="12" t="n"/>
    </row>
    <row r="17">
      <c r="A17" s="15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3" t="n"/>
      <c r="K17" s="13">
        <f>IF(OR(H17="",J17=""),"",H17*J17)</f>
        <v/>
      </c>
      <c r="L17" s="19">
        <f>MaterialMarkup</f>
        <v/>
      </c>
      <c r="M17" s="13">
        <f>IF(K17="","",K17*(1+L17))</f>
        <v/>
      </c>
      <c r="N17" s="12" t="n"/>
      <c r="O17" s="12" t="n"/>
    </row>
    <row r="18">
      <c r="A18" s="15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3" t="n"/>
      <c r="K18" s="13">
        <f>IF(OR(H18="",J18=""),"",H18*J18)</f>
        <v/>
      </c>
      <c r="L18" s="19">
        <f>MaterialMarkup</f>
        <v/>
      </c>
      <c r="M18" s="13">
        <f>IF(K18="","",K18*(1+L18))</f>
        <v/>
      </c>
      <c r="N18" s="12" t="n"/>
      <c r="O18" s="12" t="n"/>
    </row>
    <row r="19">
      <c r="A19" s="15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3" t="n"/>
      <c r="K19" s="13">
        <f>IF(OR(H19="",J19=""),"",H19*J19)</f>
        <v/>
      </c>
      <c r="L19" s="19">
        <f>MaterialMarkup</f>
        <v/>
      </c>
      <c r="M19" s="13">
        <f>IF(K19="","",K19*(1+L19))</f>
        <v/>
      </c>
      <c r="N19" s="12" t="n"/>
      <c r="O19" s="12" t="n"/>
    </row>
    <row r="20">
      <c r="A20" s="15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3" t="n"/>
      <c r="K20" s="13">
        <f>IF(OR(H20="",J20=""),"",H20*J20)</f>
        <v/>
      </c>
      <c r="L20" s="19">
        <f>MaterialMarkup</f>
        <v/>
      </c>
      <c r="M20" s="13">
        <f>IF(K20="","",K20*(1+L20))</f>
        <v/>
      </c>
      <c r="N20" s="12" t="n"/>
      <c r="O20" s="12" t="n"/>
    </row>
    <row r="21">
      <c r="A21" s="15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3" t="n"/>
      <c r="K21" s="13">
        <f>IF(OR(H21="",J21=""),"",H21*J21)</f>
        <v/>
      </c>
      <c r="L21" s="19">
        <f>MaterialMarkup</f>
        <v/>
      </c>
      <c r="M21" s="13">
        <f>IF(K21="","",K21*(1+L21))</f>
        <v/>
      </c>
      <c r="N21" s="12" t="n"/>
      <c r="O21" s="12" t="n"/>
    </row>
    <row r="22">
      <c r="A22" s="15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3" t="n"/>
      <c r="K22" s="13">
        <f>IF(OR(H22="",J22=""),"",H22*J22)</f>
        <v/>
      </c>
      <c r="L22" s="19">
        <f>MaterialMarkup</f>
        <v/>
      </c>
      <c r="M22" s="13">
        <f>IF(K22="","",K22*(1+L22))</f>
        <v/>
      </c>
      <c r="N22" s="12" t="n"/>
      <c r="O22" s="12" t="n"/>
    </row>
    <row r="23">
      <c r="A23" s="15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3" t="n"/>
      <c r="K23" s="13">
        <f>IF(OR(H23="",J23=""),"",H23*J23)</f>
        <v/>
      </c>
      <c r="L23" s="19">
        <f>MaterialMarkup</f>
        <v/>
      </c>
      <c r="M23" s="13">
        <f>IF(K23="","",K23*(1+L23))</f>
        <v/>
      </c>
      <c r="N23" s="12" t="n"/>
      <c r="O23" s="12" t="n"/>
    </row>
    <row r="24">
      <c r="A24" s="15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3" t="n"/>
      <c r="K24" s="13">
        <f>IF(OR(H24="",J24=""),"",H24*J24)</f>
        <v/>
      </c>
      <c r="L24" s="19">
        <f>MaterialMarkup</f>
        <v/>
      </c>
      <c r="M24" s="13">
        <f>IF(K24="","",K24*(1+L24))</f>
        <v/>
      </c>
      <c r="N24" s="12" t="n"/>
      <c r="O24" s="12" t="n"/>
    </row>
    <row r="25">
      <c r="A25" s="15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3" t="n"/>
      <c r="K25" s="13">
        <f>IF(OR(H25="",J25=""),"",H25*J25)</f>
        <v/>
      </c>
      <c r="L25" s="19">
        <f>MaterialMarkup</f>
        <v/>
      </c>
      <c r="M25" s="13">
        <f>IF(K25="","",K25*(1+L25))</f>
        <v/>
      </c>
      <c r="N25" s="12" t="n"/>
      <c r="O25" s="12" t="n"/>
    </row>
    <row r="26">
      <c r="A26" s="15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3" t="n"/>
      <c r="K26" s="13">
        <f>IF(OR(H26="",J26=""),"",H26*J26)</f>
        <v/>
      </c>
      <c r="L26" s="19">
        <f>MaterialMarkup</f>
        <v/>
      </c>
      <c r="M26" s="13">
        <f>IF(K26="","",K26*(1+L26))</f>
        <v/>
      </c>
      <c r="N26" s="12" t="n"/>
      <c r="O26" s="12" t="n"/>
    </row>
    <row r="27">
      <c r="A27" s="15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3" t="n"/>
      <c r="K27" s="13">
        <f>IF(OR(H27="",J27=""),"",H27*J27)</f>
        <v/>
      </c>
      <c r="L27" s="19">
        <f>MaterialMarkup</f>
        <v/>
      </c>
      <c r="M27" s="13">
        <f>IF(K27="","",K27*(1+L27))</f>
        <v/>
      </c>
      <c r="N27" s="12" t="n"/>
      <c r="O27" s="12" t="n"/>
    </row>
    <row r="28">
      <c r="A28" s="15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3" t="n"/>
      <c r="K28" s="13">
        <f>IF(OR(H28="",J28=""),"",H28*J28)</f>
        <v/>
      </c>
      <c r="L28" s="19">
        <f>MaterialMarkup</f>
        <v/>
      </c>
      <c r="M28" s="13">
        <f>IF(K28="","",K28*(1+L28))</f>
        <v/>
      </c>
      <c r="N28" s="12" t="n"/>
      <c r="O28" s="12" t="n"/>
    </row>
    <row r="29">
      <c r="A29" s="15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3" t="n"/>
      <c r="K29" s="13">
        <f>IF(OR(H29="",J29=""),"",H29*J29)</f>
        <v/>
      </c>
      <c r="L29" s="19">
        <f>MaterialMarkup</f>
        <v/>
      </c>
      <c r="M29" s="13">
        <f>IF(K29="","",K29*(1+L29))</f>
        <v/>
      </c>
      <c r="N29" s="12" t="n"/>
      <c r="O29" s="12" t="n"/>
    </row>
    <row r="30">
      <c r="A30" s="15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3" t="n"/>
      <c r="K30" s="13">
        <f>IF(OR(H30="",J30=""),"",H30*J30)</f>
        <v/>
      </c>
      <c r="L30" s="19">
        <f>MaterialMarkup</f>
        <v/>
      </c>
      <c r="M30" s="13">
        <f>IF(K30="","",K30*(1+L30))</f>
        <v/>
      </c>
      <c r="N30" s="12" t="n"/>
      <c r="O30" s="12" t="n"/>
    </row>
    <row r="31">
      <c r="A31" s="15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3" t="n"/>
      <c r="K31" s="13">
        <f>IF(OR(H31="",J31=""),"",H31*J31)</f>
        <v/>
      </c>
      <c r="L31" s="19">
        <f>MaterialMarkup</f>
        <v/>
      </c>
      <c r="M31" s="13">
        <f>IF(K31="","",K31*(1+L31))</f>
        <v/>
      </c>
      <c r="N31" s="12" t="n"/>
      <c r="O31" s="12" t="n"/>
    </row>
    <row r="32">
      <c r="A32" s="15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3" t="n"/>
      <c r="K32" s="13">
        <f>IF(OR(H32="",J32=""),"",H32*J32)</f>
        <v/>
      </c>
      <c r="L32" s="19">
        <f>MaterialMarkup</f>
        <v/>
      </c>
      <c r="M32" s="13">
        <f>IF(K32="","",K32*(1+L32))</f>
        <v/>
      </c>
      <c r="N32" s="12" t="n"/>
      <c r="O32" s="12" t="n"/>
    </row>
    <row r="33">
      <c r="A33" s="15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3" t="n"/>
      <c r="K33" s="13">
        <f>IF(OR(H33="",J33=""),"",H33*J33)</f>
        <v/>
      </c>
      <c r="L33" s="19">
        <f>MaterialMarkup</f>
        <v/>
      </c>
      <c r="M33" s="13">
        <f>IF(K33="","",K33*(1+L33))</f>
        <v/>
      </c>
      <c r="N33" s="12" t="n"/>
      <c r="O33" s="12" t="n"/>
    </row>
    <row r="34">
      <c r="A34" s="15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3" t="n"/>
      <c r="K34" s="13">
        <f>IF(OR(H34="",J34=""),"",H34*J34)</f>
        <v/>
      </c>
      <c r="L34" s="19">
        <f>MaterialMarkup</f>
        <v/>
      </c>
      <c r="M34" s="13">
        <f>IF(K34="","",K34*(1+L34))</f>
        <v/>
      </c>
      <c r="N34" s="12" t="n"/>
      <c r="O34" s="12" t="n"/>
    </row>
    <row r="35">
      <c r="A35" s="15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3" t="n"/>
      <c r="K35" s="13">
        <f>IF(OR(H35="",J35=""),"",H35*J35)</f>
        <v/>
      </c>
      <c r="L35" s="19">
        <f>MaterialMarkup</f>
        <v/>
      </c>
      <c r="M35" s="13">
        <f>IF(K35="","",K35*(1+L35))</f>
        <v/>
      </c>
      <c r="N35" s="12" t="n"/>
      <c r="O35" s="12" t="n"/>
    </row>
    <row r="36">
      <c r="A36" s="15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3" t="n"/>
      <c r="K36" s="13">
        <f>IF(OR(H36="",J36=""),"",H36*J36)</f>
        <v/>
      </c>
      <c r="L36" s="19">
        <f>MaterialMarkup</f>
        <v/>
      </c>
      <c r="M36" s="13">
        <f>IF(K36="","",K36*(1+L36))</f>
        <v/>
      </c>
      <c r="N36" s="12" t="n"/>
      <c r="O36" s="12" t="n"/>
    </row>
    <row r="37">
      <c r="A37" s="15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3" t="n"/>
      <c r="K37" s="13">
        <f>IF(OR(H37="",J37=""),"",H37*J37)</f>
        <v/>
      </c>
      <c r="L37" s="19">
        <f>MaterialMarkup</f>
        <v/>
      </c>
      <c r="M37" s="13">
        <f>IF(K37="","",K37*(1+L37))</f>
        <v/>
      </c>
      <c r="N37" s="12" t="n"/>
      <c r="O37" s="12" t="n"/>
    </row>
    <row r="38">
      <c r="A38" s="15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3" t="n"/>
      <c r="K38" s="13">
        <f>IF(OR(H38="",J38=""),"",H38*J38)</f>
        <v/>
      </c>
      <c r="L38" s="19">
        <f>MaterialMarkup</f>
        <v/>
      </c>
      <c r="M38" s="13">
        <f>IF(K38="","",K38*(1+L38))</f>
        <v/>
      </c>
      <c r="N38" s="12" t="n"/>
      <c r="O38" s="12" t="n"/>
    </row>
    <row r="39">
      <c r="A39" s="15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3" t="n"/>
      <c r="K39" s="13">
        <f>IF(OR(H39="",J39=""),"",H39*J39)</f>
        <v/>
      </c>
      <c r="L39" s="19">
        <f>MaterialMarkup</f>
        <v/>
      </c>
      <c r="M39" s="13">
        <f>IF(K39="","",K39*(1+L39))</f>
        <v/>
      </c>
      <c r="N39" s="12" t="n"/>
      <c r="O39" s="12" t="n"/>
    </row>
    <row r="40">
      <c r="A40" s="15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3" t="n"/>
      <c r="K40" s="13">
        <f>IF(OR(H40="",J40=""),"",H40*J40)</f>
        <v/>
      </c>
      <c r="L40" s="19">
        <f>MaterialMarkup</f>
        <v/>
      </c>
      <c r="M40" s="13">
        <f>IF(K40="","",K40*(1+L40))</f>
        <v/>
      </c>
      <c r="N40" s="12" t="n"/>
      <c r="O40" s="12" t="n"/>
    </row>
    <row r="41">
      <c r="A41" s="15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3" t="n"/>
      <c r="K41" s="13">
        <f>IF(OR(H41="",J41=""),"",H41*J41)</f>
        <v/>
      </c>
      <c r="L41" s="19">
        <f>MaterialMarkup</f>
        <v/>
      </c>
      <c r="M41" s="13">
        <f>IF(K41="","",K41*(1+L41))</f>
        <v/>
      </c>
      <c r="N41" s="12" t="n"/>
      <c r="O41" s="12" t="n"/>
    </row>
    <row r="42">
      <c r="A42" s="15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3" t="n"/>
      <c r="K42" s="13">
        <f>IF(OR(H42="",J42=""),"",H42*J42)</f>
        <v/>
      </c>
      <c r="L42" s="19">
        <f>MaterialMarkup</f>
        <v/>
      </c>
      <c r="M42" s="13">
        <f>IF(K42="","",K42*(1+L42))</f>
        <v/>
      </c>
      <c r="N42" s="12" t="n"/>
      <c r="O42" s="12" t="n"/>
    </row>
    <row r="43">
      <c r="A43" s="15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3" t="n"/>
      <c r="K43" s="13">
        <f>IF(OR(H43="",J43=""),"",H43*J43)</f>
        <v/>
      </c>
      <c r="L43" s="19">
        <f>MaterialMarkup</f>
        <v/>
      </c>
      <c r="M43" s="13">
        <f>IF(K43="","",K43*(1+L43))</f>
        <v/>
      </c>
      <c r="N43" s="12" t="n"/>
      <c r="O43" s="12" t="n"/>
    </row>
    <row r="44">
      <c r="A44" s="15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3" t="n"/>
      <c r="K44" s="13">
        <f>IF(OR(H44="",J44=""),"",H44*J44)</f>
        <v/>
      </c>
      <c r="L44" s="19">
        <f>MaterialMarkup</f>
        <v/>
      </c>
      <c r="M44" s="13">
        <f>IF(K44="","",K44*(1+L44))</f>
        <v/>
      </c>
      <c r="N44" s="12" t="n"/>
      <c r="O44" s="12" t="n"/>
    </row>
    <row r="45">
      <c r="A45" s="15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3" t="n"/>
      <c r="K45" s="13">
        <f>IF(OR(H45="",J45=""),"",H45*J45)</f>
        <v/>
      </c>
      <c r="L45" s="19">
        <f>MaterialMarkup</f>
        <v/>
      </c>
      <c r="M45" s="13">
        <f>IF(K45="","",K45*(1+L45))</f>
        <v/>
      </c>
      <c r="N45" s="12" t="n"/>
      <c r="O45" s="12" t="n"/>
    </row>
    <row r="46">
      <c r="A46" s="15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3" t="n"/>
      <c r="K46" s="13">
        <f>IF(OR(H46="",J46=""),"",H46*J46)</f>
        <v/>
      </c>
      <c r="L46" s="19">
        <f>MaterialMarkup</f>
        <v/>
      </c>
      <c r="M46" s="13">
        <f>IF(K46="","",K46*(1+L46))</f>
        <v/>
      </c>
      <c r="N46" s="12" t="n"/>
      <c r="O46" s="12" t="n"/>
    </row>
    <row r="47">
      <c r="A47" s="15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3" t="n"/>
      <c r="K47" s="13">
        <f>IF(OR(H47="",J47=""),"",H47*J47)</f>
        <v/>
      </c>
      <c r="L47" s="19">
        <f>MaterialMarkup</f>
        <v/>
      </c>
      <c r="M47" s="13">
        <f>IF(K47="","",K47*(1+L47))</f>
        <v/>
      </c>
      <c r="N47" s="12" t="n"/>
      <c r="O47" s="12" t="n"/>
    </row>
    <row r="48">
      <c r="A48" s="15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3" t="n"/>
      <c r="K48" s="13">
        <f>IF(OR(H48="",J48=""),"",H48*J48)</f>
        <v/>
      </c>
      <c r="L48" s="19">
        <f>MaterialMarkup</f>
        <v/>
      </c>
      <c r="M48" s="13">
        <f>IF(K48="","",K48*(1+L48))</f>
        <v/>
      </c>
      <c r="N48" s="12" t="n"/>
      <c r="O48" s="12" t="n"/>
    </row>
    <row r="49">
      <c r="A49" s="15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3" t="n"/>
      <c r="K49" s="13">
        <f>IF(OR(H49="",J49=""),"",H49*J49)</f>
        <v/>
      </c>
      <c r="L49" s="19">
        <f>MaterialMarkup</f>
        <v/>
      </c>
      <c r="M49" s="13">
        <f>IF(K49="","",K49*(1+L49))</f>
        <v/>
      </c>
      <c r="N49" s="12" t="n"/>
      <c r="O49" s="12" t="n"/>
    </row>
    <row r="50">
      <c r="A50" s="15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3" t="n"/>
      <c r="K50" s="13">
        <f>IF(OR(H50="",J50=""),"",H50*J50)</f>
        <v/>
      </c>
      <c r="L50" s="19">
        <f>MaterialMarkup</f>
        <v/>
      </c>
      <c r="M50" s="13">
        <f>IF(K50="","",K50*(1+L50))</f>
        <v/>
      </c>
      <c r="N50" s="12" t="n"/>
      <c r="O50" s="12" t="n"/>
    </row>
    <row r="51">
      <c r="A51" s="15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3" t="n"/>
      <c r="K51" s="13">
        <f>IF(OR(H51="",J51=""),"",H51*J51)</f>
        <v/>
      </c>
      <c r="L51" s="19">
        <f>MaterialMarkup</f>
        <v/>
      </c>
      <c r="M51" s="13">
        <f>IF(K51="","",K51*(1+L51))</f>
        <v/>
      </c>
      <c r="N51" s="12" t="n"/>
      <c r="O51" s="12" t="n"/>
    </row>
    <row r="52">
      <c r="A52" s="15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3" t="n"/>
      <c r="K52" s="13">
        <f>IF(OR(H52="",J52=""),"",H52*J52)</f>
        <v/>
      </c>
      <c r="L52" s="19">
        <f>MaterialMarkup</f>
        <v/>
      </c>
      <c r="M52" s="13">
        <f>IF(K52="","",K52*(1+L52))</f>
        <v/>
      </c>
      <c r="N52" s="12" t="n"/>
      <c r="O52" s="12" t="n"/>
    </row>
    <row r="53">
      <c r="A53" s="15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3" t="n"/>
      <c r="K53" s="13">
        <f>IF(OR(H53="",J53=""),"",H53*J53)</f>
        <v/>
      </c>
      <c r="L53" s="19">
        <f>MaterialMarkup</f>
        <v/>
      </c>
      <c r="M53" s="13">
        <f>IF(K53="","",K53*(1+L53))</f>
        <v/>
      </c>
      <c r="N53" s="12" t="n"/>
      <c r="O53" s="12" t="n"/>
    </row>
    <row r="54">
      <c r="A54" s="15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3" t="n"/>
      <c r="K54" s="13">
        <f>IF(OR(H54="",J54=""),"",H54*J54)</f>
        <v/>
      </c>
      <c r="L54" s="19">
        <f>MaterialMarkup</f>
        <v/>
      </c>
      <c r="M54" s="13">
        <f>IF(K54="","",K54*(1+L54))</f>
        <v/>
      </c>
      <c r="N54" s="12" t="n"/>
      <c r="O54" s="12" t="n"/>
    </row>
    <row r="55">
      <c r="A55" s="15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3" t="n"/>
      <c r="K55" s="13">
        <f>IF(OR(H55="",J55=""),"",H55*J55)</f>
        <v/>
      </c>
      <c r="L55" s="19">
        <f>MaterialMarkup</f>
        <v/>
      </c>
      <c r="M55" s="13">
        <f>IF(K55="","",K55*(1+L55))</f>
        <v/>
      </c>
      <c r="N55" s="12" t="n"/>
      <c r="O55" s="12" t="n"/>
    </row>
    <row r="56">
      <c r="A56" s="15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3" t="n"/>
      <c r="K56" s="13">
        <f>IF(OR(H56="",J56=""),"",H56*J56)</f>
        <v/>
      </c>
      <c r="L56" s="19">
        <f>MaterialMarkup</f>
        <v/>
      </c>
      <c r="M56" s="13">
        <f>IF(K56="","",K56*(1+L56))</f>
        <v/>
      </c>
      <c r="N56" s="12" t="n"/>
      <c r="O56" s="12" t="n"/>
    </row>
    <row r="57">
      <c r="A57" s="15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3" t="n"/>
      <c r="K57" s="13">
        <f>IF(OR(H57="",J57=""),"",H57*J57)</f>
        <v/>
      </c>
      <c r="L57" s="19">
        <f>MaterialMarkup</f>
        <v/>
      </c>
      <c r="M57" s="13">
        <f>IF(K57="","",K57*(1+L57))</f>
        <v/>
      </c>
      <c r="N57" s="12" t="n"/>
      <c r="O57" s="12" t="n"/>
    </row>
    <row r="58">
      <c r="A58" s="15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3" t="n"/>
      <c r="K58" s="13">
        <f>IF(OR(H58="",J58=""),"",H58*J58)</f>
        <v/>
      </c>
      <c r="L58" s="19">
        <f>MaterialMarkup</f>
        <v/>
      </c>
      <c r="M58" s="13">
        <f>IF(K58="","",K58*(1+L58))</f>
        <v/>
      </c>
      <c r="N58" s="12" t="n"/>
      <c r="O58" s="12" t="n"/>
    </row>
    <row r="59">
      <c r="A59" s="15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3" t="n"/>
      <c r="K59" s="13">
        <f>IF(OR(H59="",J59=""),"",H59*J59)</f>
        <v/>
      </c>
      <c r="L59" s="19">
        <f>MaterialMarkup</f>
        <v/>
      </c>
      <c r="M59" s="13">
        <f>IF(K59="","",K59*(1+L59))</f>
        <v/>
      </c>
      <c r="N59" s="12" t="n"/>
      <c r="O59" s="12" t="n"/>
    </row>
    <row r="60">
      <c r="A60" s="15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3" t="n"/>
      <c r="K60" s="13">
        <f>IF(OR(H60="",J60=""),"",H60*J60)</f>
        <v/>
      </c>
      <c r="L60" s="19">
        <f>MaterialMarkup</f>
        <v/>
      </c>
      <c r="M60" s="13">
        <f>IF(K60="","",K60*(1+L60))</f>
        <v/>
      </c>
      <c r="N60" s="12" t="n"/>
      <c r="O60" s="12" t="n"/>
    </row>
    <row r="61">
      <c r="A61" s="15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3" t="n"/>
      <c r="K61" s="13">
        <f>IF(OR(H61="",J61=""),"",H61*J61)</f>
        <v/>
      </c>
      <c r="L61" s="19">
        <f>MaterialMarkup</f>
        <v/>
      </c>
      <c r="M61" s="13">
        <f>IF(K61="","",K61*(1+L61))</f>
        <v/>
      </c>
      <c r="N61" s="12" t="n"/>
      <c r="O61" s="12" t="n"/>
    </row>
    <row r="62">
      <c r="A62" s="15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3" t="n"/>
      <c r="K62" s="13">
        <f>IF(OR(H62="",J62=""),"",H62*J62)</f>
        <v/>
      </c>
      <c r="L62" s="19">
        <f>MaterialMarkup</f>
        <v/>
      </c>
      <c r="M62" s="13">
        <f>IF(K62="","",K62*(1+L62))</f>
        <v/>
      </c>
      <c r="N62" s="12" t="n"/>
      <c r="O62" s="12" t="n"/>
    </row>
    <row r="63">
      <c r="A63" s="15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3" t="n"/>
      <c r="K63" s="13">
        <f>IF(OR(H63="",J63=""),"",H63*J63)</f>
        <v/>
      </c>
      <c r="L63" s="19">
        <f>MaterialMarkup</f>
        <v/>
      </c>
      <c r="M63" s="13">
        <f>IF(K63="","",K63*(1+L63))</f>
        <v/>
      </c>
      <c r="N63" s="12" t="n"/>
      <c r="O63" s="12" t="n"/>
    </row>
    <row r="64">
      <c r="A64" s="15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3" t="n"/>
      <c r="K64" s="13">
        <f>IF(OR(H64="",J64=""),"",H64*J64)</f>
        <v/>
      </c>
      <c r="L64" s="19">
        <f>MaterialMarkup</f>
        <v/>
      </c>
      <c r="M64" s="13">
        <f>IF(K64="","",K64*(1+L64))</f>
        <v/>
      </c>
      <c r="N64" s="12" t="n"/>
      <c r="O64" s="12" t="n"/>
    </row>
    <row r="65">
      <c r="A65" s="15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3" t="n"/>
      <c r="K65" s="13">
        <f>IF(OR(H65="",J65=""),"",H65*J65)</f>
        <v/>
      </c>
      <c r="L65" s="19">
        <f>MaterialMarkup</f>
        <v/>
      </c>
      <c r="M65" s="13">
        <f>IF(K65="","",K65*(1+L65))</f>
        <v/>
      </c>
      <c r="N65" s="12" t="n"/>
      <c r="O65" s="12" t="n"/>
    </row>
    <row r="66">
      <c r="A66" s="15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3" t="n"/>
      <c r="K66" s="13">
        <f>IF(OR(H66="",J66=""),"",H66*J66)</f>
        <v/>
      </c>
      <c r="L66" s="19">
        <f>MaterialMarkup</f>
        <v/>
      </c>
      <c r="M66" s="13">
        <f>IF(K66="","",K66*(1+L66))</f>
        <v/>
      </c>
      <c r="N66" s="12" t="n"/>
      <c r="O66" s="12" t="n"/>
    </row>
    <row r="67">
      <c r="A67" s="15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3" t="n"/>
      <c r="K67" s="13">
        <f>IF(OR(H67="",J67=""),"",H67*J67)</f>
        <v/>
      </c>
      <c r="L67" s="19">
        <f>MaterialMarkup</f>
        <v/>
      </c>
      <c r="M67" s="13">
        <f>IF(K67="","",K67*(1+L67))</f>
        <v/>
      </c>
      <c r="N67" s="12" t="n"/>
      <c r="O67" s="12" t="n"/>
    </row>
    <row r="68">
      <c r="A68" s="15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3" t="n"/>
      <c r="K68" s="13">
        <f>IF(OR(H68="",J68=""),"",H68*J68)</f>
        <v/>
      </c>
      <c r="L68" s="19">
        <f>MaterialMarkup</f>
        <v/>
      </c>
      <c r="M68" s="13">
        <f>IF(K68="","",K68*(1+L68))</f>
        <v/>
      </c>
      <c r="N68" s="12" t="n"/>
      <c r="O68" s="12" t="n"/>
    </row>
    <row r="69">
      <c r="A69" s="15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3" t="n"/>
      <c r="K69" s="13">
        <f>IF(OR(H69="",J69=""),"",H69*J69)</f>
        <v/>
      </c>
      <c r="L69" s="19">
        <f>MaterialMarkup</f>
        <v/>
      </c>
      <c r="M69" s="13">
        <f>IF(K69="","",K69*(1+L69))</f>
        <v/>
      </c>
      <c r="N69" s="12" t="n"/>
      <c r="O69" s="12" t="n"/>
    </row>
    <row r="70">
      <c r="A70" s="15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3" t="n"/>
      <c r="K70" s="13">
        <f>IF(OR(H70="",J70=""),"",H70*J70)</f>
        <v/>
      </c>
      <c r="L70" s="19">
        <f>MaterialMarkup</f>
        <v/>
      </c>
      <c r="M70" s="13">
        <f>IF(K70="","",K70*(1+L70))</f>
        <v/>
      </c>
      <c r="N70" s="12" t="n"/>
      <c r="O70" s="12" t="n"/>
    </row>
    <row r="71">
      <c r="A71" s="15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3" t="n"/>
      <c r="K71" s="13">
        <f>IF(OR(H71="",J71=""),"",H71*J71)</f>
        <v/>
      </c>
      <c r="L71" s="19">
        <f>MaterialMarkup</f>
        <v/>
      </c>
      <c r="M71" s="13">
        <f>IF(K71="","",K71*(1+L71))</f>
        <v/>
      </c>
      <c r="N71" s="12" t="n"/>
      <c r="O71" s="12" t="n"/>
    </row>
    <row r="72">
      <c r="A72" s="15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3" t="n"/>
      <c r="K72" s="13">
        <f>IF(OR(H72="",J72=""),"",H72*J72)</f>
        <v/>
      </c>
      <c r="L72" s="19">
        <f>MaterialMarkup</f>
        <v/>
      </c>
      <c r="M72" s="13">
        <f>IF(K72="","",K72*(1+L72))</f>
        <v/>
      </c>
      <c r="N72" s="12" t="n"/>
      <c r="O72" s="12" t="n"/>
    </row>
    <row r="73">
      <c r="A73" s="15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3" t="n"/>
      <c r="K73" s="13">
        <f>IF(OR(H73="",J73=""),"",H73*J73)</f>
        <v/>
      </c>
      <c r="L73" s="19">
        <f>MaterialMarkup</f>
        <v/>
      </c>
      <c r="M73" s="13">
        <f>IF(K73="","",K73*(1+L73))</f>
        <v/>
      </c>
      <c r="N73" s="12" t="n"/>
      <c r="O73" s="12" t="n"/>
    </row>
    <row r="74">
      <c r="A74" s="15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3" t="n"/>
      <c r="K74" s="13">
        <f>IF(OR(H74="",J74=""),"",H74*J74)</f>
        <v/>
      </c>
      <c r="L74" s="19">
        <f>MaterialMarkup</f>
        <v/>
      </c>
      <c r="M74" s="13">
        <f>IF(K74="","",K74*(1+L74))</f>
        <v/>
      </c>
      <c r="N74" s="12" t="n"/>
      <c r="O74" s="12" t="n"/>
    </row>
    <row r="75">
      <c r="A75" s="15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3" t="n"/>
      <c r="K75" s="13">
        <f>IF(OR(H75="",J75=""),"",H75*J75)</f>
        <v/>
      </c>
      <c r="L75" s="19">
        <f>MaterialMarkup</f>
        <v/>
      </c>
      <c r="M75" s="13">
        <f>IF(K75="","",K75*(1+L75))</f>
        <v/>
      </c>
      <c r="N75" s="12" t="n"/>
      <c r="O75" s="12" t="n"/>
    </row>
    <row r="76">
      <c r="A76" s="15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3" t="n"/>
      <c r="K76" s="13">
        <f>IF(OR(H76="",J76=""),"",H76*J76)</f>
        <v/>
      </c>
      <c r="L76" s="19">
        <f>MaterialMarkup</f>
        <v/>
      </c>
      <c r="M76" s="13">
        <f>IF(K76="","",K76*(1+L76))</f>
        <v/>
      </c>
      <c r="N76" s="12" t="n"/>
      <c r="O76" s="12" t="n"/>
    </row>
    <row r="77">
      <c r="A77" s="15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3" t="n"/>
      <c r="K77" s="13">
        <f>IF(OR(H77="",J77=""),"",H77*J77)</f>
        <v/>
      </c>
      <c r="L77" s="19">
        <f>MaterialMarkup</f>
        <v/>
      </c>
      <c r="M77" s="13">
        <f>IF(K77="","",K77*(1+L77))</f>
        <v/>
      </c>
      <c r="N77" s="12" t="n"/>
      <c r="O77" s="12" t="n"/>
    </row>
    <row r="78">
      <c r="A78" s="15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3" t="n"/>
      <c r="K78" s="13">
        <f>IF(OR(H78="",J78=""),"",H78*J78)</f>
        <v/>
      </c>
      <c r="L78" s="19">
        <f>MaterialMarkup</f>
        <v/>
      </c>
      <c r="M78" s="13">
        <f>IF(K78="","",K78*(1+L78))</f>
        <v/>
      </c>
      <c r="N78" s="12" t="n"/>
      <c r="O78" s="12" t="n"/>
    </row>
    <row r="79">
      <c r="A79" s="15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3" t="n"/>
      <c r="K79" s="13">
        <f>IF(OR(H79="",J79=""),"",H79*J79)</f>
        <v/>
      </c>
      <c r="L79" s="19">
        <f>MaterialMarkup</f>
        <v/>
      </c>
      <c r="M79" s="13">
        <f>IF(K79="","",K79*(1+L79))</f>
        <v/>
      </c>
      <c r="N79" s="12" t="n"/>
      <c r="O79" s="12" t="n"/>
    </row>
    <row r="80">
      <c r="A80" s="15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3" t="n"/>
      <c r="K80" s="13">
        <f>IF(OR(H80="",J80=""),"",H80*J80)</f>
        <v/>
      </c>
      <c r="L80" s="19">
        <f>MaterialMarkup</f>
        <v/>
      </c>
      <c r="M80" s="13">
        <f>IF(K80="","",K80*(1+L80))</f>
        <v/>
      </c>
      <c r="N80" s="12" t="n"/>
      <c r="O80" s="12" t="n"/>
    </row>
    <row r="81">
      <c r="A81" s="15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3" t="n"/>
      <c r="K81" s="13">
        <f>IF(OR(H81="",J81=""),"",H81*J81)</f>
        <v/>
      </c>
      <c r="L81" s="19">
        <f>MaterialMarkup</f>
        <v/>
      </c>
      <c r="M81" s="13">
        <f>IF(K81="","",K81*(1+L81))</f>
        <v/>
      </c>
      <c r="N81" s="12" t="n"/>
      <c r="O81" s="12" t="n"/>
    </row>
    <row r="82">
      <c r="A82" s="15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3" t="n"/>
      <c r="K82" s="13">
        <f>IF(OR(H82="",J82=""),"",H82*J82)</f>
        <v/>
      </c>
      <c r="L82" s="19">
        <f>MaterialMarkup</f>
        <v/>
      </c>
      <c r="M82" s="13">
        <f>IF(K82="","",K82*(1+L82))</f>
        <v/>
      </c>
      <c r="N82" s="12" t="n"/>
      <c r="O82" s="12" t="n"/>
    </row>
    <row r="83">
      <c r="A83" s="15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3" t="n"/>
      <c r="K83" s="13">
        <f>IF(OR(H83="",J83=""),"",H83*J83)</f>
        <v/>
      </c>
      <c r="L83" s="19">
        <f>MaterialMarkup</f>
        <v/>
      </c>
      <c r="M83" s="13">
        <f>IF(K83="","",K83*(1+L83))</f>
        <v/>
      </c>
      <c r="N83" s="12" t="n"/>
      <c r="O83" s="12" t="n"/>
    </row>
    <row r="84">
      <c r="A84" s="15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3" t="n"/>
      <c r="K84" s="13">
        <f>IF(OR(H84="",J84=""),"",H84*J84)</f>
        <v/>
      </c>
      <c r="L84" s="19">
        <f>MaterialMarkup</f>
        <v/>
      </c>
      <c r="M84" s="13">
        <f>IF(K84="","",K84*(1+L84))</f>
        <v/>
      </c>
      <c r="N84" s="12" t="n"/>
      <c r="O84" s="12" t="n"/>
    </row>
    <row r="85">
      <c r="A85" s="15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3" t="n"/>
      <c r="K85" s="13">
        <f>IF(OR(H85="",J85=""),"",H85*J85)</f>
        <v/>
      </c>
      <c r="L85" s="19">
        <f>MaterialMarkup</f>
        <v/>
      </c>
      <c r="M85" s="13">
        <f>IF(K85="","",K85*(1+L85))</f>
        <v/>
      </c>
      <c r="N85" s="12" t="n"/>
      <c r="O85" s="12" t="n"/>
    </row>
    <row r="86">
      <c r="A86" s="15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3" t="n"/>
      <c r="K86" s="13">
        <f>IF(OR(H86="",J86=""),"",H86*J86)</f>
        <v/>
      </c>
      <c r="L86" s="19">
        <f>MaterialMarkup</f>
        <v/>
      </c>
      <c r="M86" s="13">
        <f>IF(K86="","",K86*(1+L86))</f>
        <v/>
      </c>
      <c r="N86" s="12" t="n"/>
      <c r="O86" s="12" t="n"/>
    </row>
    <row r="87">
      <c r="A87" s="15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3" t="n"/>
      <c r="K87" s="13">
        <f>IF(OR(H87="",J87=""),"",H87*J87)</f>
        <v/>
      </c>
      <c r="L87" s="19">
        <f>MaterialMarkup</f>
        <v/>
      </c>
      <c r="M87" s="13">
        <f>IF(K87="","",K87*(1+L87))</f>
        <v/>
      </c>
      <c r="N87" s="12" t="n"/>
      <c r="O87" s="12" t="n"/>
    </row>
    <row r="88">
      <c r="A88" s="15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3" t="n"/>
      <c r="K88" s="13">
        <f>IF(OR(H88="",J88=""),"",H88*J88)</f>
        <v/>
      </c>
      <c r="L88" s="19">
        <f>MaterialMarkup</f>
        <v/>
      </c>
      <c r="M88" s="13">
        <f>IF(K88="","",K88*(1+L88))</f>
        <v/>
      </c>
      <c r="N88" s="12" t="n"/>
      <c r="O88" s="12" t="n"/>
    </row>
    <row r="89">
      <c r="A89" s="15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3" t="n"/>
      <c r="K89" s="13">
        <f>IF(OR(H89="",J89=""),"",H89*J89)</f>
        <v/>
      </c>
      <c r="L89" s="19">
        <f>MaterialMarkup</f>
        <v/>
      </c>
      <c r="M89" s="13">
        <f>IF(K89="","",K89*(1+L89))</f>
        <v/>
      </c>
      <c r="N89" s="12" t="n"/>
      <c r="O89" s="12" t="n"/>
    </row>
    <row r="90">
      <c r="A90" s="15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3" t="n"/>
      <c r="K90" s="13">
        <f>IF(OR(H90="",J90=""),"",H90*J90)</f>
        <v/>
      </c>
      <c r="L90" s="19">
        <f>MaterialMarkup</f>
        <v/>
      </c>
      <c r="M90" s="13">
        <f>IF(K90="","",K90*(1+L90))</f>
        <v/>
      </c>
      <c r="N90" s="12" t="n"/>
      <c r="O90" s="12" t="n"/>
    </row>
    <row r="91">
      <c r="A91" s="15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3" t="n"/>
      <c r="K91" s="13">
        <f>IF(OR(H91="",J91=""),"",H91*J91)</f>
        <v/>
      </c>
      <c r="L91" s="19">
        <f>MaterialMarkup</f>
        <v/>
      </c>
      <c r="M91" s="13">
        <f>IF(K91="","",K91*(1+L91))</f>
        <v/>
      </c>
      <c r="N91" s="12" t="n"/>
      <c r="O91" s="12" t="n"/>
    </row>
    <row r="92">
      <c r="A92" s="15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3" t="n"/>
      <c r="K92" s="13">
        <f>IF(OR(H92="",J92=""),"",H92*J92)</f>
        <v/>
      </c>
      <c r="L92" s="19">
        <f>MaterialMarkup</f>
        <v/>
      </c>
      <c r="M92" s="13">
        <f>IF(K92="","",K92*(1+L92))</f>
        <v/>
      </c>
      <c r="N92" s="12" t="n"/>
      <c r="O92" s="12" t="n"/>
    </row>
    <row r="93">
      <c r="A93" s="15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3" t="n"/>
      <c r="K93" s="13">
        <f>IF(OR(H93="",J93=""),"",H93*J93)</f>
        <v/>
      </c>
      <c r="L93" s="19">
        <f>MaterialMarkup</f>
        <v/>
      </c>
      <c r="M93" s="13">
        <f>IF(K93="","",K93*(1+L93))</f>
        <v/>
      </c>
      <c r="N93" s="12" t="n"/>
      <c r="O93" s="12" t="n"/>
    </row>
    <row r="94">
      <c r="A94" s="15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3" t="n"/>
      <c r="K94" s="13">
        <f>IF(OR(H94="",J94=""),"",H94*J94)</f>
        <v/>
      </c>
      <c r="L94" s="19">
        <f>MaterialMarkup</f>
        <v/>
      </c>
      <c r="M94" s="13">
        <f>IF(K94="","",K94*(1+L94))</f>
        <v/>
      </c>
      <c r="N94" s="12" t="n"/>
      <c r="O94" s="12" t="n"/>
    </row>
    <row r="95">
      <c r="A95" s="15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3" t="n"/>
      <c r="K95" s="13">
        <f>IF(OR(H95="",J95=""),"",H95*J95)</f>
        <v/>
      </c>
      <c r="L95" s="19">
        <f>MaterialMarkup</f>
        <v/>
      </c>
      <c r="M95" s="13">
        <f>IF(K95="","",K95*(1+L95))</f>
        <v/>
      </c>
      <c r="N95" s="12" t="n"/>
      <c r="O95" s="12" t="n"/>
    </row>
    <row r="96">
      <c r="A96" s="15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3" t="n"/>
      <c r="K96" s="13">
        <f>IF(OR(H96="",J96=""),"",H96*J96)</f>
        <v/>
      </c>
      <c r="L96" s="19">
        <f>MaterialMarkup</f>
        <v/>
      </c>
      <c r="M96" s="13">
        <f>IF(K96="","",K96*(1+L96))</f>
        <v/>
      </c>
      <c r="N96" s="12" t="n"/>
      <c r="O96" s="12" t="n"/>
    </row>
    <row r="97">
      <c r="A97" s="15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3" t="n"/>
      <c r="K97" s="13">
        <f>IF(OR(H97="",J97=""),"",H97*J97)</f>
        <v/>
      </c>
      <c r="L97" s="19">
        <f>MaterialMarkup</f>
        <v/>
      </c>
      <c r="M97" s="13">
        <f>IF(K97="","",K97*(1+L97))</f>
        <v/>
      </c>
      <c r="N97" s="12" t="n"/>
      <c r="O97" s="12" t="n"/>
    </row>
    <row r="98">
      <c r="A98" s="15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3" t="n"/>
      <c r="K98" s="13">
        <f>IF(OR(H98="",J98=""),"",H98*J98)</f>
        <v/>
      </c>
      <c r="L98" s="19">
        <f>MaterialMarkup</f>
        <v/>
      </c>
      <c r="M98" s="13">
        <f>IF(K98="","",K98*(1+L98))</f>
        <v/>
      </c>
      <c r="N98" s="12" t="n"/>
      <c r="O98" s="12" t="n"/>
    </row>
    <row r="99">
      <c r="A99" s="15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3" t="n"/>
      <c r="K99" s="13">
        <f>IF(OR(H99="",J99=""),"",H99*J99)</f>
        <v/>
      </c>
      <c r="L99" s="19">
        <f>MaterialMarkup</f>
        <v/>
      </c>
      <c r="M99" s="13">
        <f>IF(K99="","",K99*(1+L99))</f>
        <v/>
      </c>
      <c r="N99" s="12" t="n"/>
      <c r="O99" s="12" t="n"/>
    </row>
    <row r="100">
      <c r="A100" s="15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3" t="n"/>
      <c r="K100" s="13">
        <f>IF(OR(H100="",J100=""),"",H100*J100)</f>
        <v/>
      </c>
      <c r="L100" s="19">
        <f>MaterialMarkup</f>
        <v/>
      </c>
      <c r="M100" s="13">
        <f>IF(K100="","",K100*(1+L100))</f>
        <v/>
      </c>
      <c r="N100" s="12" t="n"/>
      <c r="O100" s="12" t="n"/>
    </row>
    <row r="101">
      <c r="A101" s="15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3" t="n"/>
      <c r="K101" s="13">
        <f>IF(OR(H101="",J101=""),"",H101*J101)</f>
        <v/>
      </c>
      <c r="L101" s="19">
        <f>MaterialMarkup</f>
        <v/>
      </c>
      <c r="M101" s="13">
        <f>IF(K101="","",K101*(1+L101))</f>
        <v/>
      </c>
      <c r="N101" s="12" t="n"/>
      <c r="O101" s="12" t="n"/>
    </row>
    <row r="102">
      <c r="A102" s="15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3" t="n"/>
      <c r="K102" s="13">
        <f>IF(OR(H102="",J102=""),"",H102*J102)</f>
        <v/>
      </c>
      <c r="L102" s="19">
        <f>MaterialMarkup</f>
        <v/>
      </c>
      <c r="M102" s="13">
        <f>IF(K102="","",K102*(1+L102))</f>
        <v/>
      </c>
      <c r="N102" s="12" t="n"/>
      <c r="O102" s="12" t="n"/>
    </row>
    <row r="103">
      <c r="A103" s="15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3" t="n"/>
      <c r="K103" s="13">
        <f>IF(OR(H103="",J103=""),"",H103*J103)</f>
        <v/>
      </c>
      <c r="L103" s="19">
        <f>MaterialMarkup</f>
        <v/>
      </c>
      <c r="M103" s="13">
        <f>IF(K103="","",K103*(1+L103))</f>
        <v/>
      </c>
      <c r="N103" s="12" t="n"/>
      <c r="O103" s="12" t="n"/>
    </row>
    <row r="104">
      <c r="A104" s="15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3" t="n"/>
      <c r="K104" s="13">
        <f>IF(OR(H104="",J104=""),"",H104*J104)</f>
        <v/>
      </c>
      <c r="L104" s="19">
        <f>MaterialMarkup</f>
        <v/>
      </c>
      <c r="M104" s="13">
        <f>IF(K104="","",K104*(1+L104))</f>
        <v/>
      </c>
      <c r="N104" s="12" t="n"/>
      <c r="O104" s="12" t="n"/>
    </row>
    <row r="105">
      <c r="A105" s="15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3" t="n"/>
      <c r="K105" s="13">
        <f>IF(OR(H105="",J105=""),"",H105*J105)</f>
        <v/>
      </c>
      <c r="L105" s="19">
        <f>MaterialMarkup</f>
        <v/>
      </c>
      <c r="M105" s="13">
        <f>IF(K105="","",K105*(1+L105))</f>
        <v/>
      </c>
      <c r="N105" s="12" t="n"/>
      <c r="O105" s="12" t="n"/>
    </row>
    <row r="106">
      <c r="A106" s="15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3" t="n"/>
      <c r="K106" s="13">
        <f>IF(OR(H106="",J106=""),"",H106*J106)</f>
        <v/>
      </c>
      <c r="L106" s="19">
        <f>MaterialMarkup</f>
        <v/>
      </c>
      <c r="M106" s="13">
        <f>IF(K106="","",K106*(1+L106))</f>
        <v/>
      </c>
      <c r="N106" s="12" t="n"/>
      <c r="O106" s="12" t="n"/>
    </row>
    <row r="107">
      <c r="A107" s="15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3" t="n"/>
      <c r="K107" s="13">
        <f>IF(OR(H107="",J107=""),"",H107*J107)</f>
        <v/>
      </c>
      <c r="L107" s="19">
        <f>MaterialMarkup</f>
        <v/>
      </c>
      <c r="M107" s="13">
        <f>IF(K107="","",K107*(1+L107))</f>
        <v/>
      </c>
      <c r="N107" s="12" t="n"/>
      <c r="O107" s="12" t="n"/>
    </row>
    <row r="108">
      <c r="A108" s="15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3" t="n"/>
      <c r="K108" s="13">
        <f>IF(OR(H108="",J108=""),"",H108*J108)</f>
        <v/>
      </c>
      <c r="L108" s="19">
        <f>MaterialMarkup</f>
        <v/>
      </c>
      <c r="M108" s="13">
        <f>IF(K108="","",K108*(1+L108))</f>
        <v/>
      </c>
      <c r="N108" s="12" t="n"/>
      <c r="O108" s="12" t="n"/>
    </row>
    <row r="109">
      <c r="A109" s="15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3" t="n"/>
      <c r="K109" s="13">
        <f>IF(OR(H109="",J109=""),"",H109*J109)</f>
        <v/>
      </c>
      <c r="L109" s="19">
        <f>MaterialMarkup</f>
        <v/>
      </c>
      <c r="M109" s="13">
        <f>IF(K109="","",K109*(1+L109))</f>
        <v/>
      </c>
      <c r="N109" s="12" t="n"/>
      <c r="O109" s="12" t="n"/>
    </row>
    <row r="110">
      <c r="A110" s="15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3" t="n"/>
      <c r="K110" s="13">
        <f>IF(OR(H110="",J110=""),"",H110*J110)</f>
        <v/>
      </c>
      <c r="L110" s="19">
        <f>MaterialMarkup</f>
        <v/>
      </c>
      <c r="M110" s="13">
        <f>IF(K110="","",K110*(1+L110))</f>
        <v/>
      </c>
      <c r="N110" s="12" t="n"/>
      <c r="O110" s="12" t="n"/>
    </row>
    <row r="111">
      <c r="A111" s="15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3" t="n"/>
      <c r="K111" s="13">
        <f>IF(OR(H111="",J111=""),"",H111*J111)</f>
        <v/>
      </c>
      <c r="L111" s="19">
        <f>MaterialMarkup</f>
        <v/>
      </c>
      <c r="M111" s="13">
        <f>IF(K111="","",K111*(1+L111))</f>
        <v/>
      </c>
      <c r="N111" s="12" t="n"/>
      <c r="O111" s="12" t="n"/>
    </row>
    <row r="112">
      <c r="A112" s="15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3" t="n"/>
      <c r="K112" s="13">
        <f>IF(OR(H112="",J112=""),"",H112*J112)</f>
        <v/>
      </c>
      <c r="L112" s="19">
        <f>MaterialMarkup</f>
        <v/>
      </c>
      <c r="M112" s="13">
        <f>IF(K112="","",K112*(1+L112))</f>
        <v/>
      </c>
      <c r="N112" s="12" t="n"/>
      <c r="O112" s="12" t="n"/>
    </row>
    <row r="113">
      <c r="A113" s="15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3" t="n"/>
      <c r="K113" s="13">
        <f>IF(OR(H113="",J113=""),"",H113*J113)</f>
        <v/>
      </c>
      <c r="L113" s="19">
        <f>MaterialMarkup</f>
        <v/>
      </c>
      <c r="M113" s="13">
        <f>IF(K113="","",K113*(1+L113))</f>
        <v/>
      </c>
      <c r="N113" s="12" t="n"/>
      <c r="O113" s="12" t="n"/>
    </row>
    <row r="114">
      <c r="A114" s="15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3" t="n"/>
      <c r="K114" s="13">
        <f>IF(OR(H114="",J114=""),"",H114*J114)</f>
        <v/>
      </c>
      <c r="L114" s="19">
        <f>MaterialMarkup</f>
        <v/>
      </c>
      <c r="M114" s="13">
        <f>IF(K114="","",K114*(1+L114))</f>
        <v/>
      </c>
      <c r="N114" s="12" t="n"/>
      <c r="O114" s="12" t="n"/>
    </row>
    <row r="115">
      <c r="A115" s="15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3" t="n"/>
      <c r="K115" s="13">
        <f>IF(OR(H115="",J115=""),"",H115*J115)</f>
        <v/>
      </c>
      <c r="L115" s="19">
        <f>MaterialMarkup</f>
        <v/>
      </c>
      <c r="M115" s="13">
        <f>IF(K115="","",K115*(1+L115))</f>
        <v/>
      </c>
      <c r="N115" s="12" t="n"/>
      <c r="O115" s="12" t="n"/>
    </row>
    <row r="116">
      <c r="A116" s="15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3" t="n"/>
      <c r="K116" s="13">
        <f>IF(OR(H116="",J116=""),"",H116*J116)</f>
        <v/>
      </c>
      <c r="L116" s="19">
        <f>MaterialMarkup</f>
        <v/>
      </c>
      <c r="M116" s="13">
        <f>IF(K116="","",K116*(1+L116))</f>
        <v/>
      </c>
      <c r="N116" s="12" t="n"/>
      <c r="O116" s="12" t="n"/>
    </row>
    <row r="117">
      <c r="A117" s="15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3" t="n"/>
      <c r="K117" s="13">
        <f>IF(OR(H117="",J117=""),"",H117*J117)</f>
        <v/>
      </c>
      <c r="L117" s="19">
        <f>MaterialMarkup</f>
        <v/>
      </c>
      <c r="M117" s="13">
        <f>IF(K117="","",K117*(1+L117))</f>
        <v/>
      </c>
      <c r="N117" s="12" t="n"/>
      <c r="O117" s="12" t="n"/>
    </row>
    <row r="118">
      <c r="A118" s="15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3" t="n"/>
      <c r="K118" s="13">
        <f>IF(OR(H118="",J118=""),"",H118*J118)</f>
        <v/>
      </c>
      <c r="L118" s="19">
        <f>MaterialMarkup</f>
        <v/>
      </c>
      <c r="M118" s="13">
        <f>IF(K118="","",K118*(1+L118))</f>
        <v/>
      </c>
      <c r="N118" s="12" t="n"/>
      <c r="O118" s="12" t="n"/>
    </row>
    <row r="119">
      <c r="A119" s="15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3" t="n"/>
      <c r="K119" s="13">
        <f>IF(OR(H119="",J119=""),"",H119*J119)</f>
        <v/>
      </c>
      <c r="L119" s="19">
        <f>MaterialMarkup</f>
        <v/>
      </c>
      <c r="M119" s="13">
        <f>IF(K119="","",K119*(1+L119))</f>
        <v/>
      </c>
      <c r="N119" s="12" t="n"/>
      <c r="O119" s="12" t="n"/>
    </row>
    <row r="120">
      <c r="A120" s="15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3" t="n"/>
      <c r="K120" s="13">
        <f>IF(OR(H120="",J120=""),"",H120*J120)</f>
        <v/>
      </c>
      <c r="L120" s="19">
        <f>MaterialMarkup</f>
        <v/>
      </c>
      <c r="M120" s="13">
        <f>IF(K120="","",K120*(1+L120))</f>
        <v/>
      </c>
      <c r="N120" s="12" t="n"/>
      <c r="O120" s="12" t="n"/>
    </row>
    <row r="121">
      <c r="A121" s="15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3" t="n"/>
      <c r="K121" s="13">
        <f>IF(OR(H121="",J121=""),"",H121*J121)</f>
        <v/>
      </c>
      <c r="L121" s="19">
        <f>MaterialMarkup</f>
        <v/>
      </c>
      <c r="M121" s="13">
        <f>IF(K121="","",K121*(1+L121))</f>
        <v/>
      </c>
      <c r="N121" s="12" t="n"/>
      <c r="O121" s="12" t="n"/>
    </row>
    <row r="122">
      <c r="A122" s="15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3" t="n"/>
      <c r="K122" s="13">
        <f>IF(OR(H122="",J122=""),"",H122*J122)</f>
        <v/>
      </c>
      <c r="L122" s="19">
        <f>MaterialMarkup</f>
        <v/>
      </c>
      <c r="M122" s="13">
        <f>IF(K122="","",K122*(1+L122))</f>
        <v/>
      </c>
      <c r="N122" s="12" t="n"/>
      <c r="O122" s="12" t="n"/>
    </row>
    <row r="123">
      <c r="A123" s="15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3" t="n"/>
      <c r="K123" s="13">
        <f>IF(OR(H123="",J123=""),"",H123*J123)</f>
        <v/>
      </c>
      <c r="L123" s="19">
        <f>MaterialMarkup</f>
        <v/>
      </c>
      <c r="M123" s="13">
        <f>IF(K123="","",K123*(1+L123))</f>
        <v/>
      </c>
      <c r="N123" s="12" t="n"/>
      <c r="O123" s="12" t="n"/>
    </row>
    <row r="124">
      <c r="A124" s="15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3" t="n"/>
      <c r="K124" s="13">
        <f>IF(OR(H124="",J124=""),"",H124*J124)</f>
        <v/>
      </c>
      <c r="L124" s="19">
        <f>MaterialMarkup</f>
        <v/>
      </c>
      <c r="M124" s="13">
        <f>IF(K124="","",K124*(1+L124))</f>
        <v/>
      </c>
      <c r="N124" s="12" t="n"/>
      <c r="O124" s="12" t="n"/>
    </row>
    <row r="125">
      <c r="A125" s="15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3" t="n"/>
      <c r="K125" s="13">
        <f>IF(OR(H125="",J125=""),"",H125*J125)</f>
        <v/>
      </c>
      <c r="L125" s="19">
        <f>MaterialMarkup</f>
        <v/>
      </c>
      <c r="M125" s="13">
        <f>IF(K125="","",K125*(1+L125))</f>
        <v/>
      </c>
      <c r="N125" s="12" t="n"/>
      <c r="O125" s="12" t="n"/>
    </row>
    <row r="126">
      <c r="A126" s="15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3" t="n"/>
      <c r="K126" s="13">
        <f>IF(OR(H126="",J126=""),"",H126*J126)</f>
        <v/>
      </c>
      <c r="L126" s="19">
        <f>MaterialMarkup</f>
        <v/>
      </c>
      <c r="M126" s="13">
        <f>IF(K126="","",K126*(1+L126))</f>
        <v/>
      </c>
      <c r="N126" s="12" t="n"/>
      <c r="O126" s="12" t="n"/>
    </row>
    <row r="127">
      <c r="A127" s="15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3" t="n"/>
      <c r="K127" s="13">
        <f>IF(OR(H127="",J127=""),"",H127*J127)</f>
        <v/>
      </c>
      <c r="L127" s="19">
        <f>MaterialMarkup</f>
        <v/>
      </c>
      <c r="M127" s="13">
        <f>IF(K127="","",K127*(1+L127))</f>
        <v/>
      </c>
      <c r="N127" s="12" t="n"/>
      <c r="O127" s="12" t="n"/>
    </row>
    <row r="128">
      <c r="A128" s="15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3" t="n"/>
      <c r="K128" s="13">
        <f>IF(OR(H128="",J128=""),"",H128*J128)</f>
        <v/>
      </c>
      <c r="L128" s="19">
        <f>MaterialMarkup</f>
        <v/>
      </c>
      <c r="M128" s="13">
        <f>IF(K128="","",K128*(1+L128))</f>
        <v/>
      </c>
      <c r="N128" s="12" t="n"/>
      <c r="O128" s="12" t="n"/>
    </row>
    <row r="129">
      <c r="A129" s="15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3" t="n"/>
      <c r="K129" s="13">
        <f>IF(OR(H129="",J129=""),"",H129*J129)</f>
        <v/>
      </c>
      <c r="L129" s="19">
        <f>MaterialMarkup</f>
        <v/>
      </c>
      <c r="M129" s="13">
        <f>IF(K129="","",K129*(1+L129))</f>
        <v/>
      </c>
      <c r="N129" s="12" t="n"/>
      <c r="O129" s="12" t="n"/>
    </row>
    <row r="130">
      <c r="A130" s="15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3" t="n"/>
      <c r="K130" s="13">
        <f>IF(OR(H130="",J130=""),"",H130*J130)</f>
        <v/>
      </c>
      <c r="L130" s="19">
        <f>MaterialMarkup</f>
        <v/>
      </c>
      <c r="M130" s="13">
        <f>IF(K130="","",K130*(1+L130))</f>
        <v/>
      </c>
      <c r="N130" s="12" t="n"/>
      <c r="O130" s="12" t="n"/>
    </row>
    <row r="131">
      <c r="A131" s="15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3" t="n"/>
      <c r="K131" s="13">
        <f>IF(OR(H131="",J131=""),"",H131*J131)</f>
        <v/>
      </c>
      <c r="L131" s="19">
        <f>MaterialMarkup</f>
        <v/>
      </c>
      <c r="M131" s="13">
        <f>IF(K131="","",K131*(1+L131))</f>
        <v/>
      </c>
      <c r="N131" s="12" t="n"/>
      <c r="O131" s="12" t="n"/>
    </row>
    <row r="132">
      <c r="A132" s="15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3" t="n"/>
      <c r="K132" s="13">
        <f>IF(OR(H132="",J132=""),"",H132*J132)</f>
        <v/>
      </c>
      <c r="L132" s="19">
        <f>MaterialMarkup</f>
        <v/>
      </c>
      <c r="M132" s="13">
        <f>IF(K132="","",K132*(1+L132))</f>
        <v/>
      </c>
      <c r="N132" s="12" t="n"/>
      <c r="O132" s="12" t="n"/>
    </row>
    <row r="133">
      <c r="A133" s="15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3" t="n"/>
      <c r="K133" s="13">
        <f>IF(OR(H133="",J133=""),"",H133*J133)</f>
        <v/>
      </c>
      <c r="L133" s="19">
        <f>MaterialMarkup</f>
        <v/>
      </c>
      <c r="M133" s="13">
        <f>IF(K133="","",K133*(1+L133))</f>
        <v/>
      </c>
      <c r="N133" s="12" t="n"/>
      <c r="O133" s="12" t="n"/>
    </row>
    <row r="134">
      <c r="A134" s="15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3" t="n"/>
      <c r="K134" s="13">
        <f>IF(OR(H134="",J134=""),"",H134*J134)</f>
        <v/>
      </c>
      <c r="L134" s="19">
        <f>MaterialMarkup</f>
        <v/>
      </c>
      <c r="M134" s="13">
        <f>IF(K134="","",K134*(1+L134))</f>
        <v/>
      </c>
      <c r="N134" s="12" t="n"/>
      <c r="O134" s="12" t="n"/>
    </row>
    <row r="135">
      <c r="A135" s="15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3" t="n"/>
      <c r="K135" s="13">
        <f>IF(OR(H135="",J135=""),"",H135*J135)</f>
        <v/>
      </c>
      <c r="L135" s="19">
        <f>MaterialMarkup</f>
        <v/>
      </c>
      <c r="M135" s="13">
        <f>IF(K135="","",K135*(1+L135))</f>
        <v/>
      </c>
      <c r="N135" s="12" t="n"/>
      <c r="O135" s="12" t="n"/>
    </row>
    <row r="136">
      <c r="A136" s="15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3" t="n"/>
      <c r="K136" s="13">
        <f>IF(OR(H136="",J136=""),"",H136*J136)</f>
        <v/>
      </c>
      <c r="L136" s="19">
        <f>MaterialMarkup</f>
        <v/>
      </c>
      <c r="M136" s="13">
        <f>IF(K136="","",K136*(1+L136))</f>
        <v/>
      </c>
      <c r="N136" s="12" t="n"/>
      <c r="O136" s="12" t="n"/>
    </row>
    <row r="137">
      <c r="A137" s="15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3" t="n"/>
      <c r="K137" s="13">
        <f>IF(OR(H137="",J137=""),"",H137*J137)</f>
        <v/>
      </c>
      <c r="L137" s="19">
        <f>MaterialMarkup</f>
        <v/>
      </c>
      <c r="M137" s="13">
        <f>IF(K137="","",K137*(1+L137))</f>
        <v/>
      </c>
      <c r="N137" s="12" t="n"/>
      <c r="O137" s="12" t="n"/>
    </row>
    <row r="138">
      <c r="A138" s="15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3" t="n"/>
      <c r="K138" s="13">
        <f>IF(OR(H138="",J138=""),"",H138*J138)</f>
        <v/>
      </c>
      <c r="L138" s="19">
        <f>MaterialMarkup</f>
        <v/>
      </c>
      <c r="M138" s="13">
        <f>IF(K138="","",K138*(1+L138))</f>
        <v/>
      </c>
      <c r="N138" s="12" t="n"/>
      <c r="O138" s="12" t="n"/>
    </row>
    <row r="139">
      <c r="A139" s="15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3" t="n"/>
      <c r="K139" s="13">
        <f>IF(OR(H139="",J139=""),"",H139*J139)</f>
        <v/>
      </c>
      <c r="L139" s="19">
        <f>MaterialMarkup</f>
        <v/>
      </c>
      <c r="M139" s="13">
        <f>IF(K139="","",K139*(1+L139))</f>
        <v/>
      </c>
      <c r="N139" s="12" t="n"/>
      <c r="O139" s="12" t="n"/>
    </row>
    <row r="140">
      <c r="A140" s="15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3" t="n"/>
      <c r="K140" s="13">
        <f>IF(OR(H140="",J140=""),"",H140*J140)</f>
        <v/>
      </c>
      <c r="L140" s="19">
        <f>MaterialMarkup</f>
        <v/>
      </c>
      <c r="M140" s="13">
        <f>IF(K140="","",K140*(1+L140))</f>
        <v/>
      </c>
      <c r="N140" s="12" t="n"/>
      <c r="O140" s="12" t="n"/>
    </row>
    <row r="141">
      <c r="A141" s="15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3" t="n"/>
      <c r="K141" s="13">
        <f>IF(OR(H141="",J141=""),"",H141*J141)</f>
        <v/>
      </c>
      <c r="L141" s="19">
        <f>MaterialMarkup</f>
        <v/>
      </c>
      <c r="M141" s="13">
        <f>IF(K141="","",K141*(1+L141))</f>
        <v/>
      </c>
      <c r="N141" s="12" t="n"/>
      <c r="O141" s="12" t="n"/>
    </row>
    <row r="142">
      <c r="A142" s="15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3" t="n"/>
      <c r="K142" s="13">
        <f>IF(OR(H142="",J142=""),"",H142*J142)</f>
        <v/>
      </c>
      <c r="L142" s="19">
        <f>MaterialMarkup</f>
        <v/>
      </c>
      <c r="M142" s="13">
        <f>IF(K142="","",K142*(1+L142))</f>
        <v/>
      </c>
      <c r="N142" s="12" t="n"/>
      <c r="O142" s="12" t="n"/>
    </row>
    <row r="143">
      <c r="A143" s="15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3" t="n"/>
      <c r="K143" s="13">
        <f>IF(OR(H143="",J143=""),"",H143*J143)</f>
        <v/>
      </c>
      <c r="L143" s="19">
        <f>MaterialMarkup</f>
        <v/>
      </c>
      <c r="M143" s="13">
        <f>IF(K143="","",K143*(1+L143))</f>
        <v/>
      </c>
      <c r="N143" s="12" t="n"/>
      <c r="O143" s="12" t="n"/>
    </row>
    <row r="144">
      <c r="A144" s="15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3" t="n"/>
      <c r="K144" s="13">
        <f>IF(OR(H144="",J144=""),"",H144*J144)</f>
        <v/>
      </c>
      <c r="L144" s="19">
        <f>MaterialMarkup</f>
        <v/>
      </c>
      <c r="M144" s="13">
        <f>IF(K144="","",K144*(1+L144))</f>
        <v/>
      </c>
      <c r="N144" s="12" t="n"/>
      <c r="O144" s="12" t="n"/>
    </row>
    <row r="145">
      <c r="A145" s="15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3" t="n"/>
      <c r="K145" s="13">
        <f>IF(OR(H145="",J145=""),"",H145*J145)</f>
        <v/>
      </c>
      <c r="L145" s="19">
        <f>MaterialMarkup</f>
        <v/>
      </c>
      <c r="M145" s="13">
        <f>IF(K145="","",K145*(1+L145))</f>
        <v/>
      </c>
      <c r="N145" s="12" t="n"/>
      <c r="O145" s="12" t="n"/>
    </row>
    <row r="146">
      <c r="A146" s="15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3" t="n"/>
      <c r="K146" s="13">
        <f>IF(OR(H146="",J146=""),"",H146*J146)</f>
        <v/>
      </c>
      <c r="L146" s="19">
        <f>MaterialMarkup</f>
        <v/>
      </c>
      <c r="M146" s="13">
        <f>IF(K146="","",K146*(1+L146))</f>
        <v/>
      </c>
      <c r="N146" s="12" t="n"/>
      <c r="O146" s="12" t="n"/>
    </row>
    <row r="147">
      <c r="A147" s="15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3" t="n"/>
      <c r="K147" s="13">
        <f>IF(OR(H147="",J147=""),"",H147*J147)</f>
        <v/>
      </c>
      <c r="L147" s="19">
        <f>MaterialMarkup</f>
        <v/>
      </c>
      <c r="M147" s="13">
        <f>IF(K147="","",K147*(1+L147))</f>
        <v/>
      </c>
      <c r="N147" s="12" t="n"/>
      <c r="O147" s="12" t="n"/>
    </row>
    <row r="148">
      <c r="A148" s="15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3" t="n"/>
      <c r="K148" s="13">
        <f>IF(OR(H148="",J148=""),"",H148*J148)</f>
        <v/>
      </c>
      <c r="L148" s="19">
        <f>MaterialMarkup</f>
        <v/>
      </c>
      <c r="M148" s="13">
        <f>IF(K148="","",K148*(1+L148))</f>
        <v/>
      </c>
      <c r="N148" s="12" t="n"/>
      <c r="O148" s="12" t="n"/>
    </row>
    <row r="149">
      <c r="A149" s="15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3" t="n"/>
      <c r="K149" s="13">
        <f>IF(OR(H149="",J149=""),"",H149*J149)</f>
        <v/>
      </c>
      <c r="L149" s="19">
        <f>MaterialMarkup</f>
        <v/>
      </c>
      <c r="M149" s="13">
        <f>IF(K149="","",K149*(1+L149))</f>
        <v/>
      </c>
      <c r="N149" s="12" t="n"/>
      <c r="O149" s="12" t="n"/>
    </row>
    <row r="150">
      <c r="A150" s="15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3" t="n"/>
      <c r="K150" s="13">
        <f>IF(OR(H150="",J150=""),"",H150*J150)</f>
        <v/>
      </c>
      <c r="L150" s="19">
        <f>MaterialMarkup</f>
        <v/>
      </c>
      <c r="M150" s="13">
        <f>IF(K150="","",K150*(1+L150))</f>
        <v/>
      </c>
      <c r="N150" s="12" t="n"/>
      <c r="O150" s="12" t="n"/>
    </row>
    <row r="151">
      <c r="A151" s="15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3" t="n"/>
      <c r="K151" s="13">
        <f>IF(OR(H151="",J151=""),"",H151*J151)</f>
        <v/>
      </c>
      <c r="L151" s="19">
        <f>MaterialMarkup</f>
        <v/>
      </c>
      <c r="M151" s="13">
        <f>IF(K151="","",K151*(1+L151))</f>
        <v/>
      </c>
      <c r="N151" s="12" t="n"/>
      <c r="O151" s="12" t="n"/>
    </row>
    <row r="152">
      <c r="A152" s="15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3" t="n"/>
      <c r="K152" s="13">
        <f>IF(OR(H152="",J152=""),"",H152*J152)</f>
        <v/>
      </c>
      <c r="L152" s="19">
        <f>MaterialMarkup</f>
        <v/>
      </c>
      <c r="M152" s="13">
        <f>IF(K152="","",K152*(1+L152))</f>
        <v/>
      </c>
      <c r="N152" s="12" t="n"/>
      <c r="O152" s="12" t="n"/>
    </row>
    <row r="153">
      <c r="A153" s="15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3" t="n"/>
      <c r="K153" s="13">
        <f>IF(OR(H153="",J153=""),"",H153*J153)</f>
        <v/>
      </c>
      <c r="L153" s="19">
        <f>MaterialMarkup</f>
        <v/>
      </c>
      <c r="M153" s="13">
        <f>IF(K153="","",K153*(1+L153))</f>
        <v/>
      </c>
      <c r="N153" s="12" t="n"/>
      <c r="O153" s="12" t="n"/>
    </row>
    <row r="155">
      <c r="G155" s="16" t="inlineStr">
        <is>
          <t>TOTALS</t>
        </is>
      </c>
      <c r="K155" s="18">
        <f>SUM(K4:K153)</f>
        <v/>
      </c>
      <c r="M155" s="18">
        <f>SUM(M4:M153)</f>
        <v/>
      </c>
    </row>
  </sheetData>
  <mergeCells count="1">
    <mergeCell ref="A1:O1"/>
  </mergeCells>
  <dataValidations count="2">
    <dataValidation sqref="F4:F153" showDropDown="0" showInputMessage="0" showErrorMessage="0" allowBlank="1" type="list">
      <formula1>"01,02,03,04,05,06,07,08,09,10,11,12,13,14,21,22,23,25,26,27,28,31,32,33,34,35"</formula1>
    </dataValidation>
    <dataValidation sqref="N4:N153" showDropDown="0" showInputMessage="0" showErrorMessage="0" allowBlank="1" type="list">
      <formula1>"Pending,Signed,Disputed,Approved,Invoiced,Paid,Unsigned"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32" customWidth="1" min="4" max="4"/>
    <col width="24" customWidth="1" min="5" max="5"/>
    <col width="14" customWidth="1" min="6" max="6"/>
    <col width="10" customWidth="1" min="7" max="7"/>
    <col width="14" customWidth="1" min="8" max="8"/>
    <col width="14" customWidth="1" min="9" max="9"/>
    <col width="16" customWidth="1" min="10" max="10"/>
    <col width="24" customWidth="1" min="11" max="11"/>
  </cols>
  <sheetData>
    <row r="1" ht="32" customHeight="1">
      <c r="A1" s="1" t="inlineStr">
        <is>
          <t>LOWER-TIER SUBCONTRACT TICKETS</t>
        </is>
      </c>
    </row>
    <row r="3" ht="30" customHeight="1">
      <c r="A3" s="11" t="inlineStr">
        <is>
          <t>Date</t>
        </is>
      </c>
      <c r="B3" s="11" t="inlineStr">
        <is>
          <t>Ticket #</t>
        </is>
      </c>
      <c r="C3" s="11" t="inlineStr">
        <is>
          <t>Lower-Tier Sub</t>
        </is>
      </c>
      <c r="D3" s="11" t="inlineStr">
        <is>
          <t>Description of Work</t>
        </is>
      </c>
      <c r="E3" s="11" t="inlineStr">
        <is>
          <t>Task / CO Ref</t>
        </is>
      </c>
      <c r="F3" s="11" t="inlineStr">
        <is>
          <t>Sub's Invoice $</t>
        </is>
      </c>
      <c r="G3" s="11" t="inlineStr">
        <is>
          <t>Markup</t>
        </is>
      </c>
      <c r="H3" s="11" t="inlineStr">
        <is>
          <t>Billed ($)</t>
        </is>
      </c>
      <c r="I3" s="11" t="inlineStr">
        <is>
          <t>Status</t>
        </is>
      </c>
      <c r="J3" s="11" t="inlineStr">
        <is>
          <t>GC Signature</t>
        </is>
      </c>
      <c r="K3" s="11" t="inlineStr">
        <is>
          <t>Notes</t>
        </is>
      </c>
    </row>
    <row r="4">
      <c r="A4" s="15" t="n"/>
      <c r="B4" s="12" t="n"/>
      <c r="C4" s="12" t="n"/>
      <c r="D4" s="12" t="n"/>
      <c r="E4" s="12" t="n"/>
      <c r="F4" s="13" t="n"/>
      <c r="G4" s="19">
        <f>SubMarkup</f>
        <v/>
      </c>
      <c r="H4" s="13">
        <f>IF(F4="","",F4*(1+G4))</f>
        <v/>
      </c>
      <c r="I4" s="12" t="n"/>
      <c r="J4" s="12" t="n"/>
      <c r="K4" s="12" t="n"/>
    </row>
    <row r="5">
      <c r="A5" s="15" t="n"/>
      <c r="B5" s="12" t="n"/>
      <c r="C5" s="12" t="n"/>
      <c r="D5" s="12" t="n"/>
      <c r="E5" s="12" t="n"/>
      <c r="F5" s="13" t="n"/>
      <c r="G5" s="19">
        <f>SubMarkup</f>
        <v/>
      </c>
      <c r="H5" s="13">
        <f>IF(F5="","",F5*(1+G5))</f>
        <v/>
      </c>
      <c r="I5" s="12" t="n"/>
      <c r="J5" s="12" t="n"/>
      <c r="K5" s="12" t="n"/>
    </row>
    <row r="6">
      <c r="A6" s="15" t="n"/>
      <c r="B6" s="12" t="n"/>
      <c r="C6" s="12" t="n"/>
      <c r="D6" s="12" t="n"/>
      <c r="E6" s="12" t="n"/>
      <c r="F6" s="13" t="n"/>
      <c r="G6" s="19">
        <f>SubMarkup</f>
        <v/>
      </c>
      <c r="H6" s="13">
        <f>IF(F6="","",F6*(1+G6))</f>
        <v/>
      </c>
      <c r="I6" s="12" t="n"/>
      <c r="J6" s="12" t="n"/>
      <c r="K6" s="12" t="n"/>
    </row>
    <row r="7">
      <c r="A7" s="15" t="n"/>
      <c r="B7" s="12" t="n"/>
      <c r="C7" s="12" t="n"/>
      <c r="D7" s="12" t="n"/>
      <c r="E7" s="12" t="n"/>
      <c r="F7" s="13" t="n"/>
      <c r="G7" s="19">
        <f>SubMarkup</f>
        <v/>
      </c>
      <c r="H7" s="13">
        <f>IF(F7="","",F7*(1+G7))</f>
        <v/>
      </c>
      <c r="I7" s="12" t="n"/>
      <c r="J7" s="12" t="n"/>
      <c r="K7" s="12" t="n"/>
    </row>
    <row r="8">
      <c r="A8" s="15" t="n"/>
      <c r="B8" s="12" t="n"/>
      <c r="C8" s="12" t="n"/>
      <c r="D8" s="12" t="n"/>
      <c r="E8" s="12" t="n"/>
      <c r="F8" s="13" t="n"/>
      <c r="G8" s="19">
        <f>SubMarkup</f>
        <v/>
      </c>
      <c r="H8" s="13">
        <f>IF(F8="","",F8*(1+G8))</f>
        <v/>
      </c>
      <c r="I8" s="12" t="n"/>
      <c r="J8" s="12" t="n"/>
      <c r="K8" s="12" t="n"/>
    </row>
    <row r="9">
      <c r="A9" s="15" t="n"/>
      <c r="B9" s="12" t="n"/>
      <c r="C9" s="12" t="n"/>
      <c r="D9" s="12" t="n"/>
      <c r="E9" s="12" t="n"/>
      <c r="F9" s="13" t="n"/>
      <c r="G9" s="19">
        <f>SubMarkup</f>
        <v/>
      </c>
      <c r="H9" s="13">
        <f>IF(F9="","",F9*(1+G9))</f>
        <v/>
      </c>
      <c r="I9" s="12" t="n"/>
      <c r="J9" s="12" t="n"/>
      <c r="K9" s="12" t="n"/>
    </row>
    <row r="10">
      <c r="A10" s="15" t="n"/>
      <c r="B10" s="12" t="n"/>
      <c r="C10" s="12" t="n"/>
      <c r="D10" s="12" t="n"/>
      <c r="E10" s="12" t="n"/>
      <c r="F10" s="13" t="n"/>
      <c r="G10" s="19">
        <f>SubMarkup</f>
        <v/>
      </c>
      <c r="H10" s="13">
        <f>IF(F10="","",F10*(1+G10))</f>
        <v/>
      </c>
      <c r="I10" s="12" t="n"/>
      <c r="J10" s="12" t="n"/>
      <c r="K10" s="12" t="n"/>
    </row>
    <row r="11">
      <c r="A11" s="15" t="n"/>
      <c r="B11" s="12" t="n"/>
      <c r="C11" s="12" t="n"/>
      <c r="D11" s="12" t="n"/>
      <c r="E11" s="12" t="n"/>
      <c r="F11" s="13" t="n"/>
      <c r="G11" s="19">
        <f>SubMarkup</f>
        <v/>
      </c>
      <c r="H11" s="13">
        <f>IF(F11="","",F11*(1+G11))</f>
        <v/>
      </c>
      <c r="I11" s="12" t="n"/>
      <c r="J11" s="12" t="n"/>
      <c r="K11" s="12" t="n"/>
    </row>
    <row r="12">
      <c r="A12" s="15" t="n"/>
      <c r="B12" s="12" t="n"/>
      <c r="C12" s="12" t="n"/>
      <c r="D12" s="12" t="n"/>
      <c r="E12" s="12" t="n"/>
      <c r="F12" s="13" t="n"/>
      <c r="G12" s="19">
        <f>SubMarkup</f>
        <v/>
      </c>
      <c r="H12" s="13">
        <f>IF(F12="","",F12*(1+G12))</f>
        <v/>
      </c>
      <c r="I12" s="12" t="n"/>
      <c r="J12" s="12" t="n"/>
      <c r="K12" s="12" t="n"/>
    </row>
    <row r="13">
      <c r="A13" s="15" t="n"/>
      <c r="B13" s="12" t="n"/>
      <c r="C13" s="12" t="n"/>
      <c r="D13" s="12" t="n"/>
      <c r="E13" s="12" t="n"/>
      <c r="F13" s="13" t="n"/>
      <c r="G13" s="19">
        <f>SubMarkup</f>
        <v/>
      </c>
      <c r="H13" s="13">
        <f>IF(F13="","",F13*(1+G13))</f>
        <v/>
      </c>
      <c r="I13" s="12" t="n"/>
      <c r="J13" s="12" t="n"/>
      <c r="K13" s="12" t="n"/>
    </row>
    <row r="14">
      <c r="A14" s="15" t="n"/>
      <c r="B14" s="12" t="n"/>
      <c r="C14" s="12" t="n"/>
      <c r="D14" s="12" t="n"/>
      <c r="E14" s="12" t="n"/>
      <c r="F14" s="13" t="n"/>
      <c r="G14" s="19">
        <f>SubMarkup</f>
        <v/>
      </c>
      <c r="H14" s="13">
        <f>IF(F14="","",F14*(1+G14))</f>
        <v/>
      </c>
      <c r="I14" s="12" t="n"/>
      <c r="J14" s="12" t="n"/>
      <c r="K14" s="12" t="n"/>
    </row>
    <row r="15">
      <c r="A15" s="15" t="n"/>
      <c r="B15" s="12" t="n"/>
      <c r="C15" s="12" t="n"/>
      <c r="D15" s="12" t="n"/>
      <c r="E15" s="12" t="n"/>
      <c r="F15" s="13" t="n"/>
      <c r="G15" s="19">
        <f>SubMarkup</f>
        <v/>
      </c>
      <c r="H15" s="13">
        <f>IF(F15="","",F15*(1+G15))</f>
        <v/>
      </c>
      <c r="I15" s="12" t="n"/>
      <c r="J15" s="12" t="n"/>
      <c r="K15" s="12" t="n"/>
    </row>
    <row r="16">
      <c r="A16" s="15" t="n"/>
      <c r="B16" s="12" t="n"/>
      <c r="C16" s="12" t="n"/>
      <c r="D16" s="12" t="n"/>
      <c r="E16" s="12" t="n"/>
      <c r="F16" s="13" t="n"/>
      <c r="G16" s="19">
        <f>SubMarkup</f>
        <v/>
      </c>
      <c r="H16" s="13">
        <f>IF(F16="","",F16*(1+G16))</f>
        <v/>
      </c>
      <c r="I16" s="12" t="n"/>
      <c r="J16" s="12" t="n"/>
      <c r="K16" s="12" t="n"/>
    </row>
    <row r="17">
      <c r="A17" s="15" t="n"/>
      <c r="B17" s="12" t="n"/>
      <c r="C17" s="12" t="n"/>
      <c r="D17" s="12" t="n"/>
      <c r="E17" s="12" t="n"/>
      <c r="F17" s="13" t="n"/>
      <c r="G17" s="19">
        <f>SubMarkup</f>
        <v/>
      </c>
      <c r="H17" s="13">
        <f>IF(F17="","",F17*(1+G17))</f>
        <v/>
      </c>
      <c r="I17" s="12" t="n"/>
      <c r="J17" s="12" t="n"/>
      <c r="K17" s="12" t="n"/>
    </row>
    <row r="18">
      <c r="A18" s="15" t="n"/>
      <c r="B18" s="12" t="n"/>
      <c r="C18" s="12" t="n"/>
      <c r="D18" s="12" t="n"/>
      <c r="E18" s="12" t="n"/>
      <c r="F18" s="13" t="n"/>
      <c r="G18" s="19">
        <f>SubMarkup</f>
        <v/>
      </c>
      <c r="H18" s="13">
        <f>IF(F18="","",F18*(1+G18))</f>
        <v/>
      </c>
      <c r="I18" s="12" t="n"/>
      <c r="J18" s="12" t="n"/>
      <c r="K18" s="12" t="n"/>
    </row>
    <row r="19">
      <c r="A19" s="15" t="n"/>
      <c r="B19" s="12" t="n"/>
      <c r="C19" s="12" t="n"/>
      <c r="D19" s="12" t="n"/>
      <c r="E19" s="12" t="n"/>
      <c r="F19" s="13" t="n"/>
      <c r="G19" s="19">
        <f>SubMarkup</f>
        <v/>
      </c>
      <c r="H19" s="13">
        <f>IF(F19="","",F19*(1+G19))</f>
        <v/>
      </c>
      <c r="I19" s="12" t="n"/>
      <c r="J19" s="12" t="n"/>
      <c r="K19" s="12" t="n"/>
    </row>
    <row r="20">
      <c r="A20" s="15" t="n"/>
      <c r="B20" s="12" t="n"/>
      <c r="C20" s="12" t="n"/>
      <c r="D20" s="12" t="n"/>
      <c r="E20" s="12" t="n"/>
      <c r="F20" s="13" t="n"/>
      <c r="G20" s="19">
        <f>SubMarkup</f>
        <v/>
      </c>
      <c r="H20" s="13">
        <f>IF(F20="","",F20*(1+G20))</f>
        <v/>
      </c>
      <c r="I20" s="12" t="n"/>
      <c r="J20" s="12" t="n"/>
      <c r="K20" s="12" t="n"/>
    </row>
    <row r="21">
      <c r="A21" s="15" t="n"/>
      <c r="B21" s="12" t="n"/>
      <c r="C21" s="12" t="n"/>
      <c r="D21" s="12" t="n"/>
      <c r="E21" s="12" t="n"/>
      <c r="F21" s="13" t="n"/>
      <c r="G21" s="19">
        <f>SubMarkup</f>
        <v/>
      </c>
      <c r="H21" s="13">
        <f>IF(F21="","",F21*(1+G21))</f>
        <v/>
      </c>
      <c r="I21" s="12" t="n"/>
      <c r="J21" s="12" t="n"/>
      <c r="K21" s="12" t="n"/>
    </row>
    <row r="22">
      <c r="A22" s="15" t="n"/>
      <c r="B22" s="12" t="n"/>
      <c r="C22" s="12" t="n"/>
      <c r="D22" s="12" t="n"/>
      <c r="E22" s="12" t="n"/>
      <c r="F22" s="13" t="n"/>
      <c r="G22" s="19">
        <f>SubMarkup</f>
        <v/>
      </c>
      <c r="H22" s="13">
        <f>IF(F22="","",F22*(1+G22))</f>
        <v/>
      </c>
      <c r="I22" s="12" t="n"/>
      <c r="J22" s="12" t="n"/>
      <c r="K22" s="12" t="n"/>
    </row>
    <row r="23">
      <c r="A23" s="15" t="n"/>
      <c r="B23" s="12" t="n"/>
      <c r="C23" s="12" t="n"/>
      <c r="D23" s="12" t="n"/>
      <c r="E23" s="12" t="n"/>
      <c r="F23" s="13" t="n"/>
      <c r="G23" s="19">
        <f>SubMarkup</f>
        <v/>
      </c>
      <c r="H23" s="13">
        <f>IF(F23="","",F23*(1+G23))</f>
        <v/>
      </c>
      <c r="I23" s="12" t="n"/>
      <c r="J23" s="12" t="n"/>
      <c r="K23" s="12" t="n"/>
    </row>
    <row r="24">
      <c r="A24" s="15" t="n"/>
      <c r="B24" s="12" t="n"/>
      <c r="C24" s="12" t="n"/>
      <c r="D24" s="12" t="n"/>
      <c r="E24" s="12" t="n"/>
      <c r="F24" s="13" t="n"/>
      <c r="G24" s="19">
        <f>SubMarkup</f>
        <v/>
      </c>
      <c r="H24" s="13">
        <f>IF(F24="","",F24*(1+G24))</f>
        <v/>
      </c>
      <c r="I24" s="12" t="n"/>
      <c r="J24" s="12" t="n"/>
      <c r="K24" s="12" t="n"/>
    </row>
    <row r="25">
      <c r="A25" s="15" t="n"/>
      <c r="B25" s="12" t="n"/>
      <c r="C25" s="12" t="n"/>
      <c r="D25" s="12" t="n"/>
      <c r="E25" s="12" t="n"/>
      <c r="F25" s="13" t="n"/>
      <c r="G25" s="19">
        <f>SubMarkup</f>
        <v/>
      </c>
      <c r="H25" s="13">
        <f>IF(F25="","",F25*(1+G25))</f>
        <v/>
      </c>
      <c r="I25" s="12" t="n"/>
      <c r="J25" s="12" t="n"/>
      <c r="K25" s="12" t="n"/>
    </row>
    <row r="26">
      <c r="A26" s="15" t="n"/>
      <c r="B26" s="12" t="n"/>
      <c r="C26" s="12" t="n"/>
      <c r="D26" s="12" t="n"/>
      <c r="E26" s="12" t="n"/>
      <c r="F26" s="13" t="n"/>
      <c r="G26" s="19">
        <f>SubMarkup</f>
        <v/>
      </c>
      <c r="H26" s="13">
        <f>IF(F26="","",F26*(1+G26))</f>
        <v/>
      </c>
      <c r="I26" s="12" t="n"/>
      <c r="J26" s="12" t="n"/>
      <c r="K26" s="12" t="n"/>
    </row>
    <row r="27">
      <c r="A27" s="15" t="n"/>
      <c r="B27" s="12" t="n"/>
      <c r="C27" s="12" t="n"/>
      <c r="D27" s="12" t="n"/>
      <c r="E27" s="12" t="n"/>
      <c r="F27" s="13" t="n"/>
      <c r="G27" s="19">
        <f>SubMarkup</f>
        <v/>
      </c>
      <c r="H27" s="13">
        <f>IF(F27="","",F27*(1+G27))</f>
        <v/>
      </c>
      <c r="I27" s="12" t="n"/>
      <c r="J27" s="12" t="n"/>
      <c r="K27" s="12" t="n"/>
    </row>
    <row r="28">
      <c r="A28" s="15" t="n"/>
      <c r="B28" s="12" t="n"/>
      <c r="C28" s="12" t="n"/>
      <c r="D28" s="12" t="n"/>
      <c r="E28" s="12" t="n"/>
      <c r="F28" s="13" t="n"/>
      <c r="G28" s="19">
        <f>SubMarkup</f>
        <v/>
      </c>
      <c r="H28" s="13">
        <f>IF(F28="","",F28*(1+G28))</f>
        <v/>
      </c>
      <c r="I28" s="12" t="n"/>
      <c r="J28" s="12" t="n"/>
      <c r="K28" s="12" t="n"/>
    </row>
    <row r="29">
      <c r="A29" s="15" t="n"/>
      <c r="B29" s="12" t="n"/>
      <c r="C29" s="12" t="n"/>
      <c r="D29" s="12" t="n"/>
      <c r="E29" s="12" t="n"/>
      <c r="F29" s="13" t="n"/>
      <c r="G29" s="19">
        <f>SubMarkup</f>
        <v/>
      </c>
      <c r="H29" s="13">
        <f>IF(F29="","",F29*(1+G29))</f>
        <v/>
      </c>
      <c r="I29" s="12" t="n"/>
      <c r="J29" s="12" t="n"/>
      <c r="K29" s="12" t="n"/>
    </row>
    <row r="30">
      <c r="A30" s="15" t="n"/>
      <c r="B30" s="12" t="n"/>
      <c r="C30" s="12" t="n"/>
      <c r="D30" s="12" t="n"/>
      <c r="E30" s="12" t="n"/>
      <c r="F30" s="13" t="n"/>
      <c r="G30" s="19">
        <f>SubMarkup</f>
        <v/>
      </c>
      <c r="H30" s="13">
        <f>IF(F30="","",F30*(1+G30))</f>
        <v/>
      </c>
      <c r="I30" s="12" t="n"/>
      <c r="J30" s="12" t="n"/>
      <c r="K30" s="12" t="n"/>
    </row>
    <row r="31">
      <c r="A31" s="15" t="n"/>
      <c r="B31" s="12" t="n"/>
      <c r="C31" s="12" t="n"/>
      <c r="D31" s="12" t="n"/>
      <c r="E31" s="12" t="n"/>
      <c r="F31" s="13" t="n"/>
      <c r="G31" s="19">
        <f>SubMarkup</f>
        <v/>
      </c>
      <c r="H31" s="13">
        <f>IF(F31="","",F31*(1+G31))</f>
        <v/>
      </c>
      <c r="I31" s="12" t="n"/>
      <c r="J31" s="12" t="n"/>
      <c r="K31" s="12" t="n"/>
    </row>
    <row r="32">
      <c r="A32" s="15" t="n"/>
      <c r="B32" s="12" t="n"/>
      <c r="C32" s="12" t="n"/>
      <c r="D32" s="12" t="n"/>
      <c r="E32" s="12" t="n"/>
      <c r="F32" s="13" t="n"/>
      <c r="G32" s="19">
        <f>SubMarkup</f>
        <v/>
      </c>
      <c r="H32" s="13">
        <f>IF(F32="","",F32*(1+G32))</f>
        <v/>
      </c>
      <c r="I32" s="12" t="n"/>
      <c r="J32" s="12" t="n"/>
      <c r="K32" s="12" t="n"/>
    </row>
    <row r="33">
      <c r="A33" s="15" t="n"/>
      <c r="B33" s="12" t="n"/>
      <c r="C33" s="12" t="n"/>
      <c r="D33" s="12" t="n"/>
      <c r="E33" s="12" t="n"/>
      <c r="F33" s="13" t="n"/>
      <c r="G33" s="19">
        <f>SubMarkup</f>
        <v/>
      </c>
      <c r="H33" s="13">
        <f>IF(F33="","",F33*(1+G33))</f>
        <v/>
      </c>
      <c r="I33" s="12" t="n"/>
      <c r="J33" s="12" t="n"/>
      <c r="K33" s="12" t="n"/>
    </row>
    <row r="34">
      <c r="A34" s="15" t="n"/>
      <c r="B34" s="12" t="n"/>
      <c r="C34" s="12" t="n"/>
      <c r="D34" s="12" t="n"/>
      <c r="E34" s="12" t="n"/>
      <c r="F34" s="13" t="n"/>
      <c r="G34" s="19">
        <f>SubMarkup</f>
        <v/>
      </c>
      <c r="H34" s="13">
        <f>IF(F34="","",F34*(1+G34))</f>
        <v/>
      </c>
      <c r="I34" s="12" t="n"/>
      <c r="J34" s="12" t="n"/>
      <c r="K34" s="12" t="n"/>
    </row>
    <row r="35">
      <c r="A35" s="15" t="n"/>
      <c r="B35" s="12" t="n"/>
      <c r="C35" s="12" t="n"/>
      <c r="D35" s="12" t="n"/>
      <c r="E35" s="12" t="n"/>
      <c r="F35" s="13" t="n"/>
      <c r="G35" s="19">
        <f>SubMarkup</f>
        <v/>
      </c>
      <c r="H35" s="13">
        <f>IF(F35="","",F35*(1+G35))</f>
        <v/>
      </c>
      <c r="I35" s="12" t="n"/>
      <c r="J35" s="12" t="n"/>
      <c r="K35" s="12" t="n"/>
    </row>
    <row r="36">
      <c r="A36" s="15" t="n"/>
      <c r="B36" s="12" t="n"/>
      <c r="C36" s="12" t="n"/>
      <c r="D36" s="12" t="n"/>
      <c r="E36" s="12" t="n"/>
      <c r="F36" s="13" t="n"/>
      <c r="G36" s="19">
        <f>SubMarkup</f>
        <v/>
      </c>
      <c r="H36" s="13">
        <f>IF(F36="","",F36*(1+G36))</f>
        <v/>
      </c>
      <c r="I36" s="12" t="n"/>
      <c r="J36" s="12" t="n"/>
      <c r="K36" s="12" t="n"/>
    </row>
    <row r="37">
      <c r="A37" s="15" t="n"/>
      <c r="B37" s="12" t="n"/>
      <c r="C37" s="12" t="n"/>
      <c r="D37" s="12" t="n"/>
      <c r="E37" s="12" t="n"/>
      <c r="F37" s="13" t="n"/>
      <c r="G37" s="19">
        <f>SubMarkup</f>
        <v/>
      </c>
      <c r="H37" s="13">
        <f>IF(F37="","",F37*(1+G37))</f>
        <v/>
      </c>
      <c r="I37" s="12" t="n"/>
      <c r="J37" s="12" t="n"/>
      <c r="K37" s="12" t="n"/>
    </row>
    <row r="38">
      <c r="A38" s="15" t="n"/>
      <c r="B38" s="12" t="n"/>
      <c r="C38" s="12" t="n"/>
      <c r="D38" s="12" t="n"/>
      <c r="E38" s="12" t="n"/>
      <c r="F38" s="13" t="n"/>
      <c r="G38" s="19">
        <f>SubMarkup</f>
        <v/>
      </c>
      <c r="H38" s="13">
        <f>IF(F38="","",F38*(1+G38))</f>
        <v/>
      </c>
      <c r="I38" s="12" t="n"/>
      <c r="J38" s="12" t="n"/>
      <c r="K38" s="12" t="n"/>
    </row>
    <row r="39">
      <c r="A39" s="15" t="n"/>
      <c r="B39" s="12" t="n"/>
      <c r="C39" s="12" t="n"/>
      <c r="D39" s="12" t="n"/>
      <c r="E39" s="12" t="n"/>
      <c r="F39" s="13" t="n"/>
      <c r="G39" s="19">
        <f>SubMarkup</f>
        <v/>
      </c>
      <c r="H39" s="13">
        <f>IF(F39="","",F39*(1+G39))</f>
        <v/>
      </c>
      <c r="I39" s="12" t="n"/>
      <c r="J39" s="12" t="n"/>
      <c r="K39" s="12" t="n"/>
    </row>
    <row r="40">
      <c r="A40" s="15" t="n"/>
      <c r="B40" s="12" t="n"/>
      <c r="C40" s="12" t="n"/>
      <c r="D40" s="12" t="n"/>
      <c r="E40" s="12" t="n"/>
      <c r="F40" s="13" t="n"/>
      <c r="G40" s="19">
        <f>SubMarkup</f>
        <v/>
      </c>
      <c r="H40" s="13">
        <f>IF(F40="","",F40*(1+G40))</f>
        <v/>
      </c>
      <c r="I40" s="12" t="n"/>
      <c r="J40" s="12" t="n"/>
      <c r="K40" s="12" t="n"/>
    </row>
    <row r="41">
      <c r="A41" s="15" t="n"/>
      <c r="B41" s="12" t="n"/>
      <c r="C41" s="12" t="n"/>
      <c r="D41" s="12" t="n"/>
      <c r="E41" s="12" t="n"/>
      <c r="F41" s="13" t="n"/>
      <c r="G41" s="19">
        <f>SubMarkup</f>
        <v/>
      </c>
      <c r="H41" s="13">
        <f>IF(F41="","",F41*(1+G41))</f>
        <v/>
      </c>
      <c r="I41" s="12" t="n"/>
      <c r="J41" s="12" t="n"/>
      <c r="K41" s="12" t="n"/>
    </row>
    <row r="42">
      <c r="A42" s="15" t="n"/>
      <c r="B42" s="12" t="n"/>
      <c r="C42" s="12" t="n"/>
      <c r="D42" s="12" t="n"/>
      <c r="E42" s="12" t="n"/>
      <c r="F42" s="13" t="n"/>
      <c r="G42" s="19">
        <f>SubMarkup</f>
        <v/>
      </c>
      <c r="H42" s="13">
        <f>IF(F42="","",F42*(1+G42))</f>
        <v/>
      </c>
      <c r="I42" s="12" t="n"/>
      <c r="J42" s="12" t="n"/>
      <c r="K42" s="12" t="n"/>
    </row>
    <row r="43">
      <c r="A43" s="15" t="n"/>
      <c r="B43" s="12" t="n"/>
      <c r="C43" s="12" t="n"/>
      <c r="D43" s="12" t="n"/>
      <c r="E43" s="12" t="n"/>
      <c r="F43" s="13" t="n"/>
      <c r="G43" s="19">
        <f>SubMarkup</f>
        <v/>
      </c>
      <c r="H43" s="13">
        <f>IF(F43="","",F43*(1+G43))</f>
        <v/>
      </c>
      <c r="I43" s="12" t="n"/>
      <c r="J43" s="12" t="n"/>
      <c r="K43" s="12" t="n"/>
    </row>
    <row r="44">
      <c r="A44" s="15" t="n"/>
      <c r="B44" s="12" t="n"/>
      <c r="C44" s="12" t="n"/>
      <c r="D44" s="12" t="n"/>
      <c r="E44" s="12" t="n"/>
      <c r="F44" s="13" t="n"/>
      <c r="G44" s="19">
        <f>SubMarkup</f>
        <v/>
      </c>
      <c r="H44" s="13">
        <f>IF(F44="","",F44*(1+G44))</f>
        <v/>
      </c>
      <c r="I44" s="12" t="n"/>
      <c r="J44" s="12" t="n"/>
      <c r="K44" s="12" t="n"/>
    </row>
    <row r="45">
      <c r="A45" s="15" t="n"/>
      <c r="B45" s="12" t="n"/>
      <c r="C45" s="12" t="n"/>
      <c r="D45" s="12" t="n"/>
      <c r="E45" s="12" t="n"/>
      <c r="F45" s="13" t="n"/>
      <c r="G45" s="19">
        <f>SubMarkup</f>
        <v/>
      </c>
      <c r="H45" s="13">
        <f>IF(F45="","",F45*(1+G45))</f>
        <v/>
      </c>
      <c r="I45" s="12" t="n"/>
      <c r="J45" s="12" t="n"/>
      <c r="K45" s="12" t="n"/>
    </row>
    <row r="46">
      <c r="A46" s="15" t="n"/>
      <c r="B46" s="12" t="n"/>
      <c r="C46" s="12" t="n"/>
      <c r="D46" s="12" t="n"/>
      <c r="E46" s="12" t="n"/>
      <c r="F46" s="13" t="n"/>
      <c r="G46" s="19">
        <f>SubMarkup</f>
        <v/>
      </c>
      <c r="H46" s="13">
        <f>IF(F46="","",F46*(1+G46))</f>
        <v/>
      </c>
      <c r="I46" s="12" t="n"/>
      <c r="J46" s="12" t="n"/>
      <c r="K46" s="12" t="n"/>
    </row>
    <row r="47">
      <c r="A47" s="15" t="n"/>
      <c r="B47" s="12" t="n"/>
      <c r="C47" s="12" t="n"/>
      <c r="D47" s="12" t="n"/>
      <c r="E47" s="12" t="n"/>
      <c r="F47" s="13" t="n"/>
      <c r="G47" s="19">
        <f>SubMarkup</f>
        <v/>
      </c>
      <c r="H47" s="13">
        <f>IF(F47="","",F47*(1+G47))</f>
        <v/>
      </c>
      <c r="I47" s="12" t="n"/>
      <c r="J47" s="12" t="n"/>
      <c r="K47" s="12" t="n"/>
    </row>
    <row r="48">
      <c r="A48" s="15" t="n"/>
      <c r="B48" s="12" t="n"/>
      <c r="C48" s="12" t="n"/>
      <c r="D48" s="12" t="n"/>
      <c r="E48" s="12" t="n"/>
      <c r="F48" s="13" t="n"/>
      <c r="G48" s="19">
        <f>SubMarkup</f>
        <v/>
      </c>
      <c r="H48" s="13">
        <f>IF(F48="","",F48*(1+G48))</f>
        <v/>
      </c>
      <c r="I48" s="12" t="n"/>
      <c r="J48" s="12" t="n"/>
      <c r="K48" s="12" t="n"/>
    </row>
    <row r="49">
      <c r="A49" s="15" t="n"/>
      <c r="B49" s="12" t="n"/>
      <c r="C49" s="12" t="n"/>
      <c r="D49" s="12" t="n"/>
      <c r="E49" s="12" t="n"/>
      <c r="F49" s="13" t="n"/>
      <c r="G49" s="19">
        <f>SubMarkup</f>
        <v/>
      </c>
      <c r="H49" s="13">
        <f>IF(F49="","",F49*(1+G49))</f>
        <v/>
      </c>
      <c r="I49" s="12" t="n"/>
      <c r="J49" s="12" t="n"/>
      <c r="K49" s="12" t="n"/>
    </row>
    <row r="50">
      <c r="A50" s="15" t="n"/>
      <c r="B50" s="12" t="n"/>
      <c r="C50" s="12" t="n"/>
      <c r="D50" s="12" t="n"/>
      <c r="E50" s="12" t="n"/>
      <c r="F50" s="13" t="n"/>
      <c r="G50" s="19">
        <f>SubMarkup</f>
        <v/>
      </c>
      <c r="H50" s="13">
        <f>IF(F50="","",F50*(1+G50))</f>
        <v/>
      </c>
      <c r="I50" s="12" t="n"/>
      <c r="J50" s="12" t="n"/>
      <c r="K50" s="12" t="n"/>
    </row>
    <row r="51">
      <c r="A51" s="15" t="n"/>
      <c r="B51" s="12" t="n"/>
      <c r="C51" s="12" t="n"/>
      <c r="D51" s="12" t="n"/>
      <c r="E51" s="12" t="n"/>
      <c r="F51" s="13" t="n"/>
      <c r="G51" s="19">
        <f>SubMarkup</f>
        <v/>
      </c>
      <c r="H51" s="13">
        <f>IF(F51="","",F51*(1+G51))</f>
        <v/>
      </c>
      <c r="I51" s="12" t="n"/>
      <c r="J51" s="12" t="n"/>
      <c r="K51" s="12" t="n"/>
    </row>
    <row r="52">
      <c r="A52" s="15" t="n"/>
      <c r="B52" s="12" t="n"/>
      <c r="C52" s="12" t="n"/>
      <c r="D52" s="12" t="n"/>
      <c r="E52" s="12" t="n"/>
      <c r="F52" s="13" t="n"/>
      <c r="G52" s="19">
        <f>SubMarkup</f>
        <v/>
      </c>
      <c r="H52" s="13">
        <f>IF(F52="","",F52*(1+G52))</f>
        <v/>
      </c>
      <c r="I52" s="12" t="n"/>
      <c r="J52" s="12" t="n"/>
      <c r="K52" s="12" t="n"/>
    </row>
    <row r="53">
      <c r="A53" s="15" t="n"/>
      <c r="B53" s="12" t="n"/>
      <c r="C53" s="12" t="n"/>
      <c r="D53" s="12" t="n"/>
      <c r="E53" s="12" t="n"/>
      <c r="F53" s="13" t="n"/>
      <c r="G53" s="19">
        <f>SubMarkup</f>
        <v/>
      </c>
      <c r="H53" s="13">
        <f>IF(F53="","",F53*(1+G53))</f>
        <v/>
      </c>
      <c r="I53" s="12" t="n"/>
      <c r="J53" s="12" t="n"/>
      <c r="K53" s="12" t="n"/>
    </row>
    <row r="54">
      <c r="A54" s="15" t="n"/>
      <c r="B54" s="12" t="n"/>
      <c r="C54" s="12" t="n"/>
      <c r="D54" s="12" t="n"/>
      <c r="E54" s="12" t="n"/>
      <c r="F54" s="13" t="n"/>
      <c r="G54" s="19">
        <f>SubMarkup</f>
        <v/>
      </c>
      <c r="H54" s="13">
        <f>IF(F54="","",F54*(1+G54))</f>
        <v/>
      </c>
      <c r="I54" s="12" t="n"/>
      <c r="J54" s="12" t="n"/>
      <c r="K54" s="12" t="n"/>
    </row>
    <row r="55">
      <c r="A55" s="15" t="n"/>
      <c r="B55" s="12" t="n"/>
      <c r="C55" s="12" t="n"/>
      <c r="D55" s="12" t="n"/>
      <c r="E55" s="12" t="n"/>
      <c r="F55" s="13" t="n"/>
      <c r="G55" s="19">
        <f>SubMarkup</f>
        <v/>
      </c>
      <c r="H55" s="13">
        <f>IF(F55="","",F55*(1+G55))</f>
        <v/>
      </c>
      <c r="I55" s="12" t="n"/>
      <c r="J55" s="12" t="n"/>
      <c r="K55" s="12" t="n"/>
    </row>
    <row r="56">
      <c r="A56" s="15" t="n"/>
      <c r="B56" s="12" t="n"/>
      <c r="C56" s="12" t="n"/>
      <c r="D56" s="12" t="n"/>
      <c r="E56" s="12" t="n"/>
      <c r="F56" s="13" t="n"/>
      <c r="G56" s="19">
        <f>SubMarkup</f>
        <v/>
      </c>
      <c r="H56" s="13">
        <f>IF(F56="","",F56*(1+G56))</f>
        <v/>
      </c>
      <c r="I56" s="12" t="n"/>
      <c r="J56" s="12" t="n"/>
      <c r="K56" s="12" t="n"/>
    </row>
    <row r="57">
      <c r="A57" s="15" t="n"/>
      <c r="B57" s="12" t="n"/>
      <c r="C57" s="12" t="n"/>
      <c r="D57" s="12" t="n"/>
      <c r="E57" s="12" t="n"/>
      <c r="F57" s="13" t="n"/>
      <c r="G57" s="19">
        <f>SubMarkup</f>
        <v/>
      </c>
      <c r="H57" s="13">
        <f>IF(F57="","",F57*(1+G57))</f>
        <v/>
      </c>
      <c r="I57" s="12" t="n"/>
      <c r="J57" s="12" t="n"/>
      <c r="K57" s="12" t="n"/>
    </row>
    <row r="58">
      <c r="A58" s="15" t="n"/>
      <c r="B58" s="12" t="n"/>
      <c r="C58" s="12" t="n"/>
      <c r="D58" s="12" t="n"/>
      <c r="E58" s="12" t="n"/>
      <c r="F58" s="13" t="n"/>
      <c r="G58" s="19">
        <f>SubMarkup</f>
        <v/>
      </c>
      <c r="H58" s="13">
        <f>IF(F58="","",F58*(1+G58))</f>
        <v/>
      </c>
      <c r="I58" s="12" t="n"/>
      <c r="J58" s="12" t="n"/>
      <c r="K58" s="12" t="n"/>
    </row>
    <row r="59">
      <c r="A59" s="15" t="n"/>
      <c r="B59" s="12" t="n"/>
      <c r="C59" s="12" t="n"/>
      <c r="D59" s="12" t="n"/>
      <c r="E59" s="12" t="n"/>
      <c r="F59" s="13" t="n"/>
      <c r="G59" s="19">
        <f>SubMarkup</f>
        <v/>
      </c>
      <c r="H59" s="13">
        <f>IF(F59="","",F59*(1+G59))</f>
        <v/>
      </c>
      <c r="I59" s="12" t="n"/>
      <c r="J59" s="12" t="n"/>
      <c r="K59" s="12" t="n"/>
    </row>
    <row r="60">
      <c r="A60" s="15" t="n"/>
      <c r="B60" s="12" t="n"/>
      <c r="C60" s="12" t="n"/>
      <c r="D60" s="12" t="n"/>
      <c r="E60" s="12" t="n"/>
      <c r="F60" s="13" t="n"/>
      <c r="G60" s="19">
        <f>SubMarkup</f>
        <v/>
      </c>
      <c r="H60" s="13">
        <f>IF(F60="","",F60*(1+G60))</f>
        <v/>
      </c>
      <c r="I60" s="12" t="n"/>
      <c r="J60" s="12" t="n"/>
      <c r="K60" s="12" t="n"/>
    </row>
    <row r="61">
      <c r="A61" s="15" t="n"/>
      <c r="B61" s="12" t="n"/>
      <c r="C61" s="12" t="n"/>
      <c r="D61" s="12" t="n"/>
      <c r="E61" s="12" t="n"/>
      <c r="F61" s="13" t="n"/>
      <c r="G61" s="19">
        <f>SubMarkup</f>
        <v/>
      </c>
      <c r="H61" s="13">
        <f>IF(F61="","",F61*(1+G61))</f>
        <v/>
      </c>
      <c r="I61" s="12" t="n"/>
      <c r="J61" s="12" t="n"/>
      <c r="K61" s="12" t="n"/>
    </row>
    <row r="62">
      <c r="A62" s="15" t="n"/>
      <c r="B62" s="12" t="n"/>
      <c r="C62" s="12" t="n"/>
      <c r="D62" s="12" t="n"/>
      <c r="E62" s="12" t="n"/>
      <c r="F62" s="13" t="n"/>
      <c r="G62" s="19">
        <f>SubMarkup</f>
        <v/>
      </c>
      <c r="H62" s="13">
        <f>IF(F62="","",F62*(1+G62))</f>
        <v/>
      </c>
      <c r="I62" s="12" t="n"/>
      <c r="J62" s="12" t="n"/>
      <c r="K62" s="12" t="n"/>
    </row>
    <row r="63">
      <c r="A63" s="15" t="n"/>
      <c r="B63" s="12" t="n"/>
      <c r="C63" s="12" t="n"/>
      <c r="D63" s="12" t="n"/>
      <c r="E63" s="12" t="n"/>
      <c r="F63" s="13" t="n"/>
      <c r="G63" s="19">
        <f>SubMarkup</f>
        <v/>
      </c>
      <c r="H63" s="13">
        <f>IF(F63="","",F63*(1+G63))</f>
        <v/>
      </c>
      <c r="I63" s="12" t="n"/>
      <c r="J63" s="12" t="n"/>
      <c r="K63" s="12" t="n"/>
    </row>
    <row r="64">
      <c r="A64" s="15" t="n"/>
      <c r="B64" s="12" t="n"/>
      <c r="C64" s="12" t="n"/>
      <c r="D64" s="12" t="n"/>
      <c r="E64" s="12" t="n"/>
      <c r="F64" s="13" t="n"/>
      <c r="G64" s="19">
        <f>SubMarkup</f>
        <v/>
      </c>
      <c r="H64" s="13">
        <f>IF(F64="","",F64*(1+G64))</f>
        <v/>
      </c>
      <c r="I64" s="12" t="n"/>
      <c r="J64" s="12" t="n"/>
      <c r="K64" s="12" t="n"/>
    </row>
    <row r="65">
      <c r="A65" s="15" t="n"/>
      <c r="B65" s="12" t="n"/>
      <c r="C65" s="12" t="n"/>
      <c r="D65" s="12" t="n"/>
      <c r="E65" s="12" t="n"/>
      <c r="F65" s="13" t="n"/>
      <c r="G65" s="19">
        <f>SubMarkup</f>
        <v/>
      </c>
      <c r="H65" s="13">
        <f>IF(F65="","",F65*(1+G65))</f>
        <v/>
      </c>
      <c r="I65" s="12" t="n"/>
      <c r="J65" s="12" t="n"/>
      <c r="K65" s="12" t="n"/>
    </row>
    <row r="66">
      <c r="A66" s="15" t="n"/>
      <c r="B66" s="12" t="n"/>
      <c r="C66" s="12" t="n"/>
      <c r="D66" s="12" t="n"/>
      <c r="E66" s="12" t="n"/>
      <c r="F66" s="13" t="n"/>
      <c r="G66" s="19">
        <f>SubMarkup</f>
        <v/>
      </c>
      <c r="H66" s="13">
        <f>IF(F66="","",F66*(1+G66))</f>
        <v/>
      </c>
      <c r="I66" s="12" t="n"/>
      <c r="J66" s="12" t="n"/>
      <c r="K66" s="12" t="n"/>
    </row>
    <row r="67">
      <c r="A67" s="15" t="n"/>
      <c r="B67" s="12" t="n"/>
      <c r="C67" s="12" t="n"/>
      <c r="D67" s="12" t="n"/>
      <c r="E67" s="12" t="n"/>
      <c r="F67" s="13" t="n"/>
      <c r="G67" s="19">
        <f>SubMarkup</f>
        <v/>
      </c>
      <c r="H67" s="13">
        <f>IF(F67="","",F67*(1+G67))</f>
        <v/>
      </c>
      <c r="I67" s="12" t="n"/>
      <c r="J67" s="12" t="n"/>
      <c r="K67" s="12" t="n"/>
    </row>
    <row r="68">
      <c r="A68" s="15" t="n"/>
      <c r="B68" s="12" t="n"/>
      <c r="C68" s="12" t="n"/>
      <c r="D68" s="12" t="n"/>
      <c r="E68" s="12" t="n"/>
      <c r="F68" s="13" t="n"/>
      <c r="G68" s="19">
        <f>SubMarkup</f>
        <v/>
      </c>
      <c r="H68" s="13">
        <f>IF(F68="","",F68*(1+G68))</f>
        <v/>
      </c>
      <c r="I68" s="12" t="n"/>
      <c r="J68" s="12" t="n"/>
      <c r="K68" s="12" t="n"/>
    </row>
    <row r="69">
      <c r="A69" s="15" t="n"/>
      <c r="B69" s="12" t="n"/>
      <c r="C69" s="12" t="n"/>
      <c r="D69" s="12" t="n"/>
      <c r="E69" s="12" t="n"/>
      <c r="F69" s="13" t="n"/>
      <c r="G69" s="19">
        <f>SubMarkup</f>
        <v/>
      </c>
      <c r="H69" s="13">
        <f>IF(F69="","",F69*(1+G69))</f>
        <v/>
      </c>
      <c r="I69" s="12" t="n"/>
      <c r="J69" s="12" t="n"/>
      <c r="K69" s="12" t="n"/>
    </row>
    <row r="70">
      <c r="A70" s="15" t="n"/>
      <c r="B70" s="12" t="n"/>
      <c r="C70" s="12" t="n"/>
      <c r="D70" s="12" t="n"/>
      <c r="E70" s="12" t="n"/>
      <c r="F70" s="13" t="n"/>
      <c r="G70" s="19">
        <f>SubMarkup</f>
        <v/>
      </c>
      <c r="H70" s="13">
        <f>IF(F70="","",F70*(1+G70))</f>
        <v/>
      </c>
      <c r="I70" s="12" t="n"/>
      <c r="J70" s="12" t="n"/>
      <c r="K70" s="12" t="n"/>
    </row>
    <row r="71">
      <c r="A71" s="15" t="n"/>
      <c r="B71" s="12" t="n"/>
      <c r="C71" s="12" t="n"/>
      <c r="D71" s="12" t="n"/>
      <c r="E71" s="12" t="n"/>
      <c r="F71" s="13" t="n"/>
      <c r="G71" s="19">
        <f>SubMarkup</f>
        <v/>
      </c>
      <c r="H71" s="13">
        <f>IF(F71="","",F71*(1+G71))</f>
        <v/>
      </c>
      <c r="I71" s="12" t="n"/>
      <c r="J71" s="12" t="n"/>
      <c r="K71" s="12" t="n"/>
    </row>
    <row r="72">
      <c r="A72" s="15" t="n"/>
      <c r="B72" s="12" t="n"/>
      <c r="C72" s="12" t="n"/>
      <c r="D72" s="12" t="n"/>
      <c r="E72" s="12" t="n"/>
      <c r="F72" s="13" t="n"/>
      <c r="G72" s="19">
        <f>SubMarkup</f>
        <v/>
      </c>
      <c r="H72" s="13">
        <f>IF(F72="","",F72*(1+G72))</f>
        <v/>
      </c>
      <c r="I72" s="12" t="n"/>
      <c r="J72" s="12" t="n"/>
      <c r="K72" s="12" t="n"/>
    </row>
    <row r="73">
      <c r="A73" s="15" t="n"/>
      <c r="B73" s="12" t="n"/>
      <c r="C73" s="12" t="n"/>
      <c r="D73" s="12" t="n"/>
      <c r="E73" s="12" t="n"/>
      <c r="F73" s="13" t="n"/>
      <c r="G73" s="19">
        <f>SubMarkup</f>
        <v/>
      </c>
      <c r="H73" s="13">
        <f>IF(F73="","",F73*(1+G73))</f>
        <v/>
      </c>
      <c r="I73" s="12" t="n"/>
      <c r="J73" s="12" t="n"/>
      <c r="K73" s="12" t="n"/>
    </row>
    <row r="74">
      <c r="A74" s="15" t="n"/>
      <c r="B74" s="12" t="n"/>
      <c r="C74" s="12" t="n"/>
      <c r="D74" s="12" t="n"/>
      <c r="E74" s="12" t="n"/>
      <c r="F74" s="13" t="n"/>
      <c r="G74" s="19">
        <f>SubMarkup</f>
        <v/>
      </c>
      <c r="H74" s="13">
        <f>IF(F74="","",F74*(1+G74))</f>
        <v/>
      </c>
      <c r="I74" s="12" t="n"/>
      <c r="J74" s="12" t="n"/>
      <c r="K74" s="12" t="n"/>
    </row>
    <row r="75">
      <c r="A75" s="15" t="n"/>
      <c r="B75" s="12" t="n"/>
      <c r="C75" s="12" t="n"/>
      <c r="D75" s="12" t="n"/>
      <c r="E75" s="12" t="n"/>
      <c r="F75" s="13" t="n"/>
      <c r="G75" s="19">
        <f>SubMarkup</f>
        <v/>
      </c>
      <c r="H75" s="13">
        <f>IF(F75="","",F75*(1+G75))</f>
        <v/>
      </c>
      <c r="I75" s="12" t="n"/>
      <c r="J75" s="12" t="n"/>
      <c r="K75" s="12" t="n"/>
    </row>
    <row r="76">
      <c r="A76" s="15" t="n"/>
      <c r="B76" s="12" t="n"/>
      <c r="C76" s="12" t="n"/>
      <c r="D76" s="12" t="n"/>
      <c r="E76" s="12" t="n"/>
      <c r="F76" s="13" t="n"/>
      <c r="G76" s="19">
        <f>SubMarkup</f>
        <v/>
      </c>
      <c r="H76" s="13">
        <f>IF(F76="","",F76*(1+G76))</f>
        <v/>
      </c>
      <c r="I76" s="12" t="n"/>
      <c r="J76" s="12" t="n"/>
      <c r="K76" s="12" t="n"/>
    </row>
    <row r="77">
      <c r="A77" s="15" t="n"/>
      <c r="B77" s="12" t="n"/>
      <c r="C77" s="12" t="n"/>
      <c r="D77" s="12" t="n"/>
      <c r="E77" s="12" t="n"/>
      <c r="F77" s="13" t="n"/>
      <c r="G77" s="19">
        <f>SubMarkup</f>
        <v/>
      </c>
      <c r="H77" s="13">
        <f>IF(F77="","",F77*(1+G77))</f>
        <v/>
      </c>
      <c r="I77" s="12" t="n"/>
      <c r="J77" s="12" t="n"/>
      <c r="K77" s="12" t="n"/>
    </row>
    <row r="78">
      <c r="A78" s="15" t="n"/>
      <c r="B78" s="12" t="n"/>
      <c r="C78" s="12" t="n"/>
      <c r="D78" s="12" t="n"/>
      <c r="E78" s="12" t="n"/>
      <c r="F78" s="13" t="n"/>
      <c r="G78" s="19">
        <f>SubMarkup</f>
        <v/>
      </c>
      <c r="H78" s="13">
        <f>IF(F78="","",F78*(1+G78))</f>
        <v/>
      </c>
      <c r="I78" s="12" t="n"/>
      <c r="J78" s="12" t="n"/>
      <c r="K78" s="12" t="n"/>
    </row>
    <row r="79">
      <c r="A79" s="15" t="n"/>
      <c r="B79" s="12" t="n"/>
      <c r="C79" s="12" t="n"/>
      <c r="D79" s="12" t="n"/>
      <c r="E79" s="12" t="n"/>
      <c r="F79" s="13" t="n"/>
      <c r="G79" s="19">
        <f>SubMarkup</f>
        <v/>
      </c>
      <c r="H79" s="13">
        <f>IF(F79="","",F79*(1+G79))</f>
        <v/>
      </c>
      <c r="I79" s="12" t="n"/>
      <c r="J79" s="12" t="n"/>
      <c r="K79" s="12" t="n"/>
    </row>
    <row r="80">
      <c r="A80" s="15" t="n"/>
      <c r="B80" s="12" t="n"/>
      <c r="C80" s="12" t="n"/>
      <c r="D80" s="12" t="n"/>
      <c r="E80" s="12" t="n"/>
      <c r="F80" s="13" t="n"/>
      <c r="G80" s="19">
        <f>SubMarkup</f>
        <v/>
      </c>
      <c r="H80" s="13">
        <f>IF(F80="","",F80*(1+G80))</f>
        <v/>
      </c>
      <c r="I80" s="12" t="n"/>
      <c r="J80" s="12" t="n"/>
      <c r="K80" s="12" t="n"/>
    </row>
    <row r="81">
      <c r="A81" s="15" t="n"/>
      <c r="B81" s="12" t="n"/>
      <c r="C81" s="12" t="n"/>
      <c r="D81" s="12" t="n"/>
      <c r="E81" s="12" t="n"/>
      <c r="F81" s="13" t="n"/>
      <c r="G81" s="19">
        <f>SubMarkup</f>
        <v/>
      </c>
      <c r="H81" s="13">
        <f>IF(F81="","",F81*(1+G81))</f>
        <v/>
      </c>
      <c r="I81" s="12" t="n"/>
      <c r="J81" s="12" t="n"/>
      <c r="K81" s="12" t="n"/>
    </row>
    <row r="82">
      <c r="A82" s="15" t="n"/>
      <c r="B82" s="12" t="n"/>
      <c r="C82" s="12" t="n"/>
      <c r="D82" s="12" t="n"/>
      <c r="E82" s="12" t="n"/>
      <c r="F82" s="13" t="n"/>
      <c r="G82" s="19">
        <f>SubMarkup</f>
        <v/>
      </c>
      <c r="H82" s="13">
        <f>IF(F82="","",F82*(1+G82))</f>
        <v/>
      </c>
      <c r="I82" s="12" t="n"/>
      <c r="J82" s="12" t="n"/>
      <c r="K82" s="12" t="n"/>
    </row>
    <row r="83">
      <c r="A83" s="15" t="n"/>
      <c r="B83" s="12" t="n"/>
      <c r="C83" s="12" t="n"/>
      <c r="D83" s="12" t="n"/>
      <c r="E83" s="12" t="n"/>
      <c r="F83" s="13" t="n"/>
      <c r="G83" s="19">
        <f>SubMarkup</f>
        <v/>
      </c>
      <c r="H83" s="13">
        <f>IF(F83="","",F83*(1+G83))</f>
        <v/>
      </c>
      <c r="I83" s="12" t="n"/>
      <c r="J83" s="12" t="n"/>
      <c r="K83" s="12" t="n"/>
    </row>
    <row r="85">
      <c r="E85" s="16" t="inlineStr">
        <is>
          <t>TOTALS</t>
        </is>
      </c>
      <c r="F85" s="18">
        <f>SUM(F4:F83)</f>
        <v/>
      </c>
      <c r="H85" s="18">
        <f>SUM(H4:H83)</f>
        <v/>
      </c>
    </row>
  </sheetData>
  <mergeCells count="1">
    <mergeCell ref="A1:K1"/>
  </mergeCells>
  <dataValidations count="1">
    <dataValidation sqref="I4:I83" showDropDown="0" showInputMessage="0" showErrorMessage="0" allowBlank="1" type="list">
      <formula1>"Pending,Signed,Disputed,Approved,Invoiced,Paid,Unsigned"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2" customWidth="1" min="3" max="3"/>
    <col width="22" customWidth="1" min="4" max="4"/>
    <col width="22" customWidth="1" min="5" max="5"/>
  </cols>
  <sheetData>
    <row r="1" ht="32" customHeight="1">
      <c r="B1" s="1" t="inlineStr">
        <is>
          <t>T&amp;M INVOICE ROLL-UP</t>
        </is>
      </c>
    </row>
    <row r="2">
      <c r="B2" s="10" t="inlineStr">
        <is>
          <t>Roll-up by status. Approved totals feed the invoice; Disputed / Unsigned tracked separately.</t>
        </is>
      </c>
    </row>
    <row r="4" ht="30" customHeight="1">
      <c r="A4" s="11" t="n"/>
      <c r="B4" s="11" t="inlineStr">
        <is>
          <t>Category</t>
        </is>
      </c>
      <c r="C4" s="11" t="inlineStr">
        <is>
          <t>Approved</t>
        </is>
      </c>
      <c r="D4" s="11" t="inlineStr">
        <is>
          <t>Pending / Signed</t>
        </is>
      </c>
      <c r="E4" s="11" t="inlineStr">
        <is>
          <t>Disputed / Unsigned</t>
        </is>
      </c>
    </row>
    <row r="5">
      <c r="B5" s="20" t="inlineStr">
        <is>
          <t>Labor</t>
        </is>
      </c>
      <c r="C5" s="21">
        <f>SUMIF('Labor Tickets'!M:M,"Approved",'Labor Tickets'!L:L)+SUMIF('Labor Tickets'!M:M,"Paid",'Labor Tickets'!L:L)+SUMIF('Labor Tickets'!M:M,"Invoiced",'Labor Tickets'!L:L)</f>
        <v/>
      </c>
      <c r="D5" s="21">
        <f>SUMIF('Labor Tickets'!M:M,"Pending",'Labor Tickets'!L:L)+SUMIF('Labor Tickets'!M:M,"Signed",'Labor Tickets'!L:L)</f>
        <v/>
      </c>
      <c r="E5" s="21">
        <f>SUMIF('Labor Tickets'!M:M,"Disputed",'Labor Tickets'!L:L)+SUMIF('Labor Tickets'!M:M,"Unsigned",'Labor Tickets'!L:L)</f>
        <v/>
      </c>
    </row>
    <row r="6">
      <c r="B6" s="20" t="inlineStr">
        <is>
          <t>Equipment</t>
        </is>
      </c>
      <c r="C6" s="21">
        <f>SUMIF('Equipment Tickets'!K:K,"Approved",'Equipment Tickets'!J:J)+SUMIF('Equipment Tickets'!K:K,"Paid",'Equipment Tickets'!J:J)+SUMIF('Equipment Tickets'!K:K,"Invoiced",'Equipment Tickets'!J:J)</f>
        <v/>
      </c>
      <c r="D6" s="21">
        <f>SUMIF('Equipment Tickets'!K:K,"Pending",'Equipment Tickets'!J:J)+SUMIF('Equipment Tickets'!K:K,"Signed",'Equipment Tickets'!J:J)</f>
        <v/>
      </c>
      <c r="E6" s="21">
        <f>SUMIF('Equipment Tickets'!K:K,"Disputed",'Equipment Tickets'!J:J)+SUMIF('Equipment Tickets'!K:K,"Unsigned",'Equipment Tickets'!J:J)</f>
        <v/>
      </c>
    </row>
    <row r="7">
      <c r="B7" s="20" t="inlineStr">
        <is>
          <t>Materials</t>
        </is>
      </c>
      <c r="C7" s="21">
        <f>SUMIF('Material Tickets'!N:N,"Approved",'Material Tickets'!M:M)+SUMIF('Material Tickets'!N:N,"Paid",'Material Tickets'!M:M)+SUMIF('Material Tickets'!N:N,"Invoiced",'Material Tickets'!M:M)</f>
        <v/>
      </c>
      <c r="D7" s="21">
        <f>SUMIF('Material Tickets'!N:N,"Pending",'Material Tickets'!M:M)+SUMIF('Material Tickets'!N:N,"Signed",'Material Tickets'!M:M)</f>
        <v/>
      </c>
      <c r="E7" s="21">
        <f>SUMIF('Material Tickets'!N:N,"Disputed",'Material Tickets'!M:M)+SUMIF('Material Tickets'!N:N,"Unsigned",'Material Tickets'!M:M)</f>
        <v/>
      </c>
    </row>
    <row r="8">
      <c r="B8" s="20" t="inlineStr">
        <is>
          <t>Subcontract</t>
        </is>
      </c>
      <c r="C8" s="21">
        <f>SUMIF('Subcontract Tickets'!I:I,"Approved",'Subcontract Tickets'!H:H)+SUMIF('Subcontract Tickets'!I:I,"Paid",'Subcontract Tickets'!H:H)+SUMIF('Subcontract Tickets'!I:I,"Invoiced",'Subcontract Tickets'!H:H)</f>
        <v/>
      </c>
      <c r="D8" s="21">
        <f>SUMIF('Subcontract Tickets'!I:I,"Pending",'Subcontract Tickets'!H:H)+SUMIF('Subcontract Tickets'!I:I,"Signed",'Subcontract Tickets'!H:H)</f>
        <v/>
      </c>
      <c r="E8" s="21">
        <f>SUMIF('Subcontract Tickets'!I:I,"Disputed",'Subcontract Tickets'!H:H)+SUMIF('Subcontract Tickets'!I:I,"Unsigned",'Subcontract Tickets'!H:H)</f>
        <v/>
      </c>
    </row>
    <row r="9">
      <c r="B9" s="4" t="inlineStr">
        <is>
          <t>TOTAL</t>
        </is>
      </c>
      <c r="C9" s="22">
        <f>SUM(C5:C8)</f>
        <v/>
      </c>
      <c r="D9" s="22">
        <f>SUM(D5:D8)</f>
        <v/>
      </c>
      <c r="E9" s="22">
        <f>SUM(E5:E8)</f>
        <v/>
      </c>
    </row>
    <row r="12">
      <c r="B12" s="23" t="inlineStr">
        <is>
          <t>INVOICE NEXT STEPS</t>
        </is>
      </c>
    </row>
    <row r="13">
      <c r="B13" s="24" t="inlineStr">
        <is>
          <t>1. Confirm Approved column totals match the signed-and-approved tickets.</t>
        </is>
      </c>
    </row>
    <row r="14">
      <c r="B14" s="24" t="inlineStr">
        <is>
          <t>2. Disputed / Unsigned column is the working dispute file; track preservation-of-claim notice dates.</t>
        </is>
      </c>
    </row>
    <row r="15">
      <c r="B15" s="24" t="inlineStr">
        <is>
          <t>3. Build the T&amp;M invoice from Approved totals only. Pending / Signed remains on the next month's invoice.</t>
        </is>
      </c>
    </row>
    <row r="16">
      <c r="B16" s="24" t="inlineStr">
        <is>
          <t>4. After invoice is sent, change ticket statuses from Approved → Invoiced.</t>
        </is>
      </c>
    </row>
    <row r="17">
      <c r="B17" s="24" t="inlineStr">
        <is>
          <t>5. After payment is received, change ticket statuses from Invoiced → Paid.</t>
        </is>
      </c>
    </row>
  </sheetData>
  <mergeCells count="7">
    <mergeCell ref="B17:E17"/>
    <mergeCell ref="B1:E1"/>
    <mergeCell ref="B13:E13"/>
    <mergeCell ref="B16:E16"/>
    <mergeCell ref="B15:E15"/>
    <mergeCell ref="B2:E2"/>
    <mergeCell ref="B14:E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23" t="inlineStr">
        <is>
          <t>CSI MasterFormat Divisions</t>
        </is>
      </c>
    </row>
    <row r="3">
      <c r="A3" s="25" t="inlineStr">
        <is>
          <t>Div</t>
        </is>
      </c>
      <c r="B3" s="25" t="inlineStr">
        <is>
          <t>Name</t>
        </is>
      </c>
    </row>
    <row r="4">
      <c r="A4" s="24" t="inlineStr">
        <is>
          <t>01</t>
        </is>
      </c>
      <c r="B4" s="24" t="inlineStr">
        <is>
          <t>General Requirements</t>
        </is>
      </c>
    </row>
    <row r="5">
      <c r="A5" s="24" t="inlineStr">
        <is>
          <t>02</t>
        </is>
      </c>
      <c r="B5" s="24" t="inlineStr">
        <is>
          <t>Existing Conditions</t>
        </is>
      </c>
    </row>
    <row r="6">
      <c r="A6" s="24" t="inlineStr">
        <is>
          <t>03</t>
        </is>
      </c>
      <c r="B6" s="24" t="inlineStr">
        <is>
          <t>Concrete</t>
        </is>
      </c>
    </row>
    <row r="7">
      <c r="A7" s="24" t="inlineStr">
        <is>
          <t>04</t>
        </is>
      </c>
      <c r="B7" s="24" t="inlineStr">
        <is>
          <t>Masonry</t>
        </is>
      </c>
    </row>
    <row r="8">
      <c r="A8" s="24" t="inlineStr">
        <is>
          <t>05</t>
        </is>
      </c>
      <c r="B8" s="24" t="inlineStr">
        <is>
          <t>Metals</t>
        </is>
      </c>
    </row>
    <row r="9">
      <c r="A9" s="24" t="inlineStr">
        <is>
          <t>06</t>
        </is>
      </c>
      <c r="B9" s="24" t="inlineStr">
        <is>
          <t>Wood, Plastics, and Composites</t>
        </is>
      </c>
    </row>
    <row r="10">
      <c r="A10" s="24" t="inlineStr">
        <is>
          <t>07</t>
        </is>
      </c>
      <c r="B10" s="24" t="inlineStr">
        <is>
          <t>Thermal and Moisture Protection</t>
        </is>
      </c>
    </row>
    <row r="11">
      <c r="A11" s="24" t="inlineStr">
        <is>
          <t>08</t>
        </is>
      </c>
      <c r="B11" s="24" t="inlineStr">
        <is>
          <t>Openings</t>
        </is>
      </c>
    </row>
    <row r="12">
      <c r="A12" s="24" t="inlineStr">
        <is>
          <t>09</t>
        </is>
      </c>
      <c r="B12" s="24" t="inlineStr">
        <is>
          <t>Finishes</t>
        </is>
      </c>
    </row>
    <row r="13">
      <c r="A13" s="24" t="inlineStr">
        <is>
          <t>10</t>
        </is>
      </c>
      <c r="B13" s="24" t="inlineStr">
        <is>
          <t>Specialties</t>
        </is>
      </c>
    </row>
    <row r="14">
      <c r="A14" s="24" t="inlineStr">
        <is>
          <t>11</t>
        </is>
      </c>
      <c r="B14" s="24" t="inlineStr">
        <is>
          <t>Equipment</t>
        </is>
      </c>
    </row>
    <row r="15">
      <c r="A15" s="24" t="inlineStr">
        <is>
          <t>12</t>
        </is>
      </c>
      <c r="B15" s="24" t="inlineStr">
        <is>
          <t>Furnishings</t>
        </is>
      </c>
    </row>
    <row r="16">
      <c r="A16" s="24" t="inlineStr">
        <is>
          <t>13</t>
        </is>
      </c>
      <c r="B16" s="24" t="inlineStr">
        <is>
          <t>Special Construction</t>
        </is>
      </c>
    </row>
    <row r="17">
      <c r="A17" s="24" t="inlineStr">
        <is>
          <t>14</t>
        </is>
      </c>
      <c r="B17" s="24" t="inlineStr">
        <is>
          <t>Conveying Equipment</t>
        </is>
      </c>
    </row>
    <row r="18">
      <c r="A18" s="24" t="inlineStr">
        <is>
          <t>21</t>
        </is>
      </c>
      <c r="B18" s="24" t="inlineStr">
        <is>
          <t>Fire Suppression</t>
        </is>
      </c>
    </row>
    <row r="19">
      <c r="A19" s="24" t="inlineStr">
        <is>
          <t>22</t>
        </is>
      </c>
      <c r="B19" s="24" t="inlineStr">
        <is>
          <t>Plumbing</t>
        </is>
      </c>
    </row>
    <row r="20">
      <c r="A20" s="24" t="inlineStr">
        <is>
          <t>23</t>
        </is>
      </c>
      <c r="B20" s="24" t="inlineStr">
        <is>
          <t>HVAC</t>
        </is>
      </c>
    </row>
    <row r="21">
      <c r="A21" s="24" t="inlineStr">
        <is>
          <t>25</t>
        </is>
      </c>
      <c r="B21" s="24" t="inlineStr">
        <is>
          <t>Integrated Automation</t>
        </is>
      </c>
    </row>
    <row r="22">
      <c r="A22" s="24" t="inlineStr">
        <is>
          <t>26</t>
        </is>
      </c>
      <c r="B22" s="24" t="inlineStr">
        <is>
          <t>Electrical</t>
        </is>
      </c>
    </row>
    <row r="23">
      <c r="A23" s="24" t="inlineStr">
        <is>
          <t>27</t>
        </is>
      </c>
      <c r="B23" s="24" t="inlineStr">
        <is>
          <t>Communications</t>
        </is>
      </c>
    </row>
    <row r="24">
      <c r="A24" s="24" t="inlineStr">
        <is>
          <t>28</t>
        </is>
      </c>
      <c r="B24" s="24" t="inlineStr">
        <is>
          <t>Electronic Safety and Security</t>
        </is>
      </c>
    </row>
    <row r="25">
      <c r="A25" s="24" t="inlineStr">
        <is>
          <t>31</t>
        </is>
      </c>
      <c r="B25" s="24" t="inlineStr">
        <is>
          <t>Earthwork</t>
        </is>
      </c>
    </row>
    <row r="26">
      <c r="A26" s="24" t="inlineStr">
        <is>
          <t>32</t>
        </is>
      </c>
      <c r="B26" s="24" t="inlineStr">
        <is>
          <t>Exterior Improvements</t>
        </is>
      </c>
    </row>
    <row r="27">
      <c r="A27" s="24" t="inlineStr">
        <is>
          <t>33</t>
        </is>
      </c>
      <c r="B27" s="24" t="inlineStr">
        <is>
          <t>Utilities</t>
        </is>
      </c>
    </row>
    <row r="28">
      <c r="A28" s="24" t="inlineStr">
        <is>
          <t>34</t>
        </is>
      </c>
      <c r="B28" s="24" t="inlineStr">
        <is>
          <t>Transportation</t>
        </is>
      </c>
    </row>
    <row r="29">
      <c r="A29" s="24" t="inlineStr">
        <is>
          <t>35</t>
        </is>
      </c>
      <c r="B29" s="24" t="inlineStr">
        <is>
          <t>Waterway and Marine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2026-05-17T11:54:44Z</dcterms:created>
  <dcterms:modified xmlns:dcterms="http://purl.org/dc/terms/" xmlns:xsi="http://www.w3.org/2001/XMLSchema-instance" xsi:type="dcterms:W3CDTF">2026-05-17T11:54:44Z</dcterms:modified>
</cp:coreProperties>
</file>