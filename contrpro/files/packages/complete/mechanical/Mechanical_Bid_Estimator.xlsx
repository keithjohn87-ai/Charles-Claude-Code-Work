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id Summary" sheetId="2" state="visible" r:id="rId2"/>
    <sheet xmlns:r="http://schemas.openxmlformats.org/officeDocument/2006/relationships" name="Project Info" sheetId="3" state="visible" r:id="rId3"/>
    <sheet xmlns:r="http://schemas.openxmlformats.org/officeDocument/2006/relationships" name="Wage Rates" sheetId="4" state="visible" r:id="rId4"/>
    <sheet xmlns:r="http://schemas.openxmlformats.org/officeDocument/2006/relationships" name="Material Takeoff" sheetId="5" state="visible" r:id="rId5"/>
    <sheet xmlns:r="http://schemas.openxmlformats.org/officeDocument/2006/relationships" name="Labor Estimate" sheetId="6" state="visible" r:id="rId6"/>
    <sheet xmlns:r="http://schemas.openxmlformats.org/officeDocument/2006/relationships" name="Equipment" sheetId="7" state="visible" r:id="rId7"/>
    <sheet xmlns:r="http://schemas.openxmlformats.org/officeDocument/2006/relationships" name="Subcontract" sheetId="8" state="visible" r:id="rId8"/>
    <sheet xmlns:r="http://schemas.openxmlformats.org/officeDocument/2006/relationships" name="Premiums" sheetId="9" state="visible" r:id="rId9"/>
    <sheet xmlns:r="http://schemas.openxmlformats.org/officeDocument/2006/relationships" name="CSI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$* #,##0.00_);_($* (#,##0.00);_($* &quot;-&quot;??_);_(@_)"/>
    <numFmt numFmtId="165" formatCode="0.0%"/>
    <numFmt numFmtId="166" formatCode="_(* #,##0.0_);_(* (#,##0.0);_(* &quot;-&quot;_);_(@_)"/>
  </numFmts>
  <fonts count="9">
    <font>
      <name val="Calibri"/>
      <family val="2"/>
      <color theme="1"/>
      <sz val="11"/>
      <scheme val="minor"/>
    </font>
    <font>
      <name val="Calibri"/>
      <b val="1"/>
      <color rgb="001E3A5F"/>
      <sz val="22"/>
    </font>
    <font>
      <name val="Calibri"/>
      <sz val="11"/>
    </font>
    <font>
      <name val="Calibri"/>
      <b val="1"/>
      <color rgb="001E3A5F"/>
      <sz val="12"/>
    </font>
    <font>
      <name val="Calibri"/>
      <b val="1"/>
      <sz val="11"/>
    </font>
    <font>
      <name val="Calibri"/>
      <i val="1"/>
      <color rgb="00808080"/>
      <sz val="11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b val="1"/>
      <color rgb="001E3A5F"/>
      <sz val="14"/>
    </font>
  </fonts>
  <fills count="5">
    <fill>
      <patternFill/>
    </fill>
    <fill>
      <patternFill patternType="gray125"/>
    </fill>
    <fill>
      <patternFill patternType="solid">
        <fgColor rgb="00D6E0EC"/>
      </patternFill>
    </fill>
    <fill>
      <patternFill patternType="solid">
        <fgColor rgb="001E3A5F"/>
      </patternFill>
    </fill>
    <fill>
      <patternFill patternType="solid">
        <fgColor rgb="00C9A227"/>
      </patternFill>
    </fill>
  </fills>
  <borders count="2">
    <border>
      <left/>
      <right/>
      <top/>
      <bottom/>
      <diagonal/>
    </border>
    <border>
      <left style="thin">
        <color rgb="00B0B7BF"/>
      </left>
      <right style="thin">
        <color rgb="00B0B7BF"/>
      </right>
      <top style="thin">
        <color rgb="00B0B7BF"/>
      </top>
      <bottom style="thin">
        <color rgb="00B0B7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164" fontId="4" fillId="0" borderId="1" pivotButton="0" quotePrefix="0" xfId="0"/>
    <xf numFmtId="165" fontId="4" fillId="0" borderId="1" pivotButton="0" quotePrefix="0" xfId="0"/>
    <xf numFmtId="0" fontId="8" fillId="4" borderId="1" applyAlignment="1" pivotButton="0" quotePrefix="0" xfId="0">
      <alignment horizontal="right" vertical="center"/>
    </xf>
    <xf numFmtId="164" fontId="7" fillId="3" borderId="1" pivotButton="0" quotePrefix="0" xfId="0"/>
    <xf numFmtId="0" fontId="4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" fontId="2" fillId="0" borderId="1" pivotButton="0" quotePrefix="0" xfId="0"/>
    <xf numFmtId="164" fontId="2" fillId="0" borderId="1" pivotButton="0" quotePrefix="0" xfId="0"/>
    <xf numFmtId="0" fontId="4" fillId="0" borderId="0" applyAlignment="1" pivotButton="0" quotePrefix="0" xfId="0">
      <alignment horizontal="right" vertical="center"/>
    </xf>
    <xf numFmtId="164" fontId="4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4" fillId="4" borderId="0" applyAlignment="1" pivotButton="0" quotePrefix="0" xfId="0">
      <alignment horizontal="right" vertical="center"/>
    </xf>
    <xf numFmtId="164" fontId="4" fillId="4" borderId="0" pivotButton="0" quotePrefix="0" xfId="0"/>
    <xf numFmtId="2" fontId="2" fillId="0" borderId="1" pivotButton="0" quotePrefix="0" xfId="0"/>
    <xf numFmtId="166" fontId="2" fillId="0" borderId="1" pivotButton="0" quotePrefix="0" xfId="0"/>
    <xf numFmtId="2" fontId="0" fillId="2" borderId="0" pivotButton="0" quotePrefix="0" xfId="0"/>
    <xf numFmtId="165" fontId="2" fillId="0" borderId="1" pivotButton="0" quotePrefix="0" xfId="0"/>
    <xf numFmtId="165" fontId="4" fillId="4" borderId="0" pivotButton="0" quotePrefix="0" xfId="0"/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MECHANICAL BID ESTIMATOR — INSTRUCTIONS</t>
        </is>
      </c>
    </row>
    <row r="3">
      <c r="A3" s="2" t="inlineStr"/>
    </row>
    <row r="4">
      <c r="A4" s="3" t="inlineStr">
        <is>
          <t>PURPOSE</t>
        </is>
      </c>
    </row>
    <row r="5">
      <c r="A5" s="2" t="inlineStr">
        <is>
          <t>Production estimating tool for commercial mechanical (HVAC + hydronic + refrigeration)</t>
        </is>
      </c>
    </row>
    <row r="6">
      <c r="A6" s="2" t="inlineStr">
        <is>
          <t>contractors. Combines per-equipment + per-ton + per-CFM + per-LF of pipe / per-SF of</t>
        </is>
      </c>
    </row>
    <row r="7">
      <c r="A7" s="2" t="inlineStr">
        <is>
          <t>sheet-metal anchors. CSI Division 23 primary with cross-references to 22 (plumbing),</t>
        </is>
      </c>
    </row>
    <row r="8">
      <c r="A8" s="2" t="inlineStr">
        <is>
          <t>26 (electrical), and 27 (BAS / controls).</t>
        </is>
      </c>
    </row>
    <row r="9">
      <c r="A9" s="2" t="inlineStr"/>
    </row>
    <row r="10">
      <c r="A10" s="3" t="inlineStr">
        <is>
          <t>WORKFLOW</t>
        </is>
      </c>
    </row>
    <row r="11">
      <c r="A11" s="2" t="inlineStr">
        <is>
          <t xml:space="preserve">  1. Project Info — fill every blue field.</t>
        </is>
      </c>
    </row>
    <row r="12">
      <c r="A12" s="2" t="inlineStr">
        <is>
          <t xml:space="preserve">  2. Wage Rates — set base + fringe + burden by classification.</t>
        </is>
      </c>
    </row>
    <row r="13">
      <c r="A13" s="2" t="inlineStr">
        <is>
          <t xml:space="preserve">  3. Material Takeoff — quantities by CSI line item.</t>
        </is>
      </c>
    </row>
    <row r="14">
      <c r="A14" s="2" t="inlineStr">
        <is>
          <t xml:space="preserve">  4. Labor Estimate — productivity defaults assume average commercial conditions.</t>
        </is>
      </c>
    </row>
    <row r="15">
      <c r="A15" s="2" t="inlineStr">
        <is>
          <t xml:space="preserve">  5. Equipment — daily/weekly rentals + tools.</t>
        </is>
      </c>
    </row>
    <row r="16">
      <c r="A16" s="2" t="inlineStr">
        <is>
          <t xml:space="preserve">  6. Subcontract — TAB, refrigerant charging, controls programming, etc.</t>
        </is>
      </c>
    </row>
    <row r="17">
      <c r="A17" s="2" t="inlineStr">
        <is>
          <t xml:space="preserve">  7. Premiums — height, healthcare, occupied building, prevailing wage.</t>
        </is>
      </c>
    </row>
    <row r="18">
      <c r="A18" s="2" t="inlineStr">
        <is>
          <t xml:space="preserve">  8. Bid Summary — automatic roll-up + final bid.</t>
        </is>
      </c>
    </row>
    <row r="19">
      <c r="A19" s="2" t="inlineStr"/>
    </row>
    <row r="20">
      <c r="A20" s="3" t="inlineStr">
        <is>
          <t>LABOR UNITS</t>
        </is>
      </c>
    </row>
    <row r="21">
      <c r="A21" s="2" t="inlineStr">
        <is>
          <t>Anchors used: per-ton or per-CFM for equipment-set, per-LF by diameter for piping,</t>
        </is>
      </c>
    </row>
    <row r="22">
      <c r="A22" s="2" t="inlineStr">
        <is>
          <t>per-SF for sheet-metal (gauge-adjusted), per-each for terminals + accessories.</t>
        </is>
      </c>
    </row>
    <row r="23">
      <c r="A23" s="2" t="inlineStr">
        <is>
          <t>Calibrate against your historical job-cost. Underestimating labor is the most common</t>
        </is>
      </c>
    </row>
    <row r="24">
      <c r="A24" s="2" t="inlineStr">
        <is>
          <t>cause of mechanical-bid losses.</t>
        </is>
      </c>
    </row>
    <row r="25">
      <c r="A25" s="2" t="inlineStr"/>
    </row>
    <row r="26">
      <c r="A26" s="3" t="inlineStr">
        <is>
          <t>FIELD-ONLY SCOPE</t>
        </is>
      </c>
    </row>
    <row r="27">
      <c r="A27" s="2" t="inlineStr">
        <is>
          <t>Calibrated for field installation. Sheet-metal fab-shop production work is typically</t>
        </is>
      </c>
    </row>
    <row r="28">
      <c r="A28" s="2" t="inlineStr">
        <is>
          <t>in-house or subbed and not estimated here — material costs reflect delivered fabricated</t>
        </is>
      </c>
    </row>
    <row r="29">
      <c r="A29" s="2" t="inlineStr">
        <is>
          <t>ductwork. Pre-fabricated piping rack assemblies similarly.</t>
        </is>
      </c>
    </row>
    <row r="30">
      <c r="A30" s="2" t="inlineStr"/>
    </row>
    <row r="31">
      <c r="A31" s="3" t="inlineStr">
        <is>
          <t>DOCUMENT VERSION</t>
        </is>
      </c>
    </row>
    <row r="32">
      <c r="A32" s="2" t="inlineStr">
        <is>
          <t>Mechanical_Bid_Estimator.xlsx v1.0 — 2026-05-19</t>
        </is>
      </c>
    </row>
    <row r="33">
      <c r="A33" s="2" t="inlineStr">
        <is>
          <t>ContrPro Complete Tier · Mechanical Trade Pack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0" customWidth="1" min="3" max="3"/>
    <col width="22" customWidth="1" min="4" max="4"/>
  </cols>
  <sheetData>
    <row r="1">
      <c r="A1" s="1" t="inlineStr">
        <is>
          <t>BID SUMMARY — Mechanical Trade Pack</t>
        </is>
      </c>
    </row>
    <row r="3">
      <c r="B3" s="4" t="inlineStr">
        <is>
          <t>Material total (incl. tax)</t>
        </is>
      </c>
      <c r="C3" s="5">
        <f>'Material Takeoff'!$F$106</f>
        <v/>
      </c>
    </row>
    <row r="4">
      <c r="B4" s="4" t="inlineStr">
        <is>
          <t>Labor total</t>
        </is>
      </c>
      <c r="C4" s="5">
        <f>'Labor Estimate'!$H$66</f>
        <v/>
      </c>
    </row>
    <row r="5">
      <c r="B5" s="4" t="inlineStr">
        <is>
          <t>Equipment total</t>
        </is>
      </c>
      <c r="C5" s="5">
        <f>'Equipment'!$F$21</f>
        <v/>
      </c>
    </row>
    <row r="6">
      <c r="B6" s="4" t="inlineStr">
        <is>
          <t>Subcontract total</t>
        </is>
      </c>
      <c r="C6" s="5">
        <f>'Subcontract'!$E$17</f>
        <v/>
      </c>
    </row>
    <row r="7">
      <c r="B7" s="4" t="inlineStr">
        <is>
          <t>Premiums $</t>
        </is>
      </c>
      <c r="C7" s="5">
        <f>'Premiums'!$D$17</f>
        <v/>
      </c>
    </row>
    <row r="8">
      <c r="B8" s="4" t="inlineStr">
        <is>
          <t>Direct cost subtotal</t>
        </is>
      </c>
      <c r="C8" s="5">
        <f>SUM(C3:C7)</f>
        <v/>
      </c>
    </row>
    <row r="9">
      <c r="B9" s="4" t="inlineStr">
        <is>
          <t>Premium % applied</t>
        </is>
      </c>
      <c r="C9" s="5">
        <f>'Premiums'!$D$18</f>
        <v/>
      </c>
    </row>
    <row r="10">
      <c r="B10" s="4" t="inlineStr">
        <is>
          <t>Premium % adder $</t>
        </is>
      </c>
      <c r="C10" s="5">
        <f>C8*C9</f>
        <v/>
      </c>
    </row>
    <row r="11">
      <c r="B11" s="4" t="inlineStr">
        <is>
          <t>Direct + premium %</t>
        </is>
      </c>
      <c r="C11" s="6">
        <f>C8+C10</f>
        <v/>
      </c>
    </row>
    <row r="12">
      <c r="B12" s="4" t="inlineStr">
        <is>
          <t>Contingency %</t>
        </is>
      </c>
      <c r="C12" s="6" t="n">
        <v>0.05</v>
      </c>
    </row>
    <row r="13">
      <c r="B13" s="4" t="inlineStr">
        <is>
          <t>Contingency $</t>
        </is>
      </c>
      <c r="C13" s="5">
        <f>C11*C12</f>
        <v/>
      </c>
    </row>
    <row r="14">
      <c r="B14" s="4" t="inlineStr">
        <is>
          <t>Direct + contingency</t>
        </is>
      </c>
      <c r="C14" s="5">
        <f>C11+C13</f>
        <v/>
      </c>
    </row>
    <row r="15">
      <c r="B15" s="4" t="inlineStr">
        <is>
          <t>Overhead %</t>
        </is>
      </c>
      <c r="C15" s="6" t="n">
        <v>0.1</v>
      </c>
    </row>
    <row r="16">
      <c r="B16" s="4" t="inlineStr">
        <is>
          <t>Overhead $</t>
        </is>
      </c>
      <c r="C16" s="5">
        <f>C14*C15</f>
        <v/>
      </c>
    </row>
    <row r="17">
      <c r="B17" s="4" t="inlineStr">
        <is>
          <t>Profit %</t>
        </is>
      </c>
      <c r="C17" s="6" t="n">
        <v>0.1</v>
      </c>
    </row>
    <row r="18">
      <c r="B18" s="4" t="inlineStr">
        <is>
          <t>Profit $</t>
        </is>
      </c>
      <c r="C18" s="5">
        <f>(C14+C16)*C17</f>
        <v/>
      </c>
    </row>
    <row r="19">
      <c r="B19" s="4" t="inlineStr">
        <is>
          <t>Bond %</t>
        </is>
      </c>
      <c r="C19" s="6" t="n">
        <v>0.012</v>
      </c>
    </row>
    <row r="20">
      <c r="B20" s="4" t="inlineStr">
        <is>
          <t>Bond $</t>
        </is>
      </c>
      <c r="C20" s="5">
        <f>(C14+C16+C18)*C19</f>
        <v/>
      </c>
    </row>
    <row r="21">
      <c r="B21" s="4" t="inlineStr">
        <is>
          <t>Insurance / GL %</t>
        </is>
      </c>
      <c r="C21" s="6" t="n">
        <v>0.018</v>
      </c>
    </row>
    <row r="22">
      <c r="B22" s="4" t="inlineStr">
        <is>
          <t>Insurance $</t>
        </is>
      </c>
      <c r="C22" s="5">
        <f>(C14+C16+C18)*C21</f>
        <v/>
      </c>
    </row>
    <row r="23">
      <c r="B23" s="7" t="inlineStr">
        <is>
          <t>FINAL BID</t>
        </is>
      </c>
      <c r="C23" s="8">
        <f>C14+C16+C18+C20+C22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PROJECT INFORMATION</t>
        </is>
      </c>
    </row>
    <row r="3">
      <c r="A3" s="9" t="inlineStr">
        <is>
          <t>Project Name</t>
        </is>
      </c>
      <c r="B3" s="10" t="inlineStr"/>
    </row>
    <row r="4">
      <c r="A4" s="9" t="inlineStr">
        <is>
          <t>Project Address</t>
        </is>
      </c>
      <c r="B4" s="10" t="inlineStr"/>
    </row>
    <row r="5">
      <c r="A5" s="9" t="inlineStr">
        <is>
          <t>Owner</t>
        </is>
      </c>
      <c r="B5" s="10" t="inlineStr"/>
    </row>
    <row r="6">
      <c r="A6" s="9" t="inlineStr">
        <is>
          <t>General Contractor</t>
        </is>
      </c>
      <c r="B6" s="10" t="inlineStr"/>
    </row>
    <row r="7">
      <c r="A7" s="9" t="inlineStr">
        <is>
          <t>Architect / Engineer</t>
        </is>
      </c>
      <c r="B7" s="10" t="inlineStr"/>
    </row>
    <row r="8">
      <c r="A8" s="9" t="inlineStr">
        <is>
          <t>Bid Due Date</t>
        </is>
      </c>
      <c r="B8" s="10" t="inlineStr"/>
    </row>
    <row r="9">
      <c r="A9" s="9" t="inlineStr">
        <is>
          <t>Bid Reference / Number</t>
        </is>
      </c>
      <c r="B9" s="10" t="inlineStr"/>
    </row>
    <row r="10">
      <c r="A10" s="9" t="inlineStr">
        <is>
          <t>Project Type</t>
        </is>
      </c>
      <c r="B10" s="11" t="inlineStr">
        <is>
          <t>(New / Renovation / Tenant fit-out / Adaptive reuse)</t>
        </is>
      </c>
    </row>
    <row r="11">
      <c r="A11" s="9" t="inlineStr">
        <is>
          <t>Building Use</t>
        </is>
      </c>
      <c r="B11" s="11" t="inlineStr">
        <is>
          <t>(Office / Retail / Healthcare / Education / Multi-family / Hospitality / Industrial)</t>
        </is>
      </c>
    </row>
    <row r="12">
      <c r="A12" s="9" t="inlineStr">
        <is>
          <t>Approx. Square Footage</t>
        </is>
      </c>
      <c r="B12" s="10" t="inlineStr"/>
    </row>
    <row r="13">
      <c r="A13" s="9" t="inlineStr">
        <is>
          <t>Stories</t>
        </is>
      </c>
      <c r="B13" s="10" t="inlineStr"/>
    </row>
    <row r="14">
      <c r="A14" s="9" t="inlineStr">
        <is>
          <t>Total Tonnage (cooling)</t>
        </is>
      </c>
      <c r="B14" s="10" t="inlineStr"/>
    </row>
    <row r="15">
      <c r="A15" s="9" t="inlineStr">
        <is>
          <t>Total CFM (supply / return / OA)</t>
        </is>
      </c>
      <c r="B15" s="10" t="inlineStr"/>
    </row>
    <row r="16">
      <c r="A16" s="9" t="inlineStr">
        <is>
          <t>AHJ — Mechanical Inspector</t>
        </is>
      </c>
      <c r="B16" s="10" t="inlineStr"/>
    </row>
    <row r="17">
      <c r="A17" s="9" t="inlineStr">
        <is>
          <t>Applicable Mechanical Code</t>
        </is>
      </c>
      <c r="B17" s="11" t="inlineStr">
        <is>
          <t>(IMC 2024 / UMC 2024 / local amendments)</t>
        </is>
      </c>
    </row>
    <row r="18">
      <c r="A18" s="9" t="inlineStr">
        <is>
          <t>Applicable Energy Code</t>
        </is>
      </c>
      <c r="B18" s="11" t="inlineStr">
        <is>
          <t>(IECC 2021 / ASHRAE 90.1-2019 / state amendments)</t>
        </is>
      </c>
    </row>
    <row r="19">
      <c r="A19" s="9" t="inlineStr">
        <is>
          <t>Estimator Name</t>
        </is>
      </c>
      <c r="B19" s="10" t="inlineStr"/>
    </row>
    <row r="20">
      <c r="A20" s="9" t="inlineStr">
        <is>
          <t>Date Prepared</t>
        </is>
      </c>
      <c r="B20" s="10" t="inlineStr"/>
    </row>
    <row r="21">
      <c r="A21" s="9" t="inlineStr">
        <is>
          <t>Internal Bid Number</t>
        </is>
      </c>
      <c r="B21" s="10" t="inlineStr"/>
    </row>
    <row r="22">
      <c r="A22" s="9" t="inlineStr">
        <is>
          <t>Notes / Assumptions</t>
        </is>
      </c>
      <c r="B22" s="10" t="inlineStr"/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WAGE RATES (calibrate to your market)</t>
        </is>
      </c>
    </row>
    <row r="3" ht="26" customHeight="1">
      <c r="A3" s="12" t="inlineStr">
        <is>
          <t>Classification</t>
        </is>
      </c>
      <c r="B3" s="12" t="inlineStr">
        <is>
          <t>Base Rate ($/hr)</t>
        </is>
      </c>
      <c r="C3" s="12" t="inlineStr">
        <is>
          <t>Fringe ($/hr)</t>
        </is>
      </c>
      <c r="D3" s="12" t="inlineStr">
        <is>
          <t>Burden % (WC/GL/FICA)</t>
        </is>
      </c>
      <c r="E3" s="12" t="inlineStr">
        <is>
          <t>OT Premium (1.5×)</t>
        </is>
      </c>
      <c r="F3" s="12" t="inlineStr">
        <is>
          <t>Loaded Rate ($/hr)</t>
        </is>
      </c>
    </row>
    <row r="4">
      <c r="A4" s="13" t="inlineStr">
        <is>
          <t>Mechanical Foreman</t>
        </is>
      </c>
      <c r="B4" s="14" t="n">
        <v>62</v>
      </c>
      <c r="C4" s="14" t="n">
        <v>19.5</v>
      </c>
      <c r="D4" s="15" t="n">
        <v>0.32</v>
      </c>
      <c r="E4" s="14">
        <f>B4*1.5</f>
        <v/>
      </c>
      <c r="F4" s="14">
        <f>(B4+C4)*(1+D4)</f>
        <v/>
      </c>
    </row>
    <row r="5">
      <c r="A5" s="13" t="inlineStr">
        <is>
          <t>Sheet Metal Journeyman</t>
        </is>
      </c>
      <c r="B5" s="14" t="n">
        <v>50</v>
      </c>
      <c r="C5" s="14" t="n">
        <v>18.5</v>
      </c>
      <c r="D5" s="15" t="n">
        <v>0.32</v>
      </c>
      <c r="E5" s="14">
        <f>B5*1.5</f>
        <v/>
      </c>
      <c r="F5" s="14">
        <f>(B5+C5)*(1+D5)</f>
        <v/>
      </c>
    </row>
    <row r="6">
      <c r="A6" s="13" t="inlineStr">
        <is>
          <t>Pipefitter Journeyman</t>
        </is>
      </c>
      <c r="B6" s="14" t="n">
        <v>54</v>
      </c>
      <c r="C6" s="14" t="n">
        <v>19.5</v>
      </c>
      <c r="D6" s="15" t="n">
        <v>0.32</v>
      </c>
      <c r="E6" s="14">
        <f>B6*1.5</f>
        <v/>
      </c>
      <c r="F6" s="14">
        <f>(B6+C6)*(1+D6)</f>
        <v/>
      </c>
    </row>
    <row r="7">
      <c r="A7" s="13" t="inlineStr">
        <is>
          <t>Steamfitter Journeyman</t>
        </is>
      </c>
      <c r="B7" s="14" t="n">
        <v>56</v>
      </c>
      <c r="C7" s="14" t="n">
        <v>19.5</v>
      </c>
      <c r="D7" s="15" t="n">
        <v>0.32</v>
      </c>
      <c r="E7" s="14">
        <f>B7*1.5</f>
        <v/>
      </c>
      <c r="F7" s="14">
        <f>(B7+C7)*(1+D7)</f>
        <v/>
      </c>
    </row>
    <row r="8">
      <c r="A8" s="13" t="inlineStr">
        <is>
          <t>Refrigeration Tech (EPA 608)</t>
        </is>
      </c>
      <c r="B8" s="14" t="n">
        <v>58</v>
      </c>
      <c r="C8" s="14" t="n">
        <v>19.5</v>
      </c>
      <c r="D8" s="15" t="n">
        <v>0.32</v>
      </c>
      <c r="E8" s="14">
        <f>B8*1.5</f>
        <v/>
      </c>
      <c r="F8" s="14">
        <f>(B8+C8)*(1+D8)</f>
        <v/>
      </c>
    </row>
    <row r="9">
      <c r="A9" s="13" t="inlineStr">
        <is>
          <t>HVAC Tech</t>
        </is>
      </c>
      <c r="B9" s="14" t="n">
        <v>50</v>
      </c>
      <c r="C9" s="14" t="n">
        <v>18.5</v>
      </c>
      <c r="D9" s="15" t="n">
        <v>0.32</v>
      </c>
      <c r="E9" s="14">
        <f>B9*1.5</f>
        <v/>
      </c>
      <c r="F9" s="14">
        <f>(B9+C9)*(1+D9)</f>
        <v/>
      </c>
    </row>
    <row r="10">
      <c r="A10" s="13" t="inlineStr">
        <is>
          <t>Apprentice (Yr 4)</t>
        </is>
      </c>
      <c r="B10" s="14" t="n">
        <v>38</v>
      </c>
      <c r="C10" s="14" t="n">
        <v>14</v>
      </c>
      <c r="D10" s="15" t="n">
        <v>0.32</v>
      </c>
      <c r="E10" s="14">
        <f>B10*1.5</f>
        <v/>
      </c>
      <c r="F10" s="14">
        <f>(B10+C10)*(1+D10)</f>
        <v/>
      </c>
    </row>
    <row r="11">
      <c r="A11" s="13" t="inlineStr">
        <is>
          <t>Apprentice (Yr 2)</t>
        </is>
      </c>
      <c r="B11" s="14" t="n">
        <v>28</v>
      </c>
      <c r="C11" s="14" t="n">
        <v>12</v>
      </c>
      <c r="D11" s="15" t="n">
        <v>0.32</v>
      </c>
      <c r="E11" s="14">
        <f>B11*1.5</f>
        <v/>
      </c>
      <c r="F11" s="14">
        <f>(B11+C11)*(1+D11)</f>
        <v/>
      </c>
    </row>
    <row r="12">
      <c r="A12" s="13" t="inlineStr">
        <is>
          <t>Insulator</t>
        </is>
      </c>
      <c r="B12" s="14" t="n">
        <v>42</v>
      </c>
      <c r="C12" s="14" t="n">
        <v>16</v>
      </c>
      <c r="D12" s="15" t="n">
        <v>0.32</v>
      </c>
      <c r="E12" s="14">
        <f>B12*1.5</f>
        <v/>
      </c>
      <c r="F12" s="14">
        <f>(B12+C12)*(1+D12)</f>
        <v/>
      </c>
    </row>
    <row r="13">
      <c r="A13" s="13" t="inlineStr">
        <is>
          <t>Helper / Material Handler</t>
        </is>
      </c>
      <c r="B13" s="14" t="n">
        <v>22</v>
      </c>
      <c r="C13" s="14" t="n">
        <v>9.5</v>
      </c>
      <c r="D13" s="15" t="n">
        <v>0.32</v>
      </c>
      <c r="E13" s="14">
        <f>B13*1.5</f>
        <v/>
      </c>
      <c r="F13" s="14">
        <f>(B13+C13)*(1+D13)</f>
        <v/>
      </c>
    </row>
    <row r="14">
      <c r="A14" s="13" t="inlineStr">
        <is>
          <t>Controls Tech / BAS</t>
        </is>
      </c>
      <c r="B14" s="14" t="n">
        <v>60</v>
      </c>
      <c r="C14" s="14" t="n">
        <v>19</v>
      </c>
      <c r="D14" s="15" t="n">
        <v>0.32</v>
      </c>
      <c r="E14" s="14">
        <f>B14*1.5</f>
        <v/>
      </c>
      <c r="F14" s="14">
        <f>(B14+C14)*(1+D14)</f>
        <v/>
      </c>
    </row>
    <row r="15">
      <c r="A15" s="13" t="inlineStr">
        <is>
          <t>TAB Technician</t>
        </is>
      </c>
      <c r="B15" s="14" t="n">
        <v>55</v>
      </c>
      <c r="C15" s="14" t="n">
        <v>18</v>
      </c>
      <c r="D15" s="15" t="n">
        <v>0.32</v>
      </c>
      <c r="E15" s="14">
        <f>B15*1.5</f>
        <v/>
      </c>
      <c r="F15" s="14">
        <f>(B15+C15)*(1+D15)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0" customWidth="1" min="3" max="3"/>
    <col width="10" customWidth="1" min="4" max="4"/>
    <col width="14" customWidth="1" min="5" max="5"/>
    <col width="16" customWidth="1" min="6" max="6"/>
    <col width="14" customWidth="1" min="7" max="7"/>
  </cols>
  <sheetData>
    <row r="1">
      <c r="A1" s="1" t="inlineStr">
        <is>
          <t>MATERIAL TAKEOFF (CSI Division 23)</t>
        </is>
      </c>
    </row>
    <row r="3" ht="26" customHeight="1">
      <c r="A3" s="12" t="inlineStr">
        <is>
          <t>CSI Code</t>
        </is>
      </c>
      <c r="B3" s="12" t="inlineStr">
        <is>
          <t>Description</t>
        </is>
      </c>
      <c r="C3" s="12" t="inlineStr">
        <is>
          <t>QTY</t>
        </is>
      </c>
      <c r="D3" s="12" t="inlineStr">
        <is>
          <t>UOM</t>
        </is>
      </c>
      <c r="E3" s="12" t="inlineStr">
        <is>
          <t>Unit Cost ($)</t>
        </is>
      </c>
      <c r="F3" s="12" t="inlineStr">
        <is>
          <t>Material Subtotal ($)</t>
        </is>
      </c>
      <c r="G3" s="12" t="inlineStr">
        <is>
          <t>Notes</t>
        </is>
      </c>
    </row>
    <row r="4">
      <c r="A4" s="16" t="inlineStr">
        <is>
          <t>23 05 13</t>
        </is>
      </c>
      <c r="B4" s="10" t="inlineStr">
        <is>
          <t>Pipe hangers + supports — clevis 1" - 4"</t>
        </is>
      </c>
      <c r="C4" s="17" t="n">
        <v>0</v>
      </c>
      <c r="D4" s="16" t="inlineStr">
        <is>
          <t>EA</t>
        </is>
      </c>
      <c r="E4" s="18" t="n">
        <v>9.5</v>
      </c>
      <c r="F4" s="18">
        <f>C4*E4</f>
        <v/>
      </c>
      <c r="G4" s="10" t="inlineStr"/>
    </row>
    <row r="5">
      <c r="A5" s="16" t="inlineStr">
        <is>
          <t>23 05 13</t>
        </is>
      </c>
      <c r="B5" s="10" t="inlineStr">
        <is>
          <t>Trapeze + unistrut assembly (multi-pipe)</t>
        </is>
      </c>
      <c r="C5" s="17" t="n">
        <v>0</v>
      </c>
      <c r="D5" s="16" t="inlineStr">
        <is>
          <t>EA</t>
        </is>
      </c>
      <c r="E5" s="18" t="n">
        <v>38</v>
      </c>
      <c r="F5" s="18">
        <f>C5*E5</f>
        <v/>
      </c>
      <c r="G5" s="10" t="inlineStr"/>
    </row>
    <row r="6">
      <c r="A6" s="16" t="inlineStr">
        <is>
          <t>23 05 17</t>
        </is>
      </c>
      <c r="B6" s="10" t="inlineStr">
        <is>
          <t>Sleeves + escutcheons (per assembly)</t>
        </is>
      </c>
      <c r="C6" s="17" t="n">
        <v>0</v>
      </c>
      <c r="D6" s="16" t="inlineStr">
        <is>
          <t>EA</t>
        </is>
      </c>
      <c r="E6" s="18" t="n">
        <v>6.5</v>
      </c>
      <c r="F6" s="18">
        <f>C6*E6</f>
        <v/>
      </c>
      <c r="G6" s="10" t="inlineStr"/>
    </row>
    <row r="7">
      <c r="A7" s="16" t="inlineStr">
        <is>
          <t>23 05 23</t>
        </is>
      </c>
      <c r="B7" s="10" t="inlineStr">
        <is>
          <t>Valve — ball, bronze, 1"</t>
        </is>
      </c>
      <c r="C7" s="17" t="n">
        <v>0</v>
      </c>
      <c r="D7" s="16" t="inlineStr">
        <is>
          <t>EA</t>
        </is>
      </c>
      <c r="E7" s="18" t="n">
        <v>28</v>
      </c>
      <c r="F7" s="18">
        <f>C7*E7</f>
        <v/>
      </c>
      <c r="G7" s="10" t="inlineStr"/>
    </row>
    <row r="8">
      <c r="A8" s="16" t="inlineStr">
        <is>
          <t>23 05 23</t>
        </is>
      </c>
      <c r="B8" s="10" t="inlineStr">
        <is>
          <t>Valve — ball, bronze, 2"</t>
        </is>
      </c>
      <c r="C8" s="17" t="n">
        <v>0</v>
      </c>
      <c r="D8" s="16" t="inlineStr">
        <is>
          <t>EA</t>
        </is>
      </c>
      <c r="E8" s="18" t="n">
        <v>65</v>
      </c>
      <c r="F8" s="18">
        <f>C8*E8</f>
        <v/>
      </c>
      <c r="G8" s="10" t="inlineStr"/>
    </row>
    <row r="9">
      <c r="A9" s="16" t="inlineStr">
        <is>
          <t>23 05 23</t>
        </is>
      </c>
      <c r="B9" s="10" t="inlineStr">
        <is>
          <t>Valve — globe, bronze, 1"</t>
        </is>
      </c>
      <c r="C9" s="17" t="n">
        <v>0</v>
      </c>
      <c r="D9" s="16" t="inlineStr">
        <is>
          <t>EA</t>
        </is>
      </c>
      <c r="E9" s="18" t="n">
        <v>65</v>
      </c>
      <c r="F9" s="18">
        <f>C9*E9</f>
        <v/>
      </c>
      <c r="G9" s="10" t="inlineStr"/>
    </row>
    <row r="10">
      <c r="A10" s="16" t="inlineStr">
        <is>
          <t>23 05 23</t>
        </is>
      </c>
      <c r="B10" s="10" t="inlineStr">
        <is>
          <t>Valve — butterfly, cast iron, 4"</t>
        </is>
      </c>
      <c r="C10" s="17" t="n">
        <v>0</v>
      </c>
      <c r="D10" s="16" t="inlineStr">
        <is>
          <t>EA</t>
        </is>
      </c>
      <c r="E10" s="18" t="n">
        <v>185</v>
      </c>
      <c r="F10" s="18">
        <f>C10*E10</f>
        <v/>
      </c>
      <c r="G10" s="10" t="inlineStr"/>
    </row>
    <row r="11">
      <c r="A11" s="16" t="inlineStr">
        <is>
          <t>23 05 23</t>
        </is>
      </c>
      <c r="B11" s="10" t="inlineStr">
        <is>
          <t>Valve — gate, cast iron, 6"</t>
        </is>
      </c>
      <c r="C11" s="17" t="n">
        <v>0</v>
      </c>
      <c r="D11" s="16" t="inlineStr">
        <is>
          <t>EA</t>
        </is>
      </c>
      <c r="E11" s="18" t="n">
        <v>425</v>
      </c>
      <c r="F11" s="18">
        <f>C11*E11</f>
        <v/>
      </c>
      <c r="G11" s="10" t="inlineStr"/>
    </row>
    <row r="12">
      <c r="A12" s="16" t="inlineStr">
        <is>
          <t>23 07 13</t>
        </is>
      </c>
      <c r="B12" s="10" t="inlineStr">
        <is>
          <t>Duct insulation — fiberglass wrap, 1.5" w/ FRK</t>
        </is>
      </c>
      <c r="C12" s="17" t="n">
        <v>0</v>
      </c>
      <c r="D12" s="16" t="inlineStr">
        <is>
          <t>SF</t>
        </is>
      </c>
      <c r="E12" s="18" t="n">
        <v>1.85</v>
      </c>
      <c r="F12" s="18">
        <f>C12*E12</f>
        <v/>
      </c>
      <c r="G12" s="10" t="inlineStr"/>
    </row>
    <row r="13">
      <c r="A13" s="16" t="inlineStr">
        <is>
          <t>23 07 13</t>
        </is>
      </c>
      <c r="B13" s="10" t="inlineStr">
        <is>
          <t>Duct insulation — fiberglass duct liner, 1"</t>
        </is>
      </c>
      <c r="C13" s="17" t="n">
        <v>0</v>
      </c>
      <c r="D13" s="16" t="inlineStr">
        <is>
          <t>SF</t>
        </is>
      </c>
      <c r="E13" s="18" t="n">
        <v>2.65</v>
      </c>
      <c r="F13" s="18">
        <f>C13*E13</f>
        <v/>
      </c>
      <c r="G13" s="10" t="inlineStr"/>
    </row>
    <row r="14">
      <c r="A14" s="16" t="inlineStr">
        <is>
          <t>23 07 19</t>
        </is>
      </c>
      <c r="B14" s="10" t="inlineStr">
        <is>
          <t>Pipe insulation — fiberglass, 1" pipe</t>
        </is>
      </c>
      <c r="C14" s="17" t="n">
        <v>0</v>
      </c>
      <c r="D14" s="16" t="inlineStr">
        <is>
          <t>LF</t>
        </is>
      </c>
      <c r="E14" s="18" t="n">
        <v>2.85</v>
      </c>
      <c r="F14" s="18">
        <f>C14*E14</f>
        <v/>
      </c>
      <c r="G14" s="10" t="inlineStr"/>
    </row>
    <row r="15">
      <c r="A15" s="16" t="inlineStr">
        <is>
          <t>23 07 19</t>
        </is>
      </c>
      <c r="B15" s="10" t="inlineStr">
        <is>
          <t>Pipe insulation — fiberglass, 2" pipe</t>
        </is>
      </c>
      <c r="C15" s="17" t="n">
        <v>0</v>
      </c>
      <c r="D15" s="16" t="inlineStr">
        <is>
          <t>LF</t>
        </is>
      </c>
      <c r="E15" s="18" t="n">
        <v>4.2</v>
      </c>
      <c r="F15" s="18">
        <f>C15*E15</f>
        <v/>
      </c>
      <c r="G15" s="10" t="inlineStr"/>
    </row>
    <row r="16">
      <c r="A16" s="16" t="inlineStr">
        <is>
          <t>23 07 19</t>
        </is>
      </c>
      <c r="B16" s="10" t="inlineStr">
        <is>
          <t>Pipe insulation — fiberglass, 4" pipe</t>
        </is>
      </c>
      <c r="C16" s="17" t="n">
        <v>0</v>
      </c>
      <c r="D16" s="16" t="inlineStr">
        <is>
          <t>LF</t>
        </is>
      </c>
      <c r="E16" s="18" t="n">
        <v>7.85</v>
      </c>
      <c r="F16" s="18">
        <f>C16*E16</f>
        <v/>
      </c>
      <c r="G16" s="10" t="inlineStr"/>
    </row>
    <row r="17">
      <c r="A17" s="16" t="inlineStr">
        <is>
          <t>23 07 19</t>
        </is>
      </c>
      <c r="B17" s="10" t="inlineStr">
        <is>
          <t>Pipe insulation — Armaflex, 1" pipe</t>
        </is>
      </c>
      <c r="C17" s="17" t="n">
        <v>0</v>
      </c>
      <c r="D17" s="16" t="inlineStr">
        <is>
          <t>LF</t>
        </is>
      </c>
      <c r="E17" s="18" t="n">
        <v>3.85</v>
      </c>
      <c r="F17" s="18">
        <f>C17*E17</f>
        <v/>
      </c>
      <c r="G17" s="10" t="inlineStr"/>
    </row>
    <row r="18">
      <c r="A18" s="16" t="inlineStr">
        <is>
          <t>23 09 13</t>
        </is>
      </c>
      <c r="B18" s="10" t="inlineStr">
        <is>
          <t>BAS controller — VAV box</t>
        </is>
      </c>
      <c r="C18" s="17" t="n">
        <v>0</v>
      </c>
      <c r="D18" s="16" t="inlineStr">
        <is>
          <t>EA</t>
        </is>
      </c>
      <c r="E18" s="18" t="n">
        <v>485</v>
      </c>
      <c r="F18" s="18">
        <f>C18*E18</f>
        <v/>
      </c>
      <c r="G18" s="10" t="inlineStr"/>
    </row>
    <row r="19">
      <c r="A19" s="16" t="inlineStr">
        <is>
          <t>23 09 13</t>
        </is>
      </c>
      <c r="B19" s="10" t="inlineStr">
        <is>
          <t>BAS controller — AHU controller</t>
        </is>
      </c>
      <c r="C19" s="17" t="n">
        <v>0</v>
      </c>
      <c r="D19" s="16" t="inlineStr">
        <is>
          <t>EA</t>
        </is>
      </c>
      <c r="E19" s="18" t="n">
        <v>1450</v>
      </c>
      <c r="F19" s="18">
        <f>C19*E19</f>
        <v/>
      </c>
      <c r="G19" s="10" t="inlineStr"/>
    </row>
    <row r="20">
      <c r="A20" s="16" t="inlineStr">
        <is>
          <t>23 09 23</t>
        </is>
      </c>
      <c r="B20" s="10" t="inlineStr">
        <is>
          <t>Direct Digital Control (DDC) panel — 32-pt</t>
        </is>
      </c>
      <c r="C20" s="17" t="n">
        <v>0</v>
      </c>
      <c r="D20" s="16" t="inlineStr">
        <is>
          <t>EA</t>
        </is>
      </c>
      <c r="E20" s="18" t="n">
        <v>3850</v>
      </c>
      <c r="F20" s="18">
        <f>C20*E20</f>
        <v/>
      </c>
      <c r="G20" s="10" t="inlineStr"/>
    </row>
    <row r="21">
      <c r="A21" s="16" t="inlineStr">
        <is>
          <t>23 09 33</t>
        </is>
      </c>
      <c r="B21" s="10" t="inlineStr">
        <is>
          <t>Thermostat — programmable</t>
        </is>
      </c>
      <c r="C21" s="17" t="n">
        <v>0</v>
      </c>
      <c r="D21" s="16" t="inlineStr">
        <is>
          <t>EA</t>
        </is>
      </c>
      <c r="E21" s="18" t="n">
        <v>145</v>
      </c>
      <c r="F21" s="18">
        <f>C21*E21</f>
        <v/>
      </c>
      <c r="G21" s="10" t="inlineStr"/>
    </row>
    <row r="22">
      <c r="A22" s="16" t="inlineStr">
        <is>
          <t>23 09 33</t>
        </is>
      </c>
      <c r="B22" s="10" t="inlineStr">
        <is>
          <t>Thermostat — networked, BAS</t>
        </is>
      </c>
      <c r="C22" s="17" t="n">
        <v>0</v>
      </c>
      <c r="D22" s="16" t="inlineStr">
        <is>
          <t>EA</t>
        </is>
      </c>
      <c r="E22" s="18" t="n">
        <v>385</v>
      </c>
      <c r="F22" s="18">
        <f>C22*E22</f>
        <v/>
      </c>
      <c r="G22" s="10" t="inlineStr"/>
    </row>
    <row r="23">
      <c r="A23" s="16" t="inlineStr">
        <is>
          <t>23 09 33</t>
        </is>
      </c>
      <c r="B23" s="10" t="inlineStr">
        <is>
          <t>Sensor — temperature, duct-mount</t>
        </is>
      </c>
      <c r="C23" s="17" t="n">
        <v>0</v>
      </c>
      <c r="D23" s="16" t="inlineStr">
        <is>
          <t>EA</t>
        </is>
      </c>
      <c r="E23" s="18" t="n">
        <v>65</v>
      </c>
      <c r="F23" s="18">
        <f>C23*E23</f>
        <v/>
      </c>
      <c r="G23" s="10" t="inlineStr"/>
    </row>
    <row r="24">
      <c r="A24" s="16" t="inlineStr">
        <is>
          <t>23 09 33</t>
        </is>
      </c>
      <c r="B24" s="10" t="inlineStr">
        <is>
          <t>Sensor — pressure, differential</t>
        </is>
      </c>
      <c r="C24" s="17" t="n">
        <v>0</v>
      </c>
      <c r="D24" s="16" t="inlineStr">
        <is>
          <t>EA</t>
        </is>
      </c>
      <c r="E24" s="18" t="n">
        <v>185</v>
      </c>
      <c r="F24" s="18">
        <f>C24*E24</f>
        <v/>
      </c>
      <c r="G24" s="10" t="inlineStr"/>
    </row>
    <row r="25">
      <c r="A25" s="16" t="inlineStr">
        <is>
          <t>23 09 33</t>
        </is>
      </c>
      <c r="B25" s="10" t="inlineStr">
        <is>
          <t>Sensor — CO2 / IAQ</t>
        </is>
      </c>
      <c r="C25" s="17" t="n">
        <v>0</v>
      </c>
      <c r="D25" s="16" t="inlineStr">
        <is>
          <t>EA</t>
        </is>
      </c>
      <c r="E25" s="18" t="n">
        <v>285</v>
      </c>
      <c r="F25" s="18">
        <f>C25*E25</f>
        <v/>
      </c>
      <c r="G25" s="10" t="inlineStr"/>
    </row>
    <row r="26">
      <c r="A26" s="16" t="inlineStr">
        <is>
          <t>23 11 13</t>
        </is>
      </c>
      <c r="B26" s="10" t="inlineStr">
        <is>
          <t>Fuel oil tank — 275 gal indoor</t>
        </is>
      </c>
      <c r="C26" s="17" t="n">
        <v>0</v>
      </c>
      <c r="D26" s="16" t="inlineStr">
        <is>
          <t>EA</t>
        </is>
      </c>
      <c r="E26" s="18" t="n">
        <v>1850</v>
      </c>
      <c r="F26" s="18">
        <f>C26*E26</f>
        <v/>
      </c>
      <c r="G26" s="10" t="inlineStr"/>
    </row>
    <row r="27">
      <c r="A27" s="16" t="inlineStr">
        <is>
          <t>23 11 23</t>
        </is>
      </c>
      <c r="B27" s="10" t="inlineStr">
        <is>
          <t>Natural gas piping — black iron 1"</t>
        </is>
      </c>
      <c r="C27" s="17" t="n">
        <v>0</v>
      </c>
      <c r="D27" s="16" t="inlineStr">
        <is>
          <t>LF</t>
        </is>
      </c>
      <c r="E27" s="18" t="n">
        <v>8.5</v>
      </c>
      <c r="F27" s="18">
        <f>C27*E27</f>
        <v/>
      </c>
      <c r="G27" s="10" t="inlineStr"/>
    </row>
    <row r="28">
      <c r="A28" s="16" t="inlineStr">
        <is>
          <t>23 11 23</t>
        </is>
      </c>
      <c r="B28" s="10" t="inlineStr">
        <is>
          <t>Natural gas piping — black iron 2"</t>
        </is>
      </c>
      <c r="C28" s="17" t="n">
        <v>0</v>
      </c>
      <c r="D28" s="16" t="inlineStr">
        <is>
          <t>LF</t>
        </is>
      </c>
      <c r="E28" s="18" t="n">
        <v>16.5</v>
      </c>
      <c r="F28" s="18">
        <f>C28*E28</f>
        <v/>
      </c>
      <c r="G28" s="10" t="inlineStr"/>
    </row>
    <row r="29">
      <c r="A29" s="16" t="inlineStr">
        <is>
          <t>23 21 13</t>
        </is>
      </c>
      <c r="B29" s="10" t="inlineStr">
        <is>
          <t>Hydronic — copper Type L, 3/4"</t>
        </is>
      </c>
      <c r="C29" s="17" t="n">
        <v>0</v>
      </c>
      <c r="D29" s="16" t="inlineStr">
        <is>
          <t>LF</t>
        </is>
      </c>
      <c r="E29" s="18" t="n">
        <v>6.85</v>
      </c>
      <c r="F29" s="18">
        <f>C29*E29</f>
        <v/>
      </c>
      <c r="G29" s="10" t="inlineStr"/>
    </row>
    <row r="30">
      <c r="A30" s="16" t="inlineStr">
        <is>
          <t>23 21 13</t>
        </is>
      </c>
      <c r="B30" s="10" t="inlineStr">
        <is>
          <t>Hydronic — copper Type L, 1"</t>
        </is>
      </c>
      <c r="C30" s="17" t="n">
        <v>0</v>
      </c>
      <c r="D30" s="16" t="inlineStr">
        <is>
          <t>LF</t>
        </is>
      </c>
      <c r="E30" s="18" t="n">
        <v>9.4</v>
      </c>
      <c r="F30" s="18">
        <f>C30*E30</f>
        <v/>
      </c>
      <c r="G30" s="10" t="inlineStr"/>
    </row>
    <row r="31">
      <c r="A31" s="16" t="inlineStr">
        <is>
          <t>23 21 13</t>
        </is>
      </c>
      <c r="B31" s="10" t="inlineStr">
        <is>
          <t>Hydronic — copper Type L, 2"</t>
        </is>
      </c>
      <c r="C31" s="17" t="n">
        <v>0</v>
      </c>
      <c r="D31" s="16" t="inlineStr">
        <is>
          <t>LF</t>
        </is>
      </c>
      <c r="E31" s="18" t="n">
        <v>18.5</v>
      </c>
      <c r="F31" s="18">
        <f>C31*E31</f>
        <v/>
      </c>
      <c r="G31" s="10" t="inlineStr"/>
    </row>
    <row r="32">
      <c r="A32" s="16" t="inlineStr">
        <is>
          <t>23 21 13</t>
        </is>
      </c>
      <c r="B32" s="10" t="inlineStr">
        <is>
          <t>Hydronic — black steel, 2"</t>
        </is>
      </c>
      <c r="C32" s="17" t="n">
        <v>0</v>
      </c>
      <c r="D32" s="16" t="inlineStr">
        <is>
          <t>LF</t>
        </is>
      </c>
      <c r="E32" s="18" t="n">
        <v>8.5</v>
      </c>
      <c r="F32" s="18">
        <f>C32*E32</f>
        <v/>
      </c>
      <c r="G32" s="10" t="inlineStr"/>
    </row>
    <row r="33">
      <c r="A33" s="16" t="inlineStr">
        <is>
          <t>23 21 13</t>
        </is>
      </c>
      <c r="B33" s="10" t="inlineStr">
        <is>
          <t>Hydronic — black steel, 4"</t>
        </is>
      </c>
      <c r="C33" s="17" t="n">
        <v>0</v>
      </c>
      <c r="D33" s="16" t="inlineStr">
        <is>
          <t>LF</t>
        </is>
      </c>
      <c r="E33" s="18" t="n">
        <v>18.85</v>
      </c>
      <c r="F33" s="18">
        <f>C33*E33</f>
        <v/>
      </c>
      <c r="G33" s="10" t="inlineStr"/>
    </row>
    <row r="34">
      <c r="A34" s="16" t="inlineStr">
        <is>
          <t>23 21 13</t>
        </is>
      </c>
      <c r="B34" s="10" t="inlineStr">
        <is>
          <t>Hydronic — PEX-A w/ oxygen barrier, 1"</t>
        </is>
      </c>
      <c r="C34" s="17" t="n">
        <v>0</v>
      </c>
      <c r="D34" s="16" t="inlineStr">
        <is>
          <t>LF</t>
        </is>
      </c>
      <c r="E34" s="18" t="n">
        <v>1.85</v>
      </c>
      <c r="F34" s="18">
        <f>C34*E34</f>
        <v/>
      </c>
      <c r="G34" s="10" t="inlineStr"/>
    </row>
    <row r="35">
      <c r="A35" s="16" t="inlineStr">
        <is>
          <t>23 21 16</t>
        </is>
      </c>
      <c r="B35" s="10" t="inlineStr">
        <is>
          <t>Hydronic — pre-insulated underground</t>
        </is>
      </c>
      <c r="C35" s="17" t="n">
        <v>0</v>
      </c>
      <c r="D35" s="16" t="inlineStr">
        <is>
          <t>LF</t>
        </is>
      </c>
      <c r="E35" s="18" t="n">
        <v>38</v>
      </c>
      <c r="F35" s="18">
        <f>C35*E35</f>
        <v/>
      </c>
      <c r="G35" s="10" t="inlineStr"/>
    </row>
    <row r="36">
      <c r="A36" s="16" t="inlineStr">
        <is>
          <t>23 21 23</t>
        </is>
      </c>
      <c r="B36" s="10" t="inlineStr">
        <is>
          <t>Circulator pump — 1/12 HP inline</t>
        </is>
      </c>
      <c r="C36" s="17" t="n">
        <v>0</v>
      </c>
      <c r="D36" s="16" t="inlineStr">
        <is>
          <t>EA</t>
        </is>
      </c>
      <c r="E36" s="18" t="n">
        <v>285</v>
      </c>
      <c r="F36" s="18">
        <f>C36*E36</f>
        <v/>
      </c>
      <c r="G36" s="10" t="inlineStr"/>
    </row>
    <row r="37">
      <c r="A37" s="16" t="inlineStr">
        <is>
          <t>23 21 23</t>
        </is>
      </c>
      <c r="B37" s="10" t="inlineStr">
        <is>
          <t>Circulator pump — 1 HP base-mounted</t>
        </is>
      </c>
      <c r="C37" s="17" t="n">
        <v>0</v>
      </c>
      <c r="D37" s="16" t="inlineStr">
        <is>
          <t>EA</t>
        </is>
      </c>
      <c r="E37" s="18" t="n">
        <v>1450</v>
      </c>
      <c r="F37" s="18">
        <f>C37*E37</f>
        <v/>
      </c>
      <c r="G37" s="10" t="inlineStr"/>
    </row>
    <row r="38">
      <c r="A38" s="16" t="inlineStr">
        <is>
          <t>23 21 23</t>
        </is>
      </c>
      <c r="B38" s="10" t="inlineStr">
        <is>
          <t>End-suction pump — 5 HP</t>
        </is>
      </c>
      <c r="C38" s="17" t="n">
        <v>0</v>
      </c>
      <c r="D38" s="16" t="inlineStr">
        <is>
          <t>EA</t>
        </is>
      </c>
      <c r="E38" s="18" t="n">
        <v>3850</v>
      </c>
      <c r="F38" s="18">
        <f>C38*E38</f>
        <v/>
      </c>
      <c r="G38" s="10" t="inlineStr"/>
    </row>
    <row r="39">
      <c r="A39" s="16" t="inlineStr">
        <is>
          <t>23 21 29</t>
        </is>
      </c>
      <c r="B39" s="10" t="inlineStr">
        <is>
          <t>Expansion tank — 30 gal</t>
        </is>
      </c>
      <c r="C39" s="17" t="n">
        <v>0</v>
      </c>
      <c r="D39" s="16" t="inlineStr">
        <is>
          <t>EA</t>
        </is>
      </c>
      <c r="E39" s="18" t="n">
        <v>485</v>
      </c>
      <c r="F39" s="18">
        <f>C39*E39</f>
        <v/>
      </c>
      <c r="G39" s="10" t="inlineStr"/>
    </row>
    <row r="40">
      <c r="A40" s="16" t="inlineStr">
        <is>
          <t>23 21 29</t>
        </is>
      </c>
      <c r="B40" s="10" t="inlineStr">
        <is>
          <t>Air separator — 4"</t>
        </is>
      </c>
      <c r="C40" s="17" t="n">
        <v>0</v>
      </c>
      <c r="D40" s="16" t="inlineStr">
        <is>
          <t>EA</t>
        </is>
      </c>
      <c r="E40" s="18" t="n">
        <v>685</v>
      </c>
      <c r="F40" s="18">
        <f>C40*E40</f>
        <v/>
      </c>
      <c r="G40" s="10" t="inlineStr"/>
    </row>
    <row r="41">
      <c r="A41" s="16" t="inlineStr">
        <is>
          <t>23 22 13</t>
        </is>
      </c>
      <c r="B41" s="10" t="inlineStr">
        <is>
          <t>Steam piping — black steel, 2"</t>
        </is>
      </c>
      <c r="C41" s="17" t="n">
        <v>0</v>
      </c>
      <c r="D41" s="16" t="inlineStr">
        <is>
          <t>LF</t>
        </is>
      </c>
      <c r="E41" s="18" t="n">
        <v>10.85</v>
      </c>
      <c r="F41" s="18">
        <f>C41*E41</f>
        <v/>
      </c>
      <c r="G41" s="10" t="inlineStr"/>
    </row>
    <row r="42">
      <c r="A42" s="16" t="inlineStr">
        <is>
          <t>23 22 16</t>
        </is>
      </c>
      <c r="B42" s="10" t="inlineStr">
        <is>
          <t>Steam trap — F&amp;T 3/4"</t>
        </is>
      </c>
      <c r="C42" s="17" t="n">
        <v>0</v>
      </c>
      <c r="D42" s="16" t="inlineStr">
        <is>
          <t>EA</t>
        </is>
      </c>
      <c r="E42" s="18" t="n">
        <v>285</v>
      </c>
      <c r="F42" s="18">
        <f>C42*E42</f>
        <v/>
      </c>
      <c r="G42" s="10" t="inlineStr"/>
    </row>
    <row r="43">
      <c r="A43" s="16" t="inlineStr">
        <is>
          <t>23 25 13</t>
        </is>
      </c>
      <c r="B43" s="10" t="inlineStr">
        <is>
          <t>Glycol fill (per gallon)</t>
        </is>
      </c>
      <c r="C43" s="17" t="n">
        <v>0</v>
      </c>
      <c r="D43" s="16" t="inlineStr">
        <is>
          <t>GAL</t>
        </is>
      </c>
      <c r="E43" s="18" t="n">
        <v>18.5</v>
      </c>
      <c r="F43" s="18">
        <f>C43*E43</f>
        <v/>
      </c>
      <c r="G43" s="10" t="inlineStr"/>
    </row>
    <row r="44">
      <c r="A44" s="16" t="inlineStr">
        <is>
          <t>23 25 13</t>
        </is>
      </c>
      <c r="B44" s="10" t="inlineStr">
        <is>
          <t>Chemical pot feeder</t>
        </is>
      </c>
      <c r="C44" s="17" t="n">
        <v>0</v>
      </c>
      <c r="D44" s="16" t="inlineStr">
        <is>
          <t>EA</t>
        </is>
      </c>
      <c r="E44" s="18" t="n">
        <v>485</v>
      </c>
      <c r="F44" s="18">
        <f>C44*E44</f>
        <v/>
      </c>
      <c r="G44" s="10" t="inlineStr"/>
    </row>
    <row r="45">
      <c r="A45" s="16" t="inlineStr">
        <is>
          <t>23 31 13</t>
        </is>
      </c>
      <c r="B45" s="10" t="inlineStr">
        <is>
          <t>Galvanized rectangular duct — 24ga</t>
        </is>
      </c>
      <c r="C45" s="17" t="n">
        <v>0</v>
      </c>
      <c r="D45" s="16" t="inlineStr">
        <is>
          <t>SF</t>
        </is>
      </c>
      <c r="E45" s="18" t="n">
        <v>8.5</v>
      </c>
      <c r="F45" s="18">
        <f>C45*E45</f>
        <v/>
      </c>
      <c r="G45" s="10" t="inlineStr"/>
    </row>
    <row r="46">
      <c r="A46" s="16" t="inlineStr">
        <is>
          <t>23 31 13</t>
        </is>
      </c>
      <c r="B46" s="10" t="inlineStr">
        <is>
          <t>Galvanized rectangular duct — 22ga</t>
        </is>
      </c>
      <c r="C46" s="17" t="n">
        <v>0</v>
      </c>
      <c r="D46" s="16" t="inlineStr">
        <is>
          <t>SF</t>
        </is>
      </c>
      <c r="E46" s="18" t="n">
        <v>9.85</v>
      </c>
      <c r="F46" s="18">
        <f>C46*E46</f>
        <v/>
      </c>
      <c r="G46" s="10" t="inlineStr"/>
    </row>
    <row r="47">
      <c r="A47" s="16" t="inlineStr">
        <is>
          <t>23 31 13</t>
        </is>
      </c>
      <c r="B47" s="10" t="inlineStr">
        <is>
          <t>Galvanized rectangular duct — 20ga</t>
        </is>
      </c>
      <c r="C47" s="17" t="n">
        <v>0</v>
      </c>
      <c r="D47" s="16" t="inlineStr">
        <is>
          <t>SF</t>
        </is>
      </c>
      <c r="E47" s="18" t="n">
        <v>11.5</v>
      </c>
      <c r="F47" s="18">
        <f>C47*E47</f>
        <v/>
      </c>
      <c r="G47" s="10" t="inlineStr"/>
    </row>
    <row r="48">
      <c r="A48" s="16" t="inlineStr">
        <is>
          <t>23 31 13</t>
        </is>
      </c>
      <c r="B48" s="10" t="inlineStr">
        <is>
          <t>Galvanized round duct — spiral, 24ga</t>
        </is>
      </c>
      <c r="C48" s="17" t="n">
        <v>0</v>
      </c>
      <c r="D48" s="16" t="inlineStr">
        <is>
          <t>SF</t>
        </is>
      </c>
      <c r="E48" s="18" t="n">
        <v>7.5</v>
      </c>
      <c r="F48" s="18">
        <f>C48*E48</f>
        <v/>
      </c>
      <c r="G48" s="10" t="inlineStr"/>
    </row>
    <row r="49">
      <c r="A49" s="16" t="inlineStr">
        <is>
          <t>23 31 13</t>
        </is>
      </c>
      <c r="B49" s="10" t="inlineStr">
        <is>
          <t>Galvanized round duct — spiral, 22ga</t>
        </is>
      </c>
      <c r="C49" s="17" t="n">
        <v>0</v>
      </c>
      <c r="D49" s="16" t="inlineStr">
        <is>
          <t>SF</t>
        </is>
      </c>
      <c r="E49" s="18" t="n">
        <v>8.85</v>
      </c>
      <c r="F49" s="18">
        <f>C49*E49</f>
        <v/>
      </c>
      <c r="G49" s="10" t="inlineStr"/>
    </row>
    <row r="50">
      <c r="A50" s="16" t="inlineStr">
        <is>
          <t>23 31 16</t>
        </is>
      </c>
      <c r="B50" s="10" t="inlineStr">
        <is>
          <t>Stainless steel duct — 22ga (kitchen exhaust)</t>
        </is>
      </c>
      <c r="C50" s="17" t="n">
        <v>0</v>
      </c>
      <c r="D50" s="16" t="inlineStr">
        <is>
          <t>SF</t>
        </is>
      </c>
      <c r="E50" s="18" t="n">
        <v>28.5</v>
      </c>
      <c r="F50" s="18">
        <f>C50*E50</f>
        <v/>
      </c>
      <c r="G50" s="10" t="inlineStr"/>
    </row>
    <row r="51">
      <c r="A51" s="16" t="inlineStr">
        <is>
          <t>23 31 19</t>
        </is>
      </c>
      <c r="B51" s="10" t="inlineStr">
        <is>
          <t>Flex duct — insulated, 6"</t>
        </is>
      </c>
      <c r="C51" s="17" t="n">
        <v>0</v>
      </c>
      <c r="D51" s="16" t="inlineStr">
        <is>
          <t>LF</t>
        </is>
      </c>
      <c r="E51" s="18" t="n">
        <v>4.85</v>
      </c>
      <c r="F51" s="18">
        <f>C51*E51</f>
        <v/>
      </c>
      <c r="G51" s="10" t="inlineStr"/>
    </row>
    <row r="52">
      <c r="A52" s="16" t="inlineStr">
        <is>
          <t>23 31 19</t>
        </is>
      </c>
      <c r="B52" s="10" t="inlineStr">
        <is>
          <t>Flex duct — insulated, 12"</t>
        </is>
      </c>
      <c r="C52" s="17" t="n">
        <v>0</v>
      </c>
      <c r="D52" s="16" t="inlineStr">
        <is>
          <t>LF</t>
        </is>
      </c>
      <c r="E52" s="18" t="n">
        <v>9.85</v>
      </c>
      <c r="F52" s="18">
        <f>C52*E52</f>
        <v/>
      </c>
      <c r="G52" s="10" t="inlineStr"/>
    </row>
    <row r="53">
      <c r="A53" s="16" t="inlineStr">
        <is>
          <t>23 33 13</t>
        </is>
      </c>
      <c r="B53" s="10" t="inlineStr">
        <is>
          <t>Volume damper — manual, 12"</t>
        </is>
      </c>
      <c r="C53" s="17" t="n">
        <v>0</v>
      </c>
      <c r="D53" s="16" t="inlineStr">
        <is>
          <t>EA</t>
        </is>
      </c>
      <c r="E53" s="18" t="n">
        <v>85</v>
      </c>
      <c r="F53" s="18">
        <f>C53*E53</f>
        <v/>
      </c>
      <c r="G53" s="10" t="inlineStr"/>
    </row>
    <row r="54">
      <c r="A54" s="16" t="inlineStr">
        <is>
          <t>23 33 13</t>
        </is>
      </c>
      <c r="B54" s="10" t="inlineStr">
        <is>
          <t>Motorized damper — 24V actuator, 12"</t>
        </is>
      </c>
      <c r="C54" s="17" t="n">
        <v>0</v>
      </c>
      <c r="D54" s="16" t="inlineStr">
        <is>
          <t>EA</t>
        </is>
      </c>
      <c r="E54" s="18" t="n">
        <v>385</v>
      </c>
      <c r="F54" s="18">
        <f>C54*E54</f>
        <v/>
      </c>
      <c r="G54" s="10" t="inlineStr"/>
    </row>
    <row r="55">
      <c r="A55" s="16" t="inlineStr">
        <is>
          <t>23 33 33</t>
        </is>
      </c>
      <c r="B55" s="10" t="inlineStr">
        <is>
          <t>Fire damper — 1.5-hr UL listed, 12"</t>
        </is>
      </c>
      <c r="C55" s="17" t="n">
        <v>0</v>
      </c>
      <c r="D55" s="16" t="inlineStr">
        <is>
          <t>EA</t>
        </is>
      </c>
      <c r="E55" s="18" t="n">
        <v>285</v>
      </c>
      <c r="F55" s="18">
        <f>C55*E55</f>
        <v/>
      </c>
      <c r="G55" s="10" t="inlineStr"/>
    </row>
    <row r="56">
      <c r="A56" s="16" t="inlineStr">
        <is>
          <t>23 33 33</t>
        </is>
      </c>
      <c r="B56" s="10" t="inlineStr">
        <is>
          <t>Smoke damper — UL 555S, 12"</t>
        </is>
      </c>
      <c r="C56" s="17" t="n">
        <v>0</v>
      </c>
      <c r="D56" s="16" t="inlineStr">
        <is>
          <t>EA</t>
        </is>
      </c>
      <c r="E56" s="18" t="n">
        <v>485</v>
      </c>
      <c r="F56" s="18">
        <f>C56*E56</f>
        <v/>
      </c>
      <c r="G56" s="10" t="inlineStr"/>
    </row>
    <row r="57">
      <c r="A57" s="16" t="inlineStr">
        <is>
          <t>23 33 33</t>
        </is>
      </c>
      <c r="B57" s="10" t="inlineStr">
        <is>
          <t>Combination fire / smoke damper, 12"</t>
        </is>
      </c>
      <c r="C57" s="17" t="n">
        <v>0</v>
      </c>
      <c r="D57" s="16" t="inlineStr">
        <is>
          <t>EA</t>
        </is>
      </c>
      <c r="E57" s="18" t="n">
        <v>685</v>
      </c>
      <c r="F57" s="18">
        <f>C57*E57</f>
        <v/>
      </c>
      <c r="G57" s="10" t="inlineStr"/>
    </row>
    <row r="58">
      <c r="A58" s="16" t="inlineStr">
        <is>
          <t>23 33 46</t>
        </is>
      </c>
      <c r="B58" s="10" t="inlineStr">
        <is>
          <t>Flexible duct connector</t>
        </is>
      </c>
      <c r="C58" s="17" t="n">
        <v>0</v>
      </c>
      <c r="D58" s="16" t="inlineStr">
        <is>
          <t>LF</t>
        </is>
      </c>
      <c r="E58" s="18" t="n">
        <v>14.5</v>
      </c>
      <c r="F58" s="18">
        <f>C58*E58</f>
        <v/>
      </c>
      <c r="G58" s="10" t="inlineStr"/>
    </row>
    <row r="59">
      <c r="A59" s="16" t="inlineStr">
        <is>
          <t>23 34 13</t>
        </is>
      </c>
      <c r="B59" s="10" t="inlineStr">
        <is>
          <t>Exhaust fan — inline 250 CFM</t>
        </is>
      </c>
      <c r="C59" s="17" t="n">
        <v>0</v>
      </c>
      <c r="D59" s="16" t="inlineStr">
        <is>
          <t>EA</t>
        </is>
      </c>
      <c r="E59" s="18" t="n">
        <v>485</v>
      </c>
      <c r="F59" s="18">
        <f>C59*E59</f>
        <v/>
      </c>
      <c r="G59" s="10" t="inlineStr"/>
    </row>
    <row r="60">
      <c r="A60" s="16" t="inlineStr">
        <is>
          <t>23 34 13</t>
        </is>
      </c>
      <c r="B60" s="10" t="inlineStr">
        <is>
          <t>Exhaust fan — roof-mount 500 CFM</t>
        </is>
      </c>
      <c r="C60" s="17" t="n">
        <v>0</v>
      </c>
      <c r="D60" s="16" t="inlineStr">
        <is>
          <t>EA</t>
        </is>
      </c>
      <c r="E60" s="18" t="n">
        <v>1485</v>
      </c>
      <c r="F60" s="18">
        <f>C60*E60</f>
        <v/>
      </c>
      <c r="G60" s="10" t="inlineStr"/>
    </row>
    <row r="61">
      <c r="A61" s="16" t="inlineStr">
        <is>
          <t>23 34 13</t>
        </is>
      </c>
      <c r="B61" s="10" t="inlineStr">
        <is>
          <t>Exhaust fan — kitchen hood 4000 CFM UL 762</t>
        </is>
      </c>
      <c r="C61" s="17" t="n">
        <v>0</v>
      </c>
      <c r="D61" s="16" t="inlineStr">
        <is>
          <t>EA</t>
        </is>
      </c>
      <c r="E61" s="18" t="n">
        <v>4850</v>
      </c>
      <c r="F61" s="18">
        <f>C61*E61</f>
        <v/>
      </c>
      <c r="G61" s="10" t="inlineStr"/>
    </row>
    <row r="62">
      <c r="A62" s="16" t="inlineStr">
        <is>
          <t>23 34 16</t>
        </is>
      </c>
      <c r="B62" s="10" t="inlineStr">
        <is>
          <t>Supply fan — inline 800 CFM</t>
        </is>
      </c>
      <c r="C62" s="17" t="n">
        <v>0</v>
      </c>
      <c r="D62" s="16" t="inlineStr">
        <is>
          <t>EA</t>
        </is>
      </c>
      <c r="E62" s="18" t="n">
        <v>685</v>
      </c>
      <c r="F62" s="18">
        <f>C62*E62</f>
        <v/>
      </c>
      <c r="G62" s="10" t="inlineStr"/>
    </row>
    <row r="63">
      <c r="A63" s="16" t="inlineStr">
        <is>
          <t>23 36 16</t>
        </is>
      </c>
      <c r="B63" s="10" t="inlineStr">
        <is>
          <t>VAV box — fan-powered 600 CFM</t>
        </is>
      </c>
      <c r="C63" s="17" t="n">
        <v>0</v>
      </c>
      <c r="D63" s="16" t="inlineStr">
        <is>
          <t>EA</t>
        </is>
      </c>
      <c r="E63" s="18" t="n">
        <v>1685</v>
      </c>
      <c r="F63" s="18">
        <f>C63*E63</f>
        <v/>
      </c>
      <c r="G63" s="10" t="inlineStr"/>
    </row>
    <row r="64">
      <c r="A64" s="16" t="inlineStr">
        <is>
          <t>23 36 16</t>
        </is>
      </c>
      <c r="B64" s="10" t="inlineStr">
        <is>
          <t>VAV box — single-duct 800 CFM</t>
        </is>
      </c>
      <c r="C64" s="17" t="n">
        <v>0</v>
      </c>
      <c r="D64" s="16" t="inlineStr">
        <is>
          <t>EA</t>
        </is>
      </c>
      <c r="E64" s="18" t="n">
        <v>1185</v>
      </c>
      <c r="F64" s="18">
        <f>C64*E64</f>
        <v/>
      </c>
      <c r="G64" s="10" t="inlineStr"/>
    </row>
    <row r="65">
      <c r="A65" s="16" t="inlineStr">
        <is>
          <t>23 36 16</t>
        </is>
      </c>
      <c r="B65" s="10" t="inlineStr">
        <is>
          <t>VAV box — single-duct 1200 CFM</t>
        </is>
      </c>
      <c r="C65" s="17" t="n">
        <v>0</v>
      </c>
      <c r="D65" s="16" t="inlineStr">
        <is>
          <t>EA</t>
        </is>
      </c>
      <c r="E65" s="18" t="n">
        <v>1485</v>
      </c>
      <c r="F65" s="18">
        <f>C65*E65</f>
        <v/>
      </c>
      <c r="G65" s="10" t="inlineStr"/>
    </row>
    <row r="66">
      <c r="A66" s="16" t="inlineStr">
        <is>
          <t>23 37 13</t>
        </is>
      </c>
      <c r="B66" s="10" t="inlineStr">
        <is>
          <t>Supply diffuser — 4-way, 24x24</t>
        </is>
      </c>
      <c r="C66" s="17" t="n">
        <v>0</v>
      </c>
      <c r="D66" s="16" t="inlineStr">
        <is>
          <t>EA</t>
        </is>
      </c>
      <c r="E66" s="18" t="n">
        <v>38.5</v>
      </c>
      <c r="F66" s="18">
        <f>C66*E66</f>
        <v/>
      </c>
      <c r="G66" s="10" t="inlineStr"/>
    </row>
    <row r="67">
      <c r="A67" s="16" t="inlineStr">
        <is>
          <t>23 37 13</t>
        </is>
      </c>
      <c r="B67" s="10" t="inlineStr">
        <is>
          <t>Return grille — 24x24</t>
        </is>
      </c>
      <c r="C67" s="17" t="n">
        <v>0</v>
      </c>
      <c r="D67" s="16" t="inlineStr">
        <is>
          <t>EA</t>
        </is>
      </c>
      <c r="E67" s="18" t="n">
        <v>22.5</v>
      </c>
      <c r="F67" s="18">
        <f>C67*E67</f>
        <v/>
      </c>
      <c r="G67" s="10" t="inlineStr"/>
    </row>
    <row r="68">
      <c r="A68" s="16" t="inlineStr">
        <is>
          <t>23 37 13</t>
        </is>
      </c>
      <c r="B68" s="10" t="inlineStr">
        <is>
          <t>Exhaust grille — 12x12</t>
        </is>
      </c>
      <c r="C68" s="17" t="n">
        <v>0</v>
      </c>
      <c r="D68" s="16" t="inlineStr">
        <is>
          <t>EA</t>
        </is>
      </c>
      <c r="E68" s="18" t="n">
        <v>14.5</v>
      </c>
      <c r="F68" s="18">
        <f>C68*E68</f>
        <v/>
      </c>
      <c r="G68" s="10" t="inlineStr"/>
    </row>
    <row r="69">
      <c r="A69" s="16" t="inlineStr">
        <is>
          <t>23 37 13</t>
        </is>
      </c>
      <c r="B69" s="10" t="inlineStr">
        <is>
          <t>Linear slot diffuser — 6 ft</t>
        </is>
      </c>
      <c r="C69" s="17" t="n">
        <v>0</v>
      </c>
      <c r="D69" s="16" t="inlineStr">
        <is>
          <t>EA</t>
        </is>
      </c>
      <c r="E69" s="18" t="n">
        <v>285</v>
      </c>
      <c r="F69" s="18">
        <f>C69*E69</f>
        <v/>
      </c>
      <c r="G69" s="10" t="inlineStr"/>
    </row>
    <row r="70">
      <c r="A70" s="16" t="inlineStr">
        <is>
          <t>23 41 13</t>
        </is>
      </c>
      <c r="B70" s="10" t="inlineStr">
        <is>
          <t>MERV 8 filter — 20x25x2</t>
        </is>
      </c>
      <c r="C70" s="17" t="n">
        <v>0</v>
      </c>
      <c r="D70" s="16" t="inlineStr">
        <is>
          <t>EA</t>
        </is>
      </c>
      <c r="E70" s="18" t="n">
        <v>9.5</v>
      </c>
      <c r="F70" s="18">
        <f>C70*E70</f>
        <v/>
      </c>
      <c r="G70" s="10" t="inlineStr"/>
    </row>
    <row r="71">
      <c r="A71" s="16" t="inlineStr">
        <is>
          <t>23 41 13</t>
        </is>
      </c>
      <c r="B71" s="10" t="inlineStr">
        <is>
          <t>MERV 13 filter — 20x25x4</t>
        </is>
      </c>
      <c r="C71" s="17" t="n">
        <v>0</v>
      </c>
      <c r="D71" s="16" t="inlineStr">
        <is>
          <t>EA</t>
        </is>
      </c>
      <c r="E71" s="18" t="n">
        <v>38.5</v>
      </c>
      <c r="F71" s="18">
        <f>C71*E71</f>
        <v/>
      </c>
      <c r="G71" s="10" t="inlineStr"/>
    </row>
    <row r="72">
      <c r="A72" s="16" t="inlineStr">
        <is>
          <t>23 41 13</t>
        </is>
      </c>
      <c r="B72" s="10" t="inlineStr">
        <is>
          <t>HEPA filter — 24x24x12 (hospital)</t>
        </is>
      </c>
      <c r="C72" s="17" t="n">
        <v>0</v>
      </c>
      <c r="D72" s="16" t="inlineStr">
        <is>
          <t>EA</t>
        </is>
      </c>
      <c r="E72" s="18" t="n">
        <v>285</v>
      </c>
      <c r="F72" s="18">
        <f>C72*E72</f>
        <v/>
      </c>
      <c r="G72" s="10" t="inlineStr"/>
    </row>
    <row r="73">
      <c r="A73" s="16" t="inlineStr">
        <is>
          <t>23 51 13</t>
        </is>
      </c>
      <c r="B73" s="10" t="inlineStr">
        <is>
          <t>B-vent — single wall 6"</t>
        </is>
      </c>
      <c r="C73" s="17" t="n">
        <v>0</v>
      </c>
      <c r="D73" s="16" t="inlineStr">
        <is>
          <t>LF</t>
        </is>
      </c>
      <c r="E73" s="18" t="n">
        <v>18.5</v>
      </c>
      <c r="F73" s="18">
        <f>C73*E73</f>
        <v/>
      </c>
      <c r="G73" s="10" t="inlineStr"/>
    </row>
    <row r="74">
      <c r="A74" s="16" t="inlineStr">
        <is>
          <t>23 51 13</t>
        </is>
      </c>
      <c r="B74" s="10" t="inlineStr">
        <is>
          <t>Stainless flue — 6"</t>
        </is>
      </c>
      <c r="C74" s="17" t="n">
        <v>0</v>
      </c>
      <c r="D74" s="16" t="inlineStr">
        <is>
          <t>LF</t>
        </is>
      </c>
      <c r="E74" s="18" t="n">
        <v>65</v>
      </c>
      <c r="F74" s="18">
        <f>C74*E74</f>
        <v/>
      </c>
      <c r="G74" s="10" t="inlineStr"/>
    </row>
    <row r="75">
      <c r="A75" s="16" t="inlineStr">
        <is>
          <t>23 52 13</t>
        </is>
      </c>
      <c r="B75" s="10" t="inlineStr">
        <is>
          <t>Gas-fired boiler — 500 MBH atmospheric</t>
        </is>
      </c>
      <c r="C75" s="17" t="n">
        <v>0</v>
      </c>
      <c r="D75" s="16" t="inlineStr">
        <is>
          <t>EA</t>
        </is>
      </c>
      <c r="E75" s="18" t="n">
        <v>5850</v>
      </c>
      <c r="F75" s="18">
        <f>C75*E75</f>
        <v/>
      </c>
      <c r="G75" s="10" t="inlineStr"/>
    </row>
    <row r="76">
      <c r="A76" s="16" t="inlineStr">
        <is>
          <t>23 52 16</t>
        </is>
      </c>
      <c r="B76" s="10" t="inlineStr">
        <is>
          <t>Gas-fired boiler — 1500 MBH condensing</t>
        </is>
      </c>
      <c r="C76" s="17" t="n">
        <v>0</v>
      </c>
      <c r="D76" s="16" t="inlineStr">
        <is>
          <t>EA</t>
        </is>
      </c>
      <c r="E76" s="18" t="n">
        <v>18500</v>
      </c>
      <c r="F76" s="18">
        <f>C76*E76</f>
        <v/>
      </c>
      <c r="G76" s="10" t="inlineStr"/>
    </row>
    <row r="77">
      <c r="A77" s="16" t="inlineStr">
        <is>
          <t>23 52 39</t>
        </is>
      </c>
      <c r="B77" s="10" t="inlineStr">
        <is>
          <t>Electric boiler — 30 kW</t>
        </is>
      </c>
      <c r="C77" s="17" t="n">
        <v>0</v>
      </c>
      <c r="D77" s="16" t="inlineStr">
        <is>
          <t>EA</t>
        </is>
      </c>
      <c r="E77" s="18" t="n">
        <v>6500</v>
      </c>
      <c r="F77" s="18">
        <f>C77*E77</f>
        <v/>
      </c>
      <c r="G77" s="10" t="inlineStr"/>
    </row>
    <row r="78">
      <c r="A78" s="16" t="inlineStr">
        <is>
          <t>23 54 13</t>
        </is>
      </c>
      <c r="B78" s="10" t="inlineStr">
        <is>
          <t>Furnace — gas, 80% AFUE 80 MBH</t>
        </is>
      </c>
      <c r="C78" s="17" t="n">
        <v>0</v>
      </c>
      <c r="D78" s="16" t="inlineStr">
        <is>
          <t>EA</t>
        </is>
      </c>
      <c r="E78" s="18" t="n">
        <v>1850</v>
      </c>
      <c r="F78" s="18">
        <f>C78*E78</f>
        <v/>
      </c>
      <c r="G78" s="10" t="inlineStr"/>
    </row>
    <row r="79">
      <c r="A79" s="16" t="inlineStr">
        <is>
          <t>23 54 16</t>
        </is>
      </c>
      <c r="B79" s="10" t="inlineStr">
        <is>
          <t>Furnace — gas, 96% AFUE 80 MBH</t>
        </is>
      </c>
      <c r="C79" s="17" t="n">
        <v>0</v>
      </c>
      <c r="D79" s="16" t="inlineStr">
        <is>
          <t>EA</t>
        </is>
      </c>
      <c r="E79" s="18" t="n">
        <v>2850</v>
      </c>
      <c r="F79" s="18">
        <f>C79*E79</f>
        <v/>
      </c>
      <c r="G79" s="10" t="inlineStr"/>
    </row>
    <row r="80">
      <c r="A80" s="16" t="inlineStr">
        <is>
          <t>23 57 13</t>
        </is>
      </c>
      <c r="B80" s="10" t="inlineStr">
        <is>
          <t>Plate-and-frame HX, 100 GPM</t>
        </is>
      </c>
      <c r="C80" s="17" t="n">
        <v>0</v>
      </c>
      <c r="D80" s="16" t="inlineStr">
        <is>
          <t>EA</t>
        </is>
      </c>
      <c r="E80" s="18" t="n">
        <v>4850</v>
      </c>
      <c r="F80" s="18">
        <f>C80*E80</f>
        <v/>
      </c>
      <c r="G80" s="10" t="inlineStr"/>
    </row>
    <row r="81">
      <c r="A81" s="16" t="inlineStr">
        <is>
          <t>23 62 13</t>
        </is>
      </c>
      <c r="B81" s="10" t="inlineStr">
        <is>
          <t>DX split — 3 ton outdoor unit</t>
        </is>
      </c>
      <c r="C81" s="17" t="n">
        <v>0</v>
      </c>
      <c r="D81" s="16" t="inlineStr">
        <is>
          <t>EA</t>
        </is>
      </c>
      <c r="E81" s="18" t="n">
        <v>2850</v>
      </c>
      <c r="F81" s="18">
        <f>C81*E81</f>
        <v/>
      </c>
      <c r="G81" s="10" t="inlineStr"/>
    </row>
    <row r="82">
      <c r="A82" s="16" t="inlineStr">
        <is>
          <t>23 62 13</t>
        </is>
      </c>
      <c r="B82" s="10" t="inlineStr">
        <is>
          <t>DX split — 5 ton outdoor unit</t>
        </is>
      </c>
      <c r="C82" s="17" t="n">
        <v>0</v>
      </c>
      <c r="D82" s="16" t="inlineStr">
        <is>
          <t>EA</t>
        </is>
      </c>
      <c r="E82" s="18" t="n">
        <v>4250</v>
      </c>
      <c r="F82" s="18">
        <f>C82*E82</f>
        <v/>
      </c>
      <c r="G82" s="10" t="inlineStr"/>
    </row>
    <row r="83">
      <c r="A83" s="16" t="inlineStr">
        <is>
          <t>23 62 13</t>
        </is>
      </c>
      <c r="B83" s="10" t="inlineStr">
        <is>
          <t>VRF outdoor — 10 ton</t>
        </is>
      </c>
      <c r="C83" s="17" t="n">
        <v>0</v>
      </c>
      <c r="D83" s="16" t="inlineStr">
        <is>
          <t>EA</t>
        </is>
      </c>
      <c r="E83" s="18" t="n">
        <v>18500</v>
      </c>
      <c r="F83" s="18">
        <f>C83*E83</f>
        <v/>
      </c>
      <c r="G83" s="10" t="inlineStr"/>
    </row>
    <row r="84">
      <c r="A84" s="16" t="inlineStr">
        <is>
          <t>23 62 13</t>
        </is>
      </c>
      <c r="B84" s="10" t="inlineStr">
        <is>
          <t>Mini-split outdoor — 18 MBH</t>
        </is>
      </c>
      <c r="C84" s="17" t="n">
        <v>0</v>
      </c>
      <c r="D84" s="16" t="inlineStr">
        <is>
          <t>EA</t>
        </is>
      </c>
      <c r="E84" s="18" t="n">
        <v>1685</v>
      </c>
      <c r="F84" s="18">
        <f>C84*E84</f>
        <v/>
      </c>
      <c r="G84" s="10" t="inlineStr"/>
    </row>
    <row r="85">
      <c r="A85" s="16" t="inlineStr">
        <is>
          <t>23 62 23</t>
        </is>
      </c>
      <c r="B85" s="10" t="inlineStr">
        <is>
          <t>Refrigerant piping — Type ACR copper 5/8"</t>
        </is>
      </c>
      <c r="C85" s="17" t="n">
        <v>0</v>
      </c>
      <c r="D85" s="16" t="inlineStr">
        <is>
          <t>LF</t>
        </is>
      </c>
      <c r="E85" s="18" t="n">
        <v>4.85</v>
      </c>
      <c r="F85" s="18">
        <f>C85*E85</f>
        <v/>
      </c>
      <c r="G85" s="10" t="inlineStr"/>
    </row>
    <row r="86">
      <c r="A86" s="16" t="inlineStr">
        <is>
          <t>23 62 23</t>
        </is>
      </c>
      <c r="B86" s="10" t="inlineStr">
        <is>
          <t>Refrigerant piping — Type ACR copper 7/8"</t>
        </is>
      </c>
      <c r="C86" s="17" t="n">
        <v>0</v>
      </c>
      <c r="D86" s="16" t="inlineStr">
        <is>
          <t>LF</t>
        </is>
      </c>
      <c r="E86" s="18" t="n">
        <v>7.85</v>
      </c>
      <c r="F86" s="18">
        <f>C86*E86</f>
        <v/>
      </c>
      <c r="G86" s="10" t="inlineStr"/>
    </row>
    <row r="87">
      <c r="A87" s="16" t="inlineStr">
        <is>
          <t>23 64 16</t>
        </is>
      </c>
      <c r="B87" s="10" t="inlineStr">
        <is>
          <t>Air-cooled chiller — 60 ton scroll</t>
        </is>
      </c>
      <c r="C87" s="17" t="n">
        <v>0</v>
      </c>
      <c r="D87" s="16" t="inlineStr">
        <is>
          <t>EA</t>
        </is>
      </c>
      <c r="E87" s="18" t="n">
        <v>38500</v>
      </c>
      <c r="F87" s="18">
        <f>C87*E87</f>
        <v/>
      </c>
      <c r="G87" s="10" t="inlineStr"/>
    </row>
    <row r="88">
      <c r="A88" s="16" t="inlineStr">
        <is>
          <t>23 64 19</t>
        </is>
      </c>
      <c r="B88" s="10" t="inlineStr">
        <is>
          <t>Water-cooled chiller — 200 ton centrifugal</t>
        </is>
      </c>
      <c r="C88" s="17" t="n">
        <v>0</v>
      </c>
      <c r="D88" s="16" t="inlineStr">
        <is>
          <t>EA</t>
        </is>
      </c>
      <c r="E88" s="18" t="n">
        <v>125000</v>
      </c>
      <c r="F88" s="18">
        <f>C88*E88</f>
        <v/>
      </c>
      <c r="G88" s="10" t="inlineStr"/>
    </row>
    <row r="89">
      <c r="A89" s="16" t="inlineStr">
        <is>
          <t>23 65 13</t>
        </is>
      </c>
      <c r="B89" s="10" t="inlineStr">
        <is>
          <t>Cooling tower — 200 ton crossflow</t>
        </is>
      </c>
      <c r="C89" s="17" t="n">
        <v>0</v>
      </c>
      <c r="D89" s="16" t="inlineStr">
        <is>
          <t>EA</t>
        </is>
      </c>
      <c r="E89" s="18" t="n">
        <v>38500</v>
      </c>
      <c r="F89" s="18">
        <f>C89*E89</f>
        <v/>
      </c>
      <c r="G89" s="10" t="inlineStr"/>
    </row>
    <row r="90">
      <c r="A90" s="16" t="inlineStr">
        <is>
          <t>23 72 13</t>
        </is>
      </c>
      <c r="B90" s="10" t="inlineStr">
        <is>
          <t>ERV — 1000 CFM packaged</t>
        </is>
      </c>
      <c r="C90" s="17" t="n">
        <v>0</v>
      </c>
      <c r="D90" s="16" t="inlineStr">
        <is>
          <t>EA</t>
        </is>
      </c>
      <c r="E90" s="18" t="n">
        <v>6850</v>
      </c>
      <c r="F90" s="18">
        <f>C90*E90</f>
        <v/>
      </c>
      <c r="G90" s="10" t="inlineStr"/>
    </row>
    <row r="91">
      <c r="A91" s="16" t="inlineStr">
        <is>
          <t>23 73 13</t>
        </is>
      </c>
      <c r="B91" s="10" t="inlineStr">
        <is>
          <t>Indoor AHU — 3000 CFM packaged</t>
        </is>
      </c>
      <c r="C91" s="17" t="n">
        <v>0</v>
      </c>
      <c r="D91" s="16" t="inlineStr">
        <is>
          <t>EA</t>
        </is>
      </c>
      <c r="E91" s="18" t="n">
        <v>9500</v>
      </c>
      <c r="F91" s="18">
        <f>C91*E91</f>
        <v/>
      </c>
      <c r="G91" s="10" t="inlineStr"/>
    </row>
    <row r="92">
      <c r="A92" s="16" t="inlineStr">
        <is>
          <t>23 73 13</t>
        </is>
      </c>
      <c r="B92" s="10" t="inlineStr">
        <is>
          <t>Indoor AHU — 8000 CFM custom-built-up</t>
        </is>
      </c>
      <c r="C92" s="17" t="n">
        <v>0</v>
      </c>
      <c r="D92" s="16" t="inlineStr">
        <is>
          <t>EA</t>
        </is>
      </c>
      <c r="E92" s="18" t="n">
        <v>24500</v>
      </c>
      <c r="F92" s="18">
        <f>C92*E92</f>
        <v/>
      </c>
      <c r="G92" s="10" t="inlineStr"/>
    </row>
    <row r="93">
      <c r="A93" s="16" t="inlineStr">
        <is>
          <t>23 73 23</t>
        </is>
      </c>
      <c r="B93" s="10" t="inlineStr">
        <is>
          <t>Rooftop unit — 5 ton packaged</t>
        </is>
      </c>
      <c r="C93" s="17" t="n">
        <v>0</v>
      </c>
      <c r="D93" s="16" t="inlineStr">
        <is>
          <t>EA</t>
        </is>
      </c>
      <c r="E93" s="18" t="n">
        <v>5850</v>
      </c>
      <c r="F93" s="18">
        <f>C93*E93</f>
        <v/>
      </c>
      <c r="G93" s="10" t="inlineStr"/>
    </row>
    <row r="94">
      <c r="A94" s="16" t="inlineStr">
        <is>
          <t>23 73 23</t>
        </is>
      </c>
      <c r="B94" s="10" t="inlineStr">
        <is>
          <t>Rooftop unit — 15 ton packaged</t>
        </is>
      </c>
      <c r="C94" s="17" t="n">
        <v>0</v>
      </c>
      <c r="D94" s="16" t="inlineStr">
        <is>
          <t>EA</t>
        </is>
      </c>
      <c r="E94" s="18" t="n">
        <v>18500</v>
      </c>
      <c r="F94" s="18">
        <f>C94*E94</f>
        <v/>
      </c>
      <c r="G94" s="10" t="inlineStr"/>
    </row>
    <row r="95">
      <c r="A95" s="16" t="inlineStr">
        <is>
          <t>23 73 23</t>
        </is>
      </c>
      <c r="B95" s="10" t="inlineStr">
        <is>
          <t>Rooftop unit — 25 ton packaged</t>
        </is>
      </c>
      <c r="C95" s="17" t="n">
        <v>0</v>
      </c>
      <c r="D95" s="16" t="inlineStr">
        <is>
          <t>EA</t>
        </is>
      </c>
      <c r="E95" s="18" t="n">
        <v>32500</v>
      </c>
      <c r="F95" s="18">
        <f>C95*E95</f>
        <v/>
      </c>
      <c r="G95" s="10" t="inlineStr"/>
    </row>
    <row r="96">
      <c r="A96" s="16" t="inlineStr">
        <is>
          <t>23 81 13</t>
        </is>
      </c>
      <c r="B96" s="10" t="inlineStr">
        <is>
          <t>Fan coil unit — vertical, 800 CFM</t>
        </is>
      </c>
      <c r="C96" s="17" t="n">
        <v>0</v>
      </c>
      <c r="D96" s="16" t="inlineStr">
        <is>
          <t>EA</t>
        </is>
      </c>
      <c r="E96" s="18" t="n">
        <v>1485</v>
      </c>
      <c r="F96" s="18">
        <f>C96*E96</f>
        <v/>
      </c>
      <c r="G96" s="10" t="inlineStr"/>
    </row>
    <row r="97">
      <c r="A97" s="16" t="inlineStr">
        <is>
          <t>23 81 23</t>
        </is>
      </c>
      <c r="B97" s="10" t="inlineStr">
        <is>
          <t>Ductless mini-split — 18 MBH indoor head</t>
        </is>
      </c>
      <c r="C97" s="17" t="n">
        <v>0</v>
      </c>
      <c r="D97" s="16" t="inlineStr">
        <is>
          <t>EA</t>
        </is>
      </c>
      <c r="E97" s="18" t="n">
        <v>485</v>
      </c>
      <c r="F97" s="18">
        <f>C97*E97</f>
        <v/>
      </c>
      <c r="G97" s="10" t="inlineStr"/>
    </row>
    <row r="98">
      <c r="A98" s="16" t="inlineStr">
        <is>
          <t>23 81 26</t>
        </is>
      </c>
      <c r="B98" s="10" t="inlineStr">
        <is>
          <t>Heat pump — 4 ton split outdoor unit</t>
        </is>
      </c>
      <c r="C98" s="17" t="n">
        <v>0</v>
      </c>
      <c r="D98" s="16" t="inlineStr">
        <is>
          <t>EA</t>
        </is>
      </c>
      <c r="E98" s="18" t="n">
        <v>4850</v>
      </c>
      <c r="F98" s="18">
        <f>C98*E98</f>
        <v/>
      </c>
      <c r="G98" s="10" t="inlineStr"/>
    </row>
    <row r="99">
      <c r="A99" s="16" t="inlineStr">
        <is>
          <t>23 83 13</t>
        </is>
      </c>
      <c r="B99" s="10" t="inlineStr">
        <is>
          <t>Radiant floor tubing — 1/2" PEX</t>
        </is>
      </c>
      <c r="C99" s="17" t="n">
        <v>0</v>
      </c>
      <c r="D99" s="16" t="inlineStr">
        <is>
          <t>LF</t>
        </is>
      </c>
      <c r="E99" s="18" t="n">
        <v>1.05</v>
      </c>
      <c r="F99" s="18">
        <f>C99*E99</f>
        <v/>
      </c>
      <c r="G99" s="10" t="inlineStr"/>
    </row>
    <row r="100">
      <c r="A100" s="16" t="inlineStr">
        <is>
          <t>23 83 13</t>
        </is>
      </c>
      <c r="B100" s="10" t="inlineStr">
        <is>
          <t>Radiant manifold — 6 loop</t>
        </is>
      </c>
      <c r="C100" s="17" t="n">
        <v>0</v>
      </c>
      <c r="D100" s="16" t="inlineStr">
        <is>
          <t>EA</t>
        </is>
      </c>
      <c r="E100" s="18" t="n">
        <v>685</v>
      </c>
      <c r="F100" s="18">
        <f>C100*E100</f>
        <v/>
      </c>
      <c r="G100" s="10" t="inlineStr"/>
    </row>
    <row r="101">
      <c r="A101" s="16" t="inlineStr">
        <is>
          <t>23 00 10</t>
        </is>
      </c>
      <c r="B101" s="10" t="inlineStr">
        <is>
          <t>Permit — mechanical</t>
        </is>
      </c>
      <c r="C101" s="17" t="n">
        <v>0</v>
      </c>
      <c r="D101" s="16" t="inlineStr">
        <is>
          <t>LS</t>
        </is>
      </c>
      <c r="E101" s="18" t="n">
        <v>0</v>
      </c>
      <c r="F101" s="18">
        <f>C101*E101</f>
        <v/>
      </c>
      <c r="G101" s="10" t="inlineStr">
        <is>
          <t>Allowance</t>
        </is>
      </c>
    </row>
    <row r="103">
      <c r="E103" s="19" t="inlineStr">
        <is>
          <t>Material Subtotal</t>
        </is>
      </c>
      <c r="F103" s="20">
        <f>SUM(F4:F101)</f>
        <v/>
      </c>
    </row>
    <row r="104">
      <c r="E104" s="19" t="inlineStr">
        <is>
          <t>Sales tax %</t>
        </is>
      </c>
      <c r="F104" s="21" t="n">
        <v>0.07000000000000001</v>
      </c>
    </row>
    <row r="105">
      <c r="E105" s="19" t="inlineStr">
        <is>
          <t>Sales tax $</t>
        </is>
      </c>
      <c r="F105" s="22">
        <f>F103*F104</f>
        <v/>
      </c>
    </row>
    <row r="106">
      <c r="E106" s="23" t="inlineStr">
        <is>
          <t>Material TOTAL (incl tax)</t>
        </is>
      </c>
      <c r="F106" s="24">
        <f>F103+F105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0" customWidth="1" min="3" max="3"/>
    <col width="10" customWidth="1" min="4" max="4"/>
    <col width="16" customWidth="1" min="5" max="5"/>
    <col width="14" customWidth="1" min="6" max="6"/>
    <col width="16" customWidth="1" min="7" max="7"/>
    <col width="18" customWidth="1" min="8" max="8"/>
  </cols>
  <sheetData>
    <row r="1">
      <c r="A1" s="1" t="inlineStr">
        <is>
          <t>LABOR ESTIMATE (MCAA/SMACNA-style)</t>
        </is>
      </c>
    </row>
    <row r="3" ht="26" customHeight="1">
      <c r="A3" s="12" t="inlineStr">
        <is>
          <t>CSI Code</t>
        </is>
      </c>
      <c r="B3" s="12" t="inlineStr">
        <is>
          <t>Activity</t>
        </is>
      </c>
      <c r="C3" s="12" t="inlineStr">
        <is>
          <t>QTY</t>
        </is>
      </c>
      <c r="D3" s="12" t="inlineStr">
        <is>
          <t>UOM</t>
        </is>
      </c>
      <c r="E3" s="12" t="inlineStr">
        <is>
          <t>Hours / UOM</t>
        </is>
      </c>
      <c r="F3" s="12" t="inlineStr">
        <is>
          <t>Subtotal Hours</t>
        </is>
      </c>
      <c r="G3" s="12" t="inlineStr">
        <is>
          <t>Crew Loaded Rate ($/hr)</t>
        </is>
      </c>
      <c r="H3" s="12" t="inlineStr">
        <is>
          <t>Subtotal Labor ($)</t>
        </is>
      </c>
    </row>
    <row r="4">
      <c r="A4" s="16" t="inlineStr">
        <is>
          <t>23 31 13</t>
        </is>
      </c>
      <c r="B4" s="10" t="inlineStr">
        <is>
          <t>Install galvanized rectangular duct (24ga)</t>
        </is>
      </c>
      <c r="C4" s="17" t="n">
        <v>0</v>
      </c>
      <c r="D4" s="16" t="inlineStr">
        <is>
          <t>SF</t>
        </is>
      </c>
      <c r="E4" s="25" t="n">
        <v>0.18</v>
      </c>
      <c r="F4" s="26">
        <f>C4*E4</f>
        <v/>
      </c>
      <c r="G4" s="18" t="n">
        <v>68</v>
      </c>
      <c r="H4" s="18">
        <f>F4*G4</f>
        <v/>
      </c>
    </row>
    <row r="5">
      <c r="A5" s="16" t="inlineStr">
        <is>
          <t>23 31 13</t>
        </is>
      </c>
      <c r="B5" s="10" t="inlineStr">
        <is>
          <t>Install galvanized rectangular duct (20ga)</t>
        </is>
      </c>
      <c r="C5" s="17" t="n">
        <v>0</v>
      </c>
      <c r="D5" s="16" t="inlineStr">
        <is>
          <t>SF</t>
        </is>
      </c>
      <c r="E5" s="25" t="n">
        <v>0.25</v>
      </c>
      <c r="F5" s="26">
        <f>C5*E5</f>
        <v/>
      </c>
      <c r="G5" s="18" t="n">
        <v>68</v>
      </c>
      <c r="H5" s="18">
        <f>F5*G5</f>
        <v/>
      </c>
    </row>
    <row r="6">
      <c r="A6" s="16" t="inlineStr">
        <is>
          <t>23 31 13</t>
        </is>
      </c>
      <c r="B6" s="10" t="inlineStr">
        <is>
          <t>Install round spiral duct</t>
        </is>
      </c>
      <c r="C6" s="17" t="n">
        <v>0</v>
      </c>
      <c r="D6" s="16" t="inlineStr">
        <is>
          <t>SF</t>
        </is>
      </c>
      <c r="E6" s="25" t="n">
        <v>0.13</v>
      </c>
      <c r="F6" s="26">
        <f>C6*E6</f>
        <v/>
      </c>
      <c r="G6" s="18" t="n">
        <v>68</v>
      </c>
      <c r="H6" s="18">
        <f>F6*G6</f>
        <v/>
      </c>
    </row>
    <row r="7">
      <c r="A7" s="16" t="inlineStr">
        <is>
          <t>23 31 16</t>
        </is>
      </c>
      <c r="B7" s="10" t="inlineStr">
        <is>
          <t>Install stainless kitchen exhaust</t>
        </is>
      </c>
      <c r="C7" s="17" t="n">
        <v>0</v>
      </c>
      <c r="D7" s="16" t="inlineStr">
        <is>
          <t>SF</t>
        </is>
      </c>
      <c r="E7" s="25" t="n">
        <v>0.45</v>
      </c>
      <c r="F7" s="26">
        <f>C7*E7</f>
        <v/>
      </c>
      <c r="G7" s="18" t="n">
        <v>68</v>
      </c>
      <c r="H7" s="18">
        <f>F7*G7</f>
        <v/>
      </c>
    </row>
    <row r="8">
      <c r="A8" s="16" t="inlineStr">
        <is>
          <t>23 31 19</t>
        </is>
      </c>
      <c r="B8" s="10" t="inlineStr">
        <is>
          <t>Install flex duct + connect</t>
        </is>
      </c>
      <c r="C8" s="17" t="n">
        <v>0</v>
      </c>
      <c r="D8" s="16" t="inlineStr">
        <is>
          <t>LF</t>
        </is>
      </c>
      <c r="E8" s="25" t="n">
        <v>0.18</v>
      </c>
      <c r="F8" s="26">
        <f>C8*E8</f>
        <v/>
      </c>
      <c r="G8" s="18" t="n">
        <v>68</v>
      </c>
      <c r="H8" s="18">
        <f>F8*G8</f>
        <v/>
      </c>
    </row>
    <row r="9">
      <c r="A9" s="16" t="inlineStr">
        <is>
          <t>23 33 13</t>
        </is>
      </c>
      <c r="B9" s="10" t="inlineStr">
        <is>
          <t>Install volume damper</t>
        </is>
      </c>
      <c r="C9" s="17" t="n">
        <v>0</v>
      </c>
      <c r="D9" s="16" t="inlineStr">
        <is>
          <t>EA</t>
        </is>
      </c>
      <c r="E9" s="25" t="n">
        <v>0.4</v>
      </c>
      <c r="F9" s="26">
        <f>C9*E9</f>
        <v/>
      </c>
      <c r="G9" s="18" t="n">
        <v>68</v>
      </c>
      <c r="H9" s="18">
        <f>F9*G9</f>
        <v/>
      </c>
    </row>
    <row r="10">
      <c r="A10" s="16" t="inlineStr">
        <is>
          <t>23 33 33</t>
        </is>
      </c>
      <c r="B10" s="10" t="inlineStr">
        <is>
          <t>Install fire damper (per UL system)</t>
        </is>
      </c>
      <c r="C10" s="17" t="n">
        <v>0</v>
      </c>
      <c r="D10" s="16" t="inlineStr">
        <is>
          <t>EA</t>
        </is>
      </c>
      <c r="E10" s="25" t="n">
        <v>0.65</v>
      </c>
      <c r="F10" s="26">
        <f>C10*E10</f>
        <v/>
      </c>
      <c r="G10" s="18" t="n">
        <v>68</v>
      </c>
      <c r="H10" s="18">
        <f>F10*G10</f>
        <v/>
      </c>
    </row>
    <row r="11">
      <c r="A11" s="16" t="inlineStr">
        <is>
          <t>23 33 33</t>
        </is>
      </c>
      <c r="B11" s="10" t="inlineStr">
        <is>
          <t>Install smoke/combination damper</t>
        </is>
      </c>
      <c r="C11" s="17" t="n">
        <v>0</v>
      </c>
      <c r="D11" s="16" t="inlineStr">
        <is>
          <t>EA</t>
        </is>
      </c>
      <c r="E11" s="25" t="n">
        <v>0.85</v>
      </c>
      <c r="F11" s="26">
        <f>C11*E11</f>
        <v/>
      </c>
      <c r="G11" s="18" t="n">
        <v>68</v>
      </c>
      <c r="H11" s="18">
        <f>F11*G11</f>
        <v/>
      </c>
    </row>
    <row r="12">
      <c r="A12" s="16" t="inlineStr">
        <is>
          <t>23 34 13</t>
        </is>
      </c>
      <c r="B12" s="10" t="inlineStr">
        <is>
          <t>Hang exhaust fan inline</t>
        </is>
      </c>
      <c r="C12" s="17" t="n">
        <v>0</v>
      </c>
      <c r="D12" s="16" t="inlineStr">
        <is>
          <t>EA</t>
        </is>
      </c>
      <c r="E12" s="25" t="n">
        <v>1.5</v>
      </c>
      <c r="F12" s="26">
        <f>C12*E12</f>
        <v/>
      </c>
      <c r="G12" s="18" t="n">
        <v>68</v>
      </c>
      <c r="H12" s="18">
        <f>F12*G12</f>
        <v/>
      </c>
    </row>
    <row r="13">
      <c r="A13" s="16" t="inlineStr">
        <is>
          <t>23 34 13</t>
        </is>
      </c>
      <c r="B13" s="10" t="inlineStr">
        <is>
          <t>Set roof-mount exhaust fan</t>
        </is>
      </c>
      <c r="C13" s="17" t="n">
        <v>0</v>
      </c>
      <c r="D13" s="16" t="inlineStr">
        <is>
          <t>EA</t>
        </is>
      </c>
      <c r="E13" s="25" t="n">
        <v>4.5</v>
      </c>
      <c r="F13" s="26">
        <f>C13*E13</f>
        <v/>
      </c>
      <c r="G13" s="18" t="n">
        <v>68</v>
      </c>
      <c r="H13" s="18">
        <f>F13*G13</f>
        <v/>
      </c>
    </row>
    <row r="14">
      <c r="A14" s="16" t="inlineStr">
        <is>
          <t>23 37 13</t>
        </is>
      </c>
      <c r="B14" s="10" t="inlineStr">
        <is>
          <t>Install supply diffuser</t>
        </is>
      </c>
      <c r="C14" s="17" t="n">
        <v>0</v>
      </c>
      <c r="D14" s="16" t="inlineStr">
        <is>
          <t>EA</t>
        </is>
      </c>
      <c r="E14" s="25" t="n">
        <v>0.3</v>
      </c>
      <c r="F14" s="26">
        <f>C14*E14</f>
        <v/>
      </c>
      <c r="G14" s="18" t="n">
        <v>68</v>
      </c>
      <c r="H14" s="18">
        <f>F14*G14</f>
        <v/>
      </c>
    </row>
    <row r="15">
      <c r="A15" s="16" t="inlineStr">
        <is>
          <t>23 37 13</t>
        </is>
      </c>
      <c r="B15" s="10" t="inlineStr">
        <is>
          <t>Install return grille</t>
        </is>
      </c>
      <c r="C15" s="17" t="n">
        <v>0</v>
      </c>
      <c r="D15" s="16" t="inlineStr">
        <is>
          <t>EA</t>
        </is>
      </c>
      <c r="E15" s="25" t="n">
        <v>0.25</v>
      </c>
      <c r="F15" s="26">
        <f>C15*E15</f>
        <v/>
      </c>
      <c r="G15" s="18" t="n">
        <v>68</v>
      </c>
      <c r="H15" s="18">
        <f>F15*G15</f>
        <v/>
      </c>
    </row>
    <row r="16">
      <c r="A16" s="16" t="inlineStr">
        <is>
          <t>23 37 13</t>
        </is>
      </c>
      <c r="B16" s="10" t="inlineStr">
        <is>
          <t>Install linear slot diffuser</t>
        </is>
      </c>
      <c r="C16" s="17" t="n">
        <v>0</v>
      </c>
      <c r="D16" s="16" t="inlineStr">
        <is>
          <t>EA</t>
        </is>
      </c>
      <c r="E16" s="25" t="n">
        <v>0.65</v>
      </c>
      <c r="F16" s="26">
        <f>C16*E16</f>
        <v/>
      </c>
      <c r="G16" s="18" t="n">
        <v>68</v>
      </c>
      <c r="H16" s="18">
        <f>F16*G16</f>
        <v/>
      </c>
    </row>
    <row r="17">
      <c r="A17" s="16" t="inlineStr">
        <is>
          <t>23 21 13</t>
        </is>
      </c>
      <c r="B17" s="10" t="inlineStr">
        <is>
          <t>Install copper hydronic 3/4" - 1"</t>
        </is>
      </c>
      <c r="C17" s="17" t="n">
        <v>0</v>
      </c>
      <c r="D17" s="16" t="inlineStr">
        <is>
          <t>LF</t>
        </is>
      </c>
      <c r="E17" s="25" t="n">
        <v>0.18</v>
      </c>
      <c r="F17" s="26">
        <f>C17*E17</f>
        <v/>
      </c>
      <c r="G17" s="18" t="n">
        <v>72</v>
      </c>
      <c r="H17" s="18">
        <f>F17*G17</f>
        <v/>
      </c>
    </row>
    <row r="18">
      <c r="A18" s="16" t="inlineStr">
        <is>
          <t>23 21 13</t>
        </is>
      </c>
      <c r="B18" s="10" t="inlineStr">
        <is>
          <t>Install copper hydronic 1-1/2" - 2"</t>
        </is>
      </c>
      <c r="C18" s="17" t="n">
        <v>0</v>
      </c>
      <c r="D18" s="16" t="inlineStr">
        <is>
          <t>LF</t>
        </is>
      </c>
      <c r="E18" s="25" t="n">
        <v>0.32</v>
      </c>
      <c r="F18" s="26">
        <f>C18*E18</f>
        <v/>
      </c>
      <c r="G18" s="18" t="n">
        <v>72</v>
      </c>
      <c r="H18" s="18">
        <f>F18*G18</f>
        <v/>
      </c>
    </row>
    <row r="19">
      <c r="A19" s="16" t="inlineStr">
        <is>
          <t>23 21 13</t>
        </is>
      </c>
      <c r="B19" s="10" t="inlineStr">
        <is>
          <t>Install black steel hydronic 2"</t>
        </is>
      </c>
      <c r="C19" s="17" t="n">
        <v>0</v>
      </c>
      <c r="D19" s="16" t="inlineStr">
        <is>
          <t>LF</t>
        </is>
      </c>
      <c r="E19" s="25" t="n">
        <v>0.35</v>
      </c>
      <c r="F19" s="26">
        <f>C19*E19</f>
        <v/>
      </c>
      <c r="G19" s="18" t="n">
        <v>72</v>
      </c>
      <c r="H19" s="18">
        <f>F19*G19</f>
        <v/>
      </c>
    </row>
    <row r="20">
      <c r="A20" s="16" t="inlineStr">
        <is>
          <t>23 21 13</t>
        </is>
      </c>
      <c r="B20" s="10" t="inlineStr">
        <is>
          <t>Install black steel hydronic 4"</t>
        </is>
      </c>
      <c r="C20" s="17" t="n">
        <v>0</v>
      </c>
      <c r="D20" s="16" t="inlineStr">
        <is>
          <t>LF</t>
        </is>
      </c>
      <c r="E20" s="25" t="n">
        <v>0.65</v>
      </c>
      <c r="F20" s="26">
        <f>C20*E20</f>
        <v/>
      </c>
      <c r="G20" s="18" t="n">
        <v>72</v>
      </c>
      <c r="H20" s="18">
        <f>F20*G20</f>
        <v/>
      </c>
    </row>
    <row r="21">
      <c r="A21" s="16" t="inlineStr">
        <is>
          <t>23 21 13</t>
        </is>
      </c>
      <c r="B21" s="10" t="inlineStr">
        <is>
          <t>Install PEX-A hydronic 1"</t>
        </is>
      </c>
      <c r="C21" s="17" t="n">
        <v>0</v>
      </c>
      <c r="D21" s="16" t="inlineStr">
        <is>
          <t>LF</t>
        </is>
      </c>
      <c r="E21" s="25" t="n">
        <v>0.08</v>
      </c>
      <c r="F21" s="26">
        <f>C21*E21</f>
        <v/>
      </c>
      <c r="G21" s="18" t="n">
        <v>72</v>
      </c>
      <c r="H21" s="18">
        <f>F21*G21</f>
        <v/>
      </c>
    </row>
    <row r="22">
      <c r="A22" s="16" t="inlineStr">
        <is>
          <t>23 21 23</t>
        </is>
      </c>
      <c r="B22" s="10" t="inlineStr">
        <is>
          <t>Set inline circulator pump</t>
        </is>
      </c>
      <c r="C22" s="17" t="n">
        <v>0</v>
      </c>
      <c r="D22" s="16" t="inlineStr">
        <is>
          <t>EA</t>
        </is>
      </c>
      <c r="E22" s="25" t="n">
        <v>1.2</v>
      </c>
      <c r="F22" s="26">
        <f>C22*E22</f>
        <v/>
      </c>
      <c r="G22" s="18" t="n">
        <v>72</v>
      </c>
      <c r="H22" s="18">
        <f>F22*G22</f>
        <v/>
      </c>
    </row>
    <row r="23">
      <c r="A23" s="16" t="inlineStr">
        <is>
          <t>23 21 23</t>
        </is>
      </c>
      <c r="B23" s="10" t="inlineStr">
        <is>
          <t>Set base-mounted pump w/ flex connectors</t>
        </is>
      </c>
      <c r="C23" s="17" t="n">
        <v>0</v>
      </c>
      <c r="D23" s="16" t="inlineStr">
        <is>
          <t>EA</t>
        </is>
      </c>
      <c r="E23" s="25" t="n">
        <v>4.5</v>
      </c>
      <c r="F23" s="26">
        <f>C23*E23</f>
        <v/>
      </c>
      <c r="G23" s="18" t="n">
        <v>72</v>
      </c>
      <c r="H23" s="18">
        <f>F23*G23</f>
        <v/>
      </c>
    </row>
    <row r="24">
      <c r="A24" s="16" t="inlineStr">
        <is>
          <t>23 21 23</t>
        </is>
      </c>
      <c r="B24" s="10" t="inlineStr">
        <is>
          <t>Set end-suction pump on housekeeping pad</t>
        </is>
      </c>
      <c r="C24" s="17" t="n">
        <v>0</v>
      </c>
      <c r="D24" s="16" t="inlineStr">
        <is>
          <t>EA</t>
        </is>
      </c>
      <c r="E24" s="25" t="n">
        <v>6.5</v>
      </c>
      <c r="F24" s="26">
        <f>C24*E24</f>
        <v/>
      </c>
      <c r="G24" s="18" t="n">
        <v>72</v>
      </c>
      <c r="H24" s="18">
        <f>F24*G24</f>
        <v/>
      </c>
    </row>
    <row r="25">
      <c r="A25" s="16" t="inlineStr">
        <is>
          <t>23 21 29</t>
        </is>
      </c>
      <c r="B25" s="10" t="inlineStr">
        <is>
          <t>Install expansion tank</t>
        </is>
      </c>
      <c r="C25" s="17" t="n">
        <v>0</v>
      </c>
      <c r="D25" s="16" t="inlineStr">
        <is>
          <t>EA</t>
        </is>
      </c>
      <c r="E25" s="25" t="n">
        <v>1.2</v>
      </c>
      <c r="F25" s="26">
        <f>C25*E25</f>
        <v/>
      </c>
      <c r="G25" s="18" t="n">
        <v>72</v>
      </c>
      <c r="H25" s="18">
        <f>F25*G25</f>
        <v/>
      </c>
    </row>
    <row r="26">
      <c r="A26" s="16" t="inlineStr">
        <is>
          <t>23 21 29</t>
        </is>
      </c>
      <c r="B26" s="10" t="inlineStr">
        <is>
          <t>Install air separator</t>
        </is>
      </c>
      <c r="C26" s="17" t="n">
        <v>0</v>
      </c>
      <c r="D26" s="16" t="inlineStr">
        <is>
          <t>EA</t>
        </is>
      </c>
      <c r="E26" s="25" t="n">
        <v>1.5</v>
      </c>
      <c r="F26" s="26">
        <f>C26*E26</f>
        <v/>
      </c>
      <c r="G26" s="18" t="n">
        <v>72</v>
      </c>
      <c r="H26" s="18">
        <f>F26*G26</f>
        <v/>
      </c>
    </row>
    <row r="27">
      <c r="A27" s="16" t="inlineStr">
        <is>
          <t>23 05 23</t>
        </is>
      </c>
      <c r="B27" s="10" t="inlineStr">
        <is>
          <t>Install valve 1" - 2"</t>
        </is>
      </c>
      <c r="C27" s="17" t="n">
        <v>0</v>
      </c>
      <c r="D27" s="16" t="inlineStr">
        <is>
          <t>EA</t>
        </is>
      </c>
      <c r="E27" s="25" t="n">
        <v>0.4</v>
      </c>
      <c r="F27" s="26">
        <f>C27*E27</f>
        <v/>
      </c>
      <c r="G27" s="18" t="n">
        <v>72</v>
      </c>
      <c r="H27" s="18">
        <f>F27*G27</f>
        <v/>
      </c>
    </row>
    <row r="28">
      <c r="A28" s="16" t="inlineStr">
        <is>
          <t>23 05 23</t>
        </is>
      </c>
      <c r="B28" s="10" t="inlineStr">
        <is>
          <t>Install valve 4"</t>
        </is>
      </c>
      <c r="C28" s="17" t="n">
        <v>0</v>
      </c>
      <c r="D28" s="16" t="inlineStr">
        <is>
          <t>EA</t>
        </is>
      </c>
      <c r="E28" s="25" t="n">
        <v>0.85</v>
      </c>
      <c r="F28" s="26">
        <f>C28*E28</f>
        <v/>
      </c>
      <c r="G28" s="18" t="n">
        <v>72</v>
      </c>
      <c r="H28" s="18">
        <f>F28*G28</f>
        <v/>
      </c>
    </row>
    <row r="29">
      <c r="A29" s="16" t="inlineStr">
        <is>
          <t>23 05 23</t>
        </is>
      </c>
      <c r="B29" s="10" t="inlineStr">
        <is>
          <t>Install valve 6" + larger</t>
        </is>
      </c>
      <c r="C29" s="17" t="n">
        <v>0</v>
      </c>
      <c r="D29" s="16" t="inlineStr">
        <is>
          <t>EA</t>
        </is>
      </c>
      <c r="E29" s="25" t="n">
        <v>1.5</v>
      </c>
      <c r="F29" s="26">
        <f>C29*E29</f>
        <v/>
      </c>
      <c r="G29" s="18" t="n">
        <v>72</v>
      </c>
      <c r="H29" s="18">
        <f>F29*G29</f>
        <v/>
      </c>
    </row>
    <row r="30">
      <c r="A30" s="16" t="inlineStr">
        <is>
          <t>23 11 23</t>
        </is>
      </c>
      <c r="B30" s="10" t="inlineStr">
        <is>
          <t>Install gas piping 1" black iron</t>
        </is>
      </c>
      <c r="C30" s="17" t="n">
        <v>0</v>
      </c>
      <c r="D30" s="16" t="inlineStr">
        <is>
          <t>LF</t>
        </is>
      </c>
      <c r="E30" s="25" t="n">
        <v>0.35</v>
      </c>
      <c r="F30" s="26">
        <f>C30*E30</f>
        <v/>
      </c>
      <c r="G30" s="18" t="n">
        <v>72</v>
      </c>
      <c r="H30" s="18">
        <f>F30*G30</f>
        <v/>
      </c>
    </row>
    <row r="31">
      <c r="A31" s="16" t="inlineStr">
        <is>
          <t>23 11 23</t>
        </is>
      </c>
      <c r="B31" s="10" t="inlineStr">
        <is>
          <t>Install gas piping 2" black iron</t>
        </is>
      </c>
      <c r="C31" s="17" t="n">
        <v>0</v>
      </c>
      <c r="D31" s="16" t="inlineStr">
        <is>
          <t>LF</t>
        </is>
      </c>
      <c r="E31" s="25" t="n">
        <v>0.52</v>
      </c>
      <c r="F31" s="26">
        <f>C31*E31</f>
        <v/>
      </c>
      <c r="G31" s="18" t="n">
        <v>72</v>
      </c>
      <c r="H31" s="18">
        <f>F31*G31</f>
        <v/>
      </c>
    </row>
    <row r="32">
      <c r="A32" s="16" t="inlineStr">
        <is>
          <t>23 62 23</t>
        </is>
      </c>
      <c r="B32" s="10" t="inlineStr">
        <is>
          <t>Install refrigerant pipe + insulate, 5/8"</t>
        </is>
      </c>
      <c r="C32" s="17" t="n">
        <v>0</v>
      </c>
      <c r="D32" s="16" t="inlineStr">
        <is>
          <t>LF</t>
        </is>
      </c>
      <c r="E32" s="25" t="n">
        <v>0.25</v>
      </c>
      <c r="F32" s="26">
        <f>C32*E32</f>
        <v/>
      </c>
      <c r="G32" s="18" t="n">
        <v>74</v>
      </c>
      <c r="H32" s="18">
        <f>F32*G32</f>
        <v/>
      </c>
    </row>
    <row r="33">
      <c r="A33" s="16" t="inlineStr">
        <is>
          <t>23 62 23</t>
        </is>
      </c>
      <c r="B33" s="10" t="inlineStr">
        <is>
          <t>Install refrigerant pipe + insulate, 7/8"</t>
        </is>
      </c>
      <c r="C33" s="17" t="n">
        <v>0</v>
      </c>
      <c r="D33" s="16" t="inlineStr">
        <is>
          <t>LF</t>
        </is>
      </c>
      <c r="E33" s="25" t="n">
        <v>0.35</v>
      </c>
      <c r="F33" s="26">
        <f>C33*E33</f>
        <v/>
      </c>
      <c r="G33" s="18" t="n">
        <v>74</v>
      </c>
      <c r="H33" s="18">
        <f>F33*G33</f>
        <v/>
      </c>
    </row>
    <row r="34">
      <c r="A34" s="16" t="inlineStr">
        <is>
          <t>23 62 23</t>
        </is>
      </c>
      <c r="B34" s="10" t="inlineStr">
        <is>
          <t>Refrigerant connection — brazed under N2</t>
        </is>
      </c>
      <c r="C34" s="17" t="n">
        <v>0</v>
      </c>
      <c r="D34" s="16" t="inlineStr">
        <is>
          <t>EA</t>
        </is>
      </c>
      <c r="E34" s="25" t="n">
        <v>0.85</v>
      </c>
      <c r="F34" s="26">
        <f>C34*E34</f>
        <v/>
      </c>
      <c r="G34" s="18" t="n">
        <v>74</v>
      </c>
      <c r="H34" s="18">
        <f>F34*G34</f>
        <v/>
      </c>
    </row>
    <row r="35">
      <c r="A35" s="16" t="inlineStr">
        <is>
          <t>23 07 13</t>
        </is>
      </c>
      <c r="B35" s="10" t="inlineStr">
        <is>
          <t>Insulate duct — fiberglass wrap</t>
        </is>
      </c>
      <c r="C35" s="17" t="n">
        <v>0</v>
      </c>
      <c r="D35" s="16" t="inlineStr">
        <is>
          <t>SF</t>
        </is>
      </c>
      <c r="E35" s="25" t="n">
        <v>0.08</v>
      </c>
      <c r="F35" s="26">
        <f>C35*E35</f>
        <v/>
      </c>
      <c r="G35" s="18" t="n">
        <v>56</v>
      </c>
      <c r="H35" s="18">
        <f>F35*G35</f>
        <v/>
      </c>
    </row>
    <row r="36">
      <c r="A36" s="16" t="inlineStr">
        <is>
          <t>23 07 19</t>
        </is>
      </c>
      <c r="B36" s="10" t="inlineStr">
        <is>
          <t>Insulate pipe — 1" - 2"</t>
        </is>
      </c>
      <c r="C36" s="17" t="n">
        <v>0</v>
      </c>
      <c r="D36" s="16" t="inlineStr">
        <is>
          <t>LF</t>
        </is>
      </c>
      <c r="E36" s="25" t="n">
        <v>0.12</v>
      </c>
      <c r="F36" s="26">
        <f>C36*E36</f>
        <v/>
      </c>
      <c r="G36" s="18" t="n">
        <v>56</v>
      </c>
      <c r="H36" s="18">
        <f>F36*G36</f>
        <v/>
      </c>
    </row>
    <row r="37">
      <c r="A37" s="16" t="inlineStr">
        <is>
          <t>23 07 19</t>
        </is>
      </c>
      <c r="B37" s="10" t="inlineStr">
        <is>
          <t>Insulate pipe — 4" + larger</t>
        </is>
      </c>
      <c r="C37" s="17" t="n">
        <v>0</v>
      </c>
      <c r="D37" s="16" t="inlineStr">
        <is>
          <t>LF</t>
        </is>
      </c>
      <c r="E37" s="25" t="n">
        <v>0.2</v>
      </c>
      <c r="F37" s="26">
        <f>C37*E37</f>
        <v/>
      </c>
      <c r="G37" s="18" t="n">
        <v>56</v>
      </c>
      <c r="H37" s="18">
        <f>F37*G37</f>
        <v/>
      </c>
    </row>
    <row r="38">
      <c r="A38" s="16" t="inlineStr">
        <is>
          <t>23 36 16</t>
        </is>
      </c>
      <c r="B38" s="10" t="inlineStr">
        <is>
          <t>Set + connect VAV box (single-duct)</t>
        </is>
      </c>
      <c r="C38" s="17" t="n">
        <v>0</v>
      </c>
      <c r="D38" s="16" t="inlineStr">
        <is>
          <t>EA</t>
        </is>
      </c>
      <c r="E38" s="25" t="n">
        <v>3.5</v>
      </c>
      <c r="F38" s="26">
        <f>C38*E38</f>
        <v/>
      </c>
      <c r="G38" s="18" t="n">
        <v>68</v>
      </c>
      <c r="H38" s="18">
        <f>F38*G38</f>
        <v/>
      </c>
    </row>
    <row r="39">
      <c r="A39" s="16" t="inlineStr">
        <is>
          <t>23 36 16</t>
        </is>
      </c>
      <c r="B39" s="10" t="inlineStr">
        <is>
          <t>Set + connect VAV box (fan-powered)</t>
        </is>
      </c>
      <c r="C39" s="17" t="n">
        <v>0</v>
      </c>
      <c r="D39" s="16" t="inlineStr">
        <is>
          <t>EA</t>
        </is>
      </c>
      <c r="E39" s="25" t="n">
        <v>4.5</v>
      </c>
      <c r="F39" s="26">
        <f>C39*E39</f>
        <v/>
      </c>
      <c r="G39" s="18" t="n">
        <v>68</v>
      </c>
      <c r="H39" s="18">
        <f>F39*G39</f>
        <v/>
      </c>
    </row>
    <row r="40">
      <c r="A40" s="16" t="inlineStr">
        <is>
          <t>23 52 13</t>
        </is>
      </c>
      <c r="B40" s="10" t="inlineStr">
        <is>
          <t>Set 500-MBH boiler + connect</t>
        </is>
      </c>
      <c r="C40" s="17" t="n">
        <v>0</v>
      </c>
      <c r="D40" s="16" t="inlineStr">
        <is>
          <t>EA</t>
        </is>
      </c>
      <c r="E40" s="25" t="n">
        <v>18</v>
      </c>
      <c r="F40" s="26">
        <f>C40*E40</f>
        <v/>
      </c>
      <c r="G40" s="18" t="n">
        <v>72</v>
      </c>
      <c r="H40" s="18">
        <f>F40*G40</f>
        <v/>
      </c>
    </row>
    <row r="41">
      <c r="A41" s="16" t="inlineStr">
        <is>
          <t>23 52 16</t>
        </is>
      </c>
      <c r="B41" s="10" t="inlineStr">
        <is>
          <t>Set 1500-MBH condensing boiler + connect</t>
        </is>
      </c>
      <c r="C41" s="17" t="n">
        <v>0</v>
      </c>
      <c r="D41" s="16" t="inlineStr">
        <is>
          <t>EA</t>
        </is>
      </c>
      <c r="E41" s="25" t="n">
        <v>32</v>
      </c>
      <c r="F41" s="26">
        <f>C41*E41</f>
        <v/>
      </c>
      <c r="G41" s="18" t="n">
        <v>72</v>
      </c>
      <c r="H41" s="18">
        <f>F41*G41</f>
        <v/>
      </c>
    </row>
    <row r="42">
      <c r="A42" s="16" t="inlineStr">
        <is>
          <t>23 54 13</t>
        </is>
      </c>
      <c r="B42" s="10" t="inlineStr">
        <is>
          <t>Set + connect gas furnace 80 MBH</t>
        </is>
      </c>
      <c r="C42" s="17" t="n">
        <v>0</v>
      </c>
      <c r="D42" s="16" t="inlineStr">
        <is>
          <t>EA</t>
        </is>
      </c>
      <c r="E42" s="25" t="n">
        <v>4.5</v>
      </c>
      <c r="F42" s="26">
        <f>C42*E42</f>
        <v/>
      </c>
      <c r="G42" s="18" t="n">
        <v>72</v>
      </c>
      <c r="H42" s="18">
        <f>F42*G42</f>
        <v/>
      </c>
    </row>
    <row r="43">
      <c r="A43" s="16" t="inlineStr">
        <is>
          <t>23 73 13</t>
        </is>
      </c>
      <c r="B43" s="10" t="inlineStr">
        <is>
          <t>Set indoor AHU + connect 3000 CFM</t>
        </is>
      </c>
      <c r="C43" s="17" t="n">
        <v>0</v>
      </c>
      <c r="D43" s="16" t="inlineStr">
        <is>
          <t>EA</t>
        </is>
      </c>
      <c r="E43" s="25" t="n">
        <v>16</v>
      </c>
      <c r="F43" s="26">
        <f>C43*E43</f>
        <v/>
      </c>
      <c r="G43" s="18" t="n">
        <v>68</v>
      </c>
      <c r="H43" s="18">
        <f>F43*G43</f>
        <v/>
      </c>
    </row>
    <row r="44">
      <c r="A44" s="16" t="inlineStr">
        <is>
          <t>23 73 13</t>
        </is>
      </c>
      <c r="B44" s="10" t="inlineStr">
        <is>
          <t>Set indoor AHU + connect 8000 CFM custom</t>
        </is>
      </c>
      <c r="C44" s="17" t="n">
        <v>0</v>
      </c>
      <c r="D44" s="16" t="inlineStr">
        <is>
          <t>EA</t>
        </is>
      </c>
      <c r="E44" s="25" t="n">
        <v>28</v>
      </c>
      <c r="F44" s="26">
        <f>C44*E44</f>
        <v/>
      </c>
      <c r="G44" s="18" t="n">
        <v>68</v>
      </c>
      <c r="H44" s="18">
        <f>F44*G44</f>
        <v/>
      </c>
    </row>
    <row r="45">
      <c r="A45" s="16" t="inlineStr">
        <is>
          <t>23 73 23</t>
        </is>
      </c>
      <c r="B45" s="10" t="inlineStr">
        <is>
          <t>Set rooftop unit 5 ton + connect</t>
        </is>
      </c>
      <c r="C45" s="17" t="n">
        <v>0</v>
      </c>
      <c r="D45" s="16" t="inlineStr">
        <is>
          <t>EA</t>
        </is>
      </c>
      <c r="E45" s="25" t="n">
        <v>12</v>
      </c>
      <c r="F45" s="26">
        <f>C45*E45</f>
        <v/>
      </c>
      <c r="G45" s="18" t="n">
        <v>68</v>
      </c>
      <c r="H45" s="18">
        <f>F45*G45</f>
        <v/>
      </c>
    </row>
    <row r="46">
      <c r="A46" s="16" t="inlineStr">
        <is>
          <t>23 73 23</t>
        </is>
      </c>
      <c r="B46" s="10" t="inlineStr">
        <is>
          <t>Set rooftop unit 15 ton + connect</t>
        </is>
      </c>
      <c r="C46" s="17" t="n">
        <v>0</v>
      </c>
      <c r="D46" s="16" t="inlineStr">
        <is>
          <t>EA</t>
        </is>
      </c>
      <c r="E46" s="25" t="n">
        <v>18</v>
      </c>
      <c r="F46" s="26">
        <f>C46*E46</f>
        <v/>
      </c>
      <c r="G46" s="18" t="n">
        <v>68</v>
      </c>
      <c r="H46" s="18">
        <f>F46*G46</f>
        <v/>
      </c>
    </row>
    <row r="47">
      <c r="A47" s="16" t="inlineStr">
        <is>
          <t>23 73 23</t>
        </is>
      </c>
      <c r="B47" s="10" t="inlineStr">
        <is>
          <t>Set rooftop unit 25 ton + connect</t>
        </is>
      </c>
      <c r="C47" s="17" t="n">
        <v>0</v>
      </c>
      <c r="D47" s="16" t="inlineStr">
        <is>
          <t>EA</t>
        </is>
      </c>
      <c r="E47" s="25" t="n">
        <v>26</v>
      </c>
      <c r="F47" s="26">
        <f>C47*E47</f>
        <v/>
      </c>
      <c r="G47" s="18" t="n">
        <v>68</v>
      </c>
      <c r="H47" s="18">
        <f>F47*G47</f>
        <v/>
      </c>
    </row>
    <row r="48">
      <c r="A48" s="16" t="inlineStr">
        <is>
          <t>23 81 13</t>
        </is>
      </c>
      <c r="B48" s="10" t="inlineStr">
        <is>
          <t>Set fan coil unit + connect</t>
        </is>
      </c>
      <c r="C48" s="17" t="n">
        <v>0</v>
      </c>
      <c r="D48" s="16" t="inlineStr">
        <is>
          <t>EA</t>
        </is>
      </c>
      <c r="E48" s="25" t="n">
        <v>4.5</v>
      </c>
      <c r="F48" s="26">
        <f>C48*E48</f>
        <v/>
      </c>
      <c r="G48" s="18" t="n">
        <v>72</v>
      </c>
      <c r="H48" s="18">
        <f>F48*G48</f>
        <v/>
      </c>
    </row>
    <row r="49">
      <c r="A49" s="16" t="inlineStr">
        <is>
          <t>23 81 23</t>
        </is>
      </c>
      <c r="B49" s="10" t="inlineStr">
        <is>
          <t>Set + connect mini-split indoor head</t>
        </is>
      </c>
      <c r="C49" s="17" t="n">
        <v>0</v>
      </c>
      <c r="D49" s="16" t="inlineStr">
        <is>
          <t>EA</t>
        </is>
      </c>
      <c r="E49" s="25" t="n">
        <v>4.5</v>
      </c>
      <c r="F49" s="26">
        <f>C49*E49</f>
        <v/>
      </c>
      <c r="G49" s="18" t="n">
        <v>74</v>
      </c>
      <c r="H49" s="18">
        <f>F49*G49</f>
        <v/>
      </c>
    </row>
    <row r="50">
      <c r="A50" s="16" t="inlineStr">
        <is>
          <t>23 81 26</t>
        </is>
      </c>
      <c r="B50" s="10" t="inlineStr">
        <is>
          <t>Set + connect heat pump outdoor 4 ton</t>
        </is>
      </c>
      <c r="C50" s="17" t="n">
        <v>0</v>
      </c>
      <c r="D50" s="16" t="inlineStr">
        <is>
          <t>EA</t>
        </is>
      </c>
      <c r="E50" s="25" t="n">
        <v>9.5</v>
      </c>
      <c r="F50" s="26">
        <f>C50*E50</f>
        <v/>
      </c>
      <c r="G50" s="18" t="n">
        <v>74</v>
      </c>
      <c r="H50" s="18">
        <f>F50*G50</f>
        <v/>
      </c>
    </row>
    <row r="51">
      <c r="A51" s="16" t="inlineStr">
        <is>
          <t>23 62 13</t>
        </is>
      </c>
      <c r="B51" s="10" t="inlineStr">
        <is>
          <t>Set DX split outdoor 3-5 ton</t>
        </is>
      </c>
      <c r="C51" s="17" t="n">
        <v>0</v>
      </c>
      <c r="D51" s="16" t="inlineStr">
        <is>
          <t>EA</t>
        </is>
      </c>
      <c r="E51" s="25" t="n">
        <v>5.5</v>
      </c>
      <c r="F51" s="26">
        <f>C51*E51</f>
        <v/>
      </c>
      <c r="G51" s="18" t="n">
        <v>74</v>
      </c>
      <c r="H51" s="18">
        <f>F51*G51</f>
        <v/>
      </c>
    </row>
    <row r="52">
      <c r="A52" s="16" t="inlineStr">
        <is>
          <t>23 62 13</t>
        </is>
      </c>
      <c r="B52" s="10" t="inlineStr">
        <is>
          <t>Set VRF outdoor 10 ton</t>
        </is>
      </c>
      <c r="C52" s="17" t="n">
        <v>0</v>
      </c>
      <c r="D52" s="16" t="inlineStr">
        <is>
          <t>EA</t>
        </is>
      </c>
      <c r="E52" s="25" t="n">
        <v>18</v>
      </c>
      <c r="F52" s="26">
        <f>C52*E52</f>
        <v/>
      </c>
      <c r="G52" s="18" t="n">
        <v>74</v>
      </c>
      <c r="H52" s="18">
        <f>F52*G52</f>
        <v/>
      </c>
    </row>
    <row r="53">
      <c r="A53" s="16" t="inlineStr">
        <is>
          <t>23 64 16</t>
        </is>
      </c>
      <c r="B53" s="10" t="inlineStr">
        <is>
          <t>Set chiller 60 ton air-cooled</t>
        </is>
      </c>
      <c r="C53" s="17" t="n">
        <v>0</v>
      </c>
      <c r="D53" s="16" t="inlineStr">
        <is>
          <t>EA</t>
        </is>
      </c>
      <c r="E53" s="25" t="n">
        <v>28</v>
      </c>
      <c r="F53" s="26">
        <f>C53*E53</f>
        <v/>
      </c>
      <c r="G53" s="18" t="n">
        <v>72</v>
      </c>
      <c r="H53" s="18">
        <f>F53*G53</f>
        <v/>
      </c>
    </row>
    <row r="54">
      <c r="A54" s="16" t="inlineStr">
        <is>
          <t>23 65 13</t>
        </is>
      </c>
      <c r="B54" s="10" t="inlineStr">
        <is>
          <t>Set cooling tower 200 ton crossflow</t>
        </is>
      </c>
      <c r="C54" s="17" t="n">
        <v>0</v>
      </c>
      <c r="D54" s="16" t="inlineStr">
        <is>
          <t>EA</t>
        </is>
      </c>
      <c r="E54" s="25" t="n">
        <v>40</v>
      </c>
      <c r="F54" s="26">
        <f>C54*E54</f>
        <v/>
      </c>
      <c r="G54" s="18" t="n">
        <v>72</v>
      </c>
      <c r="H54" s="18">
        <f>F54*G54</f>
        <v/>
      </c>
    </row>
    <row r="55">
      <c r="A55" s="16" t="inlineStr">
        <is>
          <t>23 72 13</t>
        </is>
      </c>
      <c r="B55" s="10" t="inlineStr">
        <is>
          <t>Set ERV 1000 CFM</t>
        </is>
      </c>
      <c r="C55" s="17" t="n">
        <v>0</v>
      </c>
      <c r="D55" s="16" t="inlineStr">
        <is>
          <t>EA</t>
        </is>
      </c>
      <c r="E55" s="25" t="n">
        <v>12</v>
      </c>
      <c r="F55" s="26">
        <f>C55*E55</f>
        <v/>
      </c>
      <c r="G55" s="18" t="n">
        <v>68</v>
      </c>
      <c r="H55" s="18">
        <f>F55*G55</f>
        <v/>
      </c>
    </row>
    <row r="56">
      <c r="A56" s="16" t="inlineStr">
        <is>
          <t>23 09 13</t>
        </is>
      </c>
      <c r="B56" s="10" t="inlineStr">
        <is>
          <t>Install + commission VAV controller</t>
        </is>
      </c>
      <c r="C56" s="17" t="n">
        <v>0</v>
      </c>
      <c r="D56" s="16" t="inlineStr">
        <is>
          <t>EA</t>
        </is>
      </c>
      <c r="E56" s="25" t="n">
        <v>2.5</v>
      </c>
      <c r="F56" s="26">
        <f>C56*E56</f>
        <v/>
      </c>
      <c r="G56" s="18" t="n">
        <v>78</v>
      </c>
      <c r="H56" s="18">
        <f>F56*G56</f>
        <v/>
      </c>
    </row>
    <row r="57">
      <c r="A57" s="16" t="inlineStr">
        <is>
          <t>23 09 13</t>
        </is>
      </c>
      <c r="B57" s="10" t="inlineStr">
        <is>
          <t>Install + commission AHU controller</t>
        </is>
      </c>
      <c r="C57" s="17" t="n">
        <v>0</v>
      </c>
      <c r="D57" s="16" t="inlineStr">
        <is>
          <t>EA</t>
        </is>
      </c>
      <c r="E57" s="25" t="n">
        <v>8</v>
      </c>
      <c r="F57" s="26">
        <f>C57*E57</f>
        <v/>
      </c>
      <c r="G57" s="18" t="n">
        <v>78</v>
      </c>
      <c r="H57" s="18">
        <f>F57*G57</f>
        <v/>
      </c>
    </row>
    <row r="58">
      <c r="A58" s="16" t="inlineStr">
        <is>
          <t>23 09 33</t>
        </is>
      </c>
      <c r="B58" s="10" t="inlineStr">
        <is>
          <t>Install thermostat + connect</t>
        </is>
      </c>
      <c r="C58" s="17" t="n">
        <v>0</v>
      </c>
      <c r="D58" s="16" t="inlineStr">
        <is>
          <t>EA</t>
        </is>
      </c>
      <c r="E58" s="25" t="n">
        <v>0.85</v>
      </c>
      <c r="F58" s="26">
        <f>C58*E58</f>
        <v/>
      </c>
      <c r="G58" s="18" t="n">
        <v>78</v>
      </c>
      <c r="H58" s="18">
        <f>F58*G58</f>
        <v/>
      </c>
    </row>
    <row r="59">
      <c r="A59" s="16" t="inlineStr">
        <is>
          <t>23 09 33</t>
        </is>
      </c>
      <c r="B59" s="10" t="inlineStr">
        <is>
          <t>Install duct sensor + connect</t>
        </is>
      </c>
      <c r="C59" s="17" t="n">
        <v>0</v>
      </c>
      <c r="D59" s="16" t="inlineStr">
        <is>
          <t>EA</t>
        </is>
      </c>
      <c r="E59" s="25" t="n">
        <v>0.5</v>
      </c>
      <c r="F59" s="26">
        <f>C59*E59</f>
        <v/>
      </c>
      <c r="G59" s="18" t="n">
        <v>78</v>
      </c>
      <c r="H59" s="18">
        <f>F59*G59</f>
        <v/>
      </c>
    </row>
    <row r="60">
      <c r="A60" s="16" t="inlineStr">
        <is>
          <t>23 05 93</t>
        </is>
      </c>
      <c r="B60" s="10" t="inlineStr">
        <is>
          <t>TAB — supply air balance per outlet</t>
        </is>
      </c>
      <c r="C60" s="17" t="n">
        <v>0</v>
      </c>
      <c r="D60" s="16" t="inlineStr">
        <is>
          <t>EA</t>
        </is>
      </c>
      <c r="E60" s="25" t="n">
        <v>0.5</v>
      </c>
      <c r="F60" s="26">
        <f>C60*E60</f>
        <v/>
      </c>
      <c r="G60" s="18" t="n">
        <v>70</v>
      </c>
      <c r="H60" s="18">
        <f>F60*G60</f>
        <v/>
      </c>
    </row>
    <row r="61">
      <c r="A61" s="16" t="inlineStr">
        <is>
          <t>23 05 93</t>
        </is>
      </c>
      <c r="B61" s="10" t="inlineStr">
        <is>
          <t>TAB — hydronic balance per circuit</t>
        </is>
      </c>
      <c r="C61" s="17" t="n">
        <v>0</v>
      </c>
      <c r="D61" s="16" t="inlineStr">
        <is>
          <t>EA</t>
        </is>
      </c>
      <c r="E61" s="25" t="n">
        <v>1.2</v>
      </c>
      <c r="F61" s="26">
        <f>C61*E61</f>
        <v/>
      </c>
      <c r="G61" s="18" t="n">
        <v>70</v>
      </c>
      <c r="H61" s="18">
        <f>F61*G61</f>
        <v/>
      </c>
    </row>
    <row r="62">
      <c r="A62" s="16" t="inlineStr">
        <is>
          <t>23 08 00</t>
        </is>
      </c>
      <c r="B62" s="10" t="inlineStr">
        <is>
          <t>Cx — equipment functional test</t>
        </is>
      </c>
      <c r="C62" s="17" t="n">
        <v>0</v>
      </c>
      <c r="D62" s="16" t="inlineStr">
        <is>
          <t>EA</t>
        </is>
      </c>
      <c r="E62" s="25" t="n">
        <v>4</v>
      </c>
      <c r="F62" s="26">
        <f>C62*E62</f>
        <v/>
      </c>
      <c r="G62" s="18" t="n">
        <v>78</v>
      </c>
      <c r="H62" s="18">
        <f>F62*G62</f>
        <v/>
      </c>
    </row>
    <row r="63">
      <c r="A63" s="16" t="inlineStr">
        <is>
          <t>23 08 00</t>
        </is>
      </c>
      <c r="B63" s="10" t="inlineStr">
        <is>
          <t>Cx — integration testing</t>
        </is>
      </c>
      <c r="C63" s="17" t="n">
        <v>0</v>
      </c>
      <c r="D63" s="16" t="inlineStr">
        <is>
          <t>LS</t>
        </is>
      </c>
      <c r="E63" s="25" t="n">
        <v>16</v>
      </c>
      <c r="F63" s="26">
        <f>C63*E63</f>
        <v/>
      </c>
      <c r="G63" s="18" t="n">
        <v>78</v>
      </c>
      <c r="H63" s="18">
        <f>F63*G63</f>
        <v/>
      </c>
    </row>
    <row r="65">
      <c r="G65" s="19" t="inlineStr">
        <is>
          <t>Productivity factor</t>
        </is>
      </c>
      <c r="H65" s="27" t="n">
        <v>1</v>
      </c>
    </row>
    <row r="66">
      <c r="G66" s="19" t="inlineStr">
        <is>
          <t>Labor Subtotal</t>
        </is>
      </c>
      <c r="H66" s="24">
        <f>SUM(H4:H63)*H65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2" customWidth="1" min="4" max="4"/>
    <col width="16" customWidth="1" min="5" max="5"/>
    <col width="18" customWidth="1" min="6" max="6"/>
  </cols>
  <sheetData>
    <row r="1">
      <c r="A1" s="1" t="inlineStr">
        <is>
          <t>EQUIPMENT ESTIMATE</t>
        </is>
      </c>
    </row>
    <row r="3" ht="26" customHeight="1">
      <c r="A3" s="12" t="inlineStr">
        <is>
          <t>Equipment</t>
        </is>
      </c>
      <c r="B3" s="12" t="inlineStr">
        <is>
          <t>Days</t>
        </is>
      </c>
      <c r="C3" s="12" t="inlineStr">
        <is>
          <t>Daily Rate ($)</t>
        </is>
      </c>
      <c r="D3" s="12" t="inlineStr">
        <is>
          <t>Weeks</t>
        </is>
      </c>
      <c r="E3" s="12" t="inlineStr">
        <is>
          <t>Weekly Rate ($)</t>
        </is>
      </c>
      <c r="F3" s="12" t="inlineStr">
        <is>
          <t>Subtotal ($)</t>
        </is>
      </c>
    </row>
    <row r="4">
      <c r="A4" s="10" t="inlineStr">
        <is>
          <t>Sheet-metal brake / shear (rental)</t>
        </is>
      </c>
      <c r="B4" s="17" t="n">
        <v>0</v>
      </c>
      <c r="C4" s="18" t="n">
        <v>145</v>
      </c>
      <c r="D4" s="17" t="n">
        <v>0</v>
      </c>
      <c r="E4" s="18" t="n">
        <v>485</v>
      </c>
      <c r="F4" s="18">
        <f>(B4*C4)+(D4*E4)</f>
        <v/>
      </c>
    </row>
    <row r="5">
      <c r="A5" s="10" t="inlineStr">
        <is>
          <t>Threading machine 1" - 2"</t>
        </is>
      </c>
      <c r="B5" s="17" t="n">
        <v>0</v>
      </c>
      <c r="C5" s="18" t="n">
        <v>145</v>
      </c>
      <c r="D5" s="17" t="n">
        <v>0</v>
      </c>
      <c r="E5" s="18" t="n">
        <v>525</v>
      </c>
      <c r="F5" s="18">
        <f>(B5*C5)+(D5*E5)</f>
        <v/>
      </c>
    </row>
    <row r="6">
      <c r="A6" s="10" t="inlineStr">
        <is>
          <t>Pipe-bending machine — hydronic</t>
        </is>
      </c>
      <c r="B6" s="17" t="n">
        <v>0</v>
      </c>
      <c r="C6" s="18" t="n">
        <v>95</v>
      </c>
      <c r="D6" s="17" t="n">
        <v>0</v>
      </c>
      <c r="E6" s="18" t="n">
        <v>285</v>
      </c>
      <c r="F6" s="18">
        <f>(B6*C6)+(D6*E6)</f>
        <v/>
      </c>
    </row>
    <row r="7">
      <c r="A7" s="10" t="inlineStr">
        <is>
          <t>Refrigerant recovery machine + cylinders</t>
        </is>
      </c>
      <c r="B7" s="17" t="n">
        <v>0</v>
      </c>
      <c r="C7" s="18" t="n">
        <v>95</v>
      </c>
      <c r="D7" s="17" t="n">
        <v>0</v>
      </c>
      <c r="E7" s="18" t="n">
        <v>285</v>
      </c>
      <c r="F7" s="18">
        <f>(B7*C7)+(D7*E7)</f>
        <v/>
      </c>
    </row>
    <row r="8">
      <c r="A8" s="10" t="inlineStr">
        <is>
          <t>Vacuum pump — 2-stage 8 CFM</t>
        </is>
      </c>
      <c r="B8" s="17" t="n">
        <v>0</v>
      </c>
      <c r="C8" s="18" t="n">
        <v>65</v>
      </c>
      <c r="D8" s="17" t="n">
        <v>0</v>
      </c>
      <c r="E8" s="18" t="n">
        <v>195</v>
      </c>
      <c r="F8" s="18">
        <f>(B8*C8)+(D8*E8)</f>
        <v/>
      </c>
    </row>
    <row r="9">
      <c r="A9" s="10" t="inlineStr">
        <is>
          <t>Nitrogen tank + regulator</t>
        </is>
      </c>
      <c r="B9" s="17" t="n">
        <v>0</v>
      </c>
      <c r="C9" s="18" t="n">
        <v>35</v>
      </c>
      <c r="D9" s="17" t="n">
        <v>0</v>
      </c>
      <c r="E9" s="18" t="n">
        <v>105</v>
      </c>
      <c r="F9" s="18">
        <f>(B9*C9)+(D9*E9)</f>
        <v/>
      </c>
    </row>
    <row r="10">
      <c r="A10" s="10" t="inlineStr">
        <is>
          <t>Brazing torch + tank set</t>
        </is>
      </c>
      <c r="B10" s="17" t="n">
        <v>0</v>
      </c>
      <c r="C10" s="18" t="n">
        <v>45</v>
      </c>
      <c r="D10" s="17" t="n">
        <v>0</v>
      </c>
      <c r="E10" s="18" t="n">
        <v>145</v>
      </c>
      <c r="F10" s="18">
        <f>(B10*C10)+(D10*E10)</f>
        <v/>
      </c>
    </row>
    <row r="11">
      <c r="A11" s="10" t="inlineStr">
        <is>
          <t>Manifold gauge set + scale</t>
        </is>
      </c>
      <c r="B11" s="17" t="n">
        <v>0</v>
      </c>
      <c r="C11" s="18" t="n">
        <v>35</v>
      </c>
      <c r="D11" s="17" t="n">
        <v>0</v>
      </c>
      <c r="E11" s="18" t="n">
        <v>105</v>
      </c>
      <c r="F11" s="18">
        <f>(B11*C11)+(D11*E11)</f>
        <v/>
      </c>
    </row>
    <row r="12">
      <c r="A12" s="10" t="inlineStr">
        <is>
          <t>Hydronic flush kit</t>
        </is>
      </c>
      <c r="B12" s="17" t="n">
        <v>0</v>
      </c>
      <c r="C12" s="18" t="n">
        <v>95</v>
      </c>
      <c r="D12" s="17" t="n">
        <v>0</v>
      </c>
      <c r="E12" s="18" t="n">
        <v>285</v>
      </c>
      <c r="F12" s="18">
        <f>(B12*C12)+(D12*E12)</f>
        <v/>
      </c>
    </row>
    <row r="13">
      <c r="A13" s="10" t="inlineStr">
        <is>
          <t>Boom lift — 45'</t>
        </is>
      </c>
      <c r="B13" s="17" t="n">
        <v>0</v>
      </c>
      <c r="C13" s="18" t="n">
        <v>425</v>
      </c>
      <c r="D13" s="17" t="n">
        <v>0</v>
      </c>
      <c r="E13" s="18" t="n">
        <v>1485</v>
      </c>
      <c r="F13" s="18">
        <f>(B13*C13)+(D13*E13)</f>
        <v/>
      </c>
    </row>
    <row r="14">
      <c r="A14" s="10" t="inlineStr">
        <is>
          <t>Scissor lift — 19'</t>
        </is>
      </c>
      <c r="B14" s="17" t="n">
        <v>0</v>
      </c>
      <c r="C14" s="18" t="n">
        <v>145</v>
      </c>
      <c r="D14" s="17" t="n">
        <v>0</v>
      </c>
      <c r="E14" s="18" t="n">
        <v>485</v>
      </c>
      <c r="F14" s="18">
        <f>(B14*C14)+(D14*E14)</f>
        <v/>
      </c>
    </row>
    <row r="15">
      <c r="A15" s="10" t="inlineStr">
        <is>
          <t>Forklift — 5000 lb pneumatic</t>
        </is>
      </c>
      <c r="B15" s="17" t="n">
        <v>0</v>
      </c>
      <c r="C15" s="18" t="n">
        <v>285</v>
      </c>
      <c r="D15" s="17" t="n">
        <v>0</v>
      </c>
      <c r="E15" s="18" t="n">
        <v>985</v>
      </c>
      <c r="F15" s="18">
        <f>(B15*C15)+(D15*E15)</f>
        <v/>
      </c>
    </row>
    <row r="16">
      <c r="A16" s="10" t="inlineStr">
        <is>
          <t>Generator — 5kW portable</t>
        </is>
      </c>
      <c r="B16" s="17" t="n">
        <v>0</v>
      </c>
      <c r="C16" s="18" t="n">
        <v>65</v>
      </c>
      <c r="D16" s="17" t="n">
        <v>0</v>
      </c>
      <c r="E16" s="18" t="n">
        <v>195</v>
      </c>
      <c r="F16" s="18">
        <f>(B16*C16)+(D16*E16)</f>
        <v/>
      </c>
    </row>
    <row r="17">
      <c r="A17" s="10" t="inlineStr">
        <is>
          <t>Crane / rigging for heavy equipment lift</t>
        </is>
      </c>
      <c r="B17" s="17" t="n">
        <v>0</v>
      </c>
      <c r="C17" s="18" t="n">
        <v>1850</v>
      </c>
      <c r="D17" s="17" t="n">
        <v>0</v>
      </c>
      <c r="E17" s="18" t="n">
        <v>0</v>
      </c>
      <c r="F17" s="18">
        <f>(B17*C17)+(D17*E17)</f>
        <v/>
      </c>
    </row>
    <row r="18">
      <c r="A18" s="10" t="inlineStr">
        <is>
          <t>Office trailer (allocation)</t>
        </is>
      </c>
      <c r="B18" s="17" t="n">
        <v>0</v>
      </c>
      <c r="C18" s="18" t="n">
        <v>0</v>
      </c>
      <c r="D18" s="17" t="n">
        <v>0</v>
      </c>
      <c r="E18" s="18" t="n">
        <v>285</v>
      </c>
      <c r="F18" s="18">
        <f>(B18*C18)+(D18*E18)</f>
        <v/>
      </c>
    </row>
    <row r="19">
      <c r="A19" s="10" t="inlineStr">
        <is>
          <t>Truck / van allocation</t>
        </is>
      </c>
      <c r="B19" s="17" t="n">
        <v>0</v>
      </c>
      <c r="C19" s="18" t="n">
        <v>0</v>
      </c>
      <c r="D19" s="17" t="n">
        <v>0</v>
      </c>
      <c r="E19" s="18" t="n">
        <v>425</v>
      </c>
      <c r="F19" s="18">
        <f>(B19*C19)+(D19*E19)</f>
        <v/>
      </c>
    </row>
    <row r="21">
      <c r="E21" s="19" t="inlineStr">
        <is>
          <t>Equipment Subtotal</t>
        </is>
      </c>
      <c r="F21" s="24">
        <f>SUM(F4:F19)</f>
        <v/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6" customWidth="1" min="4" max="4"/>
    <col width="18" customWidth="1" min="5" max="5"/>
  </cols>
  <sheetData>
    <row r="1">
      <c r="A1" s="1" t="inlineStr">
        <is>
          <t>SUBCONTRACT ESTIMATE</t>
        </is>
      </c>
    </row>
    <row r="3" ht="26" customHeight="1">
      <c r="A3" s="12" t="inlineStr">
        <is>
          <t>Scope (if subbed)</t>
        </is>
      </c>
      <c r="B3" s="12" t="inlineStr">
        <is>
          <t>Vendor / Quote</t>
        </is>
      </c>
      <c r="C3" s="12" t="inlineStr">
        <is>
          <t>Quote $</t>
        </is>
      </c>
      <c r="D3" s="12" t="inlineStr">
        <is>
          <t>Markup %</t>
        </is>
      </c>
      <c r="E3" s="12" t="inlineStr">
        <is>
          <t>Subtotal ($)</t>
        </is>
      </c>
    </row>
    <row r="4">
      <c r="A4" s="10" t="inlineStr">
        <is>
          <t>Test, Adjust, Balance (TAB) — NEBB / AABC</t>
        </is>
      </c>
      <c r="B4" s="10" t="inlineStr"/>
      <c r="C4" s="18" t="n">
        <v>0</v>
      </c>
      <c r="D4" s="28" t="n">
        <v>0.1</v>
      </c>
      <c r="E4" s="18">
        <f>C4*(1+D4)</f>
        <v/>
      </c>
    </row>
    <row r="5">
      <c r="A5" s="10" t="inlineStr">
        <is>
          <t>Commissioning (Cx) — third-party CxA</t>
        </is>
      </c>
      <c r="B5" s="10" t="inlineStr"/>
      <c r="C5" s="18" t="n">
        <v>0</v>
      </c>
      <c r="D5" s="28" t="n">
        <v>0.1</v>
      </c>
      <c r="E5" s="18">
        <f>C5*(1+D5)</f>
        <v/>
      </c>
    </row>
    <row r="6">
      <c r="A6" s="10" t="inlineStr">
        <is>
          <t>BAS / DDC programming</t>
        </is>
      </c>
      <c r="B6" s="10" t="inlineStr"/>
      <c r="C6" s="18" t="n">
        <v>0</v>
      </c>
      <c r="D6" s="28" t="n">
        <v>0.1</v>
      </c>
      <c r="E6" s="18">
        <f>C6*(1+D6)</f>
        <v/>
      </c>
    </row>
    <row r="7">
      <c r="A7" s="10" t="inlineStr">
        <is>
          <t>Refrigerant charging + commissioning (EPA 608)</t>
        </is>
      </c>
      <c r="B7" s="10" t="inlineStr"/>
      <c r="C7" s="18" t="n">
        <v>0</v>
      </c>
      <c r="D7" s="28" t="n">
        <v>0.1</v>
      </c>
      <c r="E7" s="18">
        <f>C7*(1+D7)</f>
        <v/>
      </c>
    </row>
    <row r="8">
      <c r="A8" s="10" t="inlineStr">
        <is>
          <t>Boiler / chiller start-up — vendor</t>
        </is>
      </c>
      <c r="B8" s="10" t="inlineStr"/>
      <c r="C8" s="18" t="n">
        <v>0</v>
      </c>
      <c r="D8" s="28" t="n">
        <v>0.05</v>
      </c>
      <c r="E8" s="18">
        <f>C8*(1+D8)</f>
        <v/>
      </c>
    </row>
    <row r="9">
      <c r="A9" s="10" t="inlineStr">
        <is>
          <t>Insulation (if subbed)</t>
        </is>
      </c>
      <c r="B9" s="10" t="inlineStr"/>
      <c r="C9" s="18" t="n">
        <v>0</v>
      </c>
      <c r="D9" s="28" t="n">
        <v>0.1</v>
      </c>
      <c r="E9" s="18">
        <f>C9*(1+D9)</f>
        <v/>
      </c>
    </row>
    <row r="10">
      <c r="A10" s="10" t="inlineStr">
        <is>
          <t>Sheet-metal pre-fab (if subbed)</t>
        </is>
      </c>
      <c r="B10" s="10" t="inlineStr"/>
      <c r="C10" s="18" t="n">
        <v>0</v>
      </c>
      <c r="D10" s="28" t="n">
        <v>0.1</v>
      </c>
      <c r="E10" s="18">
        <f>C10*(1+D10)</f>
        <v/>
      </c>
    </row>
    <row r="11">
      <c r="A11" s="10" t="inlineStr">
        <is>
          <t>Crane / rigging — specialty heavy lift</t>
        </is>
      </c>
      <c r="B11" s="10" t="inlineStr"/>
      <c r="C11" s="18" t="n">
        <v>0</v>
      </c>
      <c r="D11" s="28" t="n">
        <v>0.1</v>
      </c>
      <c r="E11" s="18">
        <f>C11*(1+D11)</f>
        <v/>
      </c>
    </row>
    <row r="12">
      <c r="A12" s="10" t="inlineStr">
        <is>
          <t>Roof curbs + flashing</t>
        </is>
      </c>
      <c r="B12" s="10" t="inlineStr"/>
      <c r="C12" s="18" t="n">
        <v>0</v>
      </c>
      <c r="D12" s="28" t="n">
        <v>0.1</v>
      </c>
      <c r="E12" s="18">
        <f>C12*(1+D12)</f>
        <v/>
      </c>
    </row>
    <row r="13">
      <c r="A13" s="10" t="inlineStr">
        <is>
          <t>Hazmat / asbestos abatement (legacy MEP)</t>
        </is>
      </c>
      <c r="B13" s="10" t="inlineStr"/>
      <c r="C13" s="18" t="n">
        <v>0</v>
      </c>
      <c r="D13" s="28" t="n">
        <v>0.1</v>
      </c>
      <c r="E13" s="18">
        <f>C13*(1+D13)</f>
        <v/>
      </c>
    </row>
    <row r="14">
      <c r="A14" s="10" t="inlineStr">
        <is>
          <t>Concrete saw-cutting / core drilling</t>
        </is>
      </c>
      <c r="B14" s="10" t="inlineStr"/>
      <c r="C14" s="18" t="n">
        <v>0</v>
      </c>
      <c r="D14" s="28" t="n">
        <v>0.1</v>
      </c>
      <c r="E14" s="18">
        <f>C14*(1+D14)</f>
        <v/>
      </c>
    </row>
    <row r="15">
      <c r="A15" s="10" t="inlineStr">
        <is>
          <t>Hot-tap / live-cutover (gas / chilled water)</t>
        </is>
      </c>
      <c r="B15" s="10" t="inlineStr"/>
      <c r="C15" s="18" t="n">
        <v>0</v>
      </c>
      <c r="D15" s="28" t="n">
        <v>0.1</v>
      </c>
      <c r="E15" s="18">
        <f>C15*(1+D15)</f>
        <v/>
      </c>
    </row>
    <row r="17">
      <c r="D17" s="19" t="inlineStr">
        <is>
          <t>Subcontract Subtotal</t>
        </is>
      </c>
      <c r="E17" s="24">
        <f>SUM(E4:E15)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8" customWidth="1" min="3" max="3"/>
    <col width="18" customWidth="1" min="4" max="4"/>
  </cols>
  <sheetData>
    <row r="1">
      <c r="A1" s="1" t="inlineStr">
        <is>
          <t>PREMIUMS &amp; CONDITIONS</t>
        </is>
      </c>
    </row>
    <row r="3" ht="26" customHeight="1">
      <c r="A3" s="12" t="inlineStr">
        <is>
          <t>Premium</t>
        </is>
      </c>
      <c r="B3" s="12" t="inlineStr">
        <is>
          <t>Applies? (Y/N)</t>
        </is>
      </c>
      <c r="C3" s="12" t="inlineStr">
        <is>
          <t>Adder %</t>
        </is>
      </c>
      <c r="D3" s="12" t="inlineStr">
        <is>
          <t>Adder $ (overrides %)</t>
        </is>
      </c>
    </row>
    <row r="4">
      <c r="A4" s="10" t="inlineStr">
        <is>
          <t>Prevailing wage</t>
        </is>
      </c>
      <c r="B4" s="16" t="inlineStr">
        <is>
          <t>N</t>
        </is>
      </c>
      <c r="C4" s="28" t="n">
        <v>0.15</v>
      </c>
      <c r="D4" s="18" t="n">
        <v>0</v>
      </c>
    </row>
    <row r="5">
      <c r="A5" s="10" t="inlineStr">
        <is>
          <t>Occupied building / live-cutover</t>
        </is>
      </c>
      <c r="B5" s="16" t="inlineStr">
        <is>
          <t>N</t>
        </is>
      </c>
      <c r="C5" s="28" t="n">
        <v>0.1</v>
      </c>
      <c r="D5" s="18" t="n">
        <v>0</v>
      </c>
    </row>
    <row r="6">
      <c r="A6" s="10" t="inlineStr">
        <is>
          <t>Hospital ICRA tier 3+</t>
        </is>
      </c>
      <c r="B6" s="16" t="inlineStr">
        <is>
          <t>N</t>
        </is>
      </c>
      <c r="C6" s="28" t="n">
        <v>0.1</v>
      </c>
      <c r="D6" s="18" t="n">
        <v>0</v>
      </c>
    </row>
    <row r="7">
      <c r="A7" s="10" t="inlineStr">
        <is>
          <t>Heights &gt; 14 ft (lift / crane)</t>
        </is>
      </c>
      <c r="B7" s="16" t="inlineStr">
        <is>
          <t>N</t>
        </is>
      </c>
      <c r="C7" s="28" t="n">
        <v>0.05</v>
      </c>
      <c r="D7" s="18" t="n">
        <v>0</v>
      </c>
    </row>
    <row r="8">
      <c r="A8" s="10" t="inlineStr">
        <is>
          <t>Roof-top set requiring crane lift</t>
        </is>
      </c>
      <c r="B8" s="16" t="inlineStr">
        <is>
          <t>N</t>
        </is>
      </c>
      <c r="C8" s="28" t="n">
        <v>0.06</v>
      </c>
      <c r="D8" s="18" t="n">
        <v>0</v>
      </c>
    </row>
    <row r="9">
      <c r="A9" s="10" t="inlineStr">
        <is>
          <t>Tight mechanical room (extended labor)</t>
        </is>
      </c>
      <c r="B9" s="16" t="inlineStr">
        <is>
          <t>N</t>
        </is>
      </c>
      <c r="C9" s="28" t="n">
        <v>0.05</v>
      </c>
      <c r="D9" s="18" t="n">
        <v>0</v>
      </c>
    </row>
    <row r="10">
      <c r="A10" s="10" t="inlineStr">
        <is>
          <t>Hazardous-area (refrigerant + flammable)</t>
        </is>
      </c>
      <c r="B10" s="16" t="inlineStr">
        <is>
          <t>N</t>
        </is>
      </c>
      <c r="C10" s="28" t="n">
        <v>0.06</v>
      </c>
      <c r="D10" s="18" t="n">
        <v>0</v>
      </c>
    </row>
    <row r="11">
      <c r="A11" s="10" t="inlineStr">
        <is>
          <t>After-hours / weekend / night shift</t>
        </is>
      </c>
      <c r="B11" s="16" t="inlineStr">
        <is>
          <t>N</t>
        </is>
      </c>
      <c r="C11" s="28" t="n">
        <v>0.2</v>
      </c>
      <c r="D11" s="18" t="n">
        <v>0</v>
      </c>
    </row>
    <row r="12">
      <c r="A12" s="10" t="inlineStr">
        <is>
          <t>Travel / per diem</t>
        </is>
      </c>
      <c r="B12" s="16" t="inlineStr">
        <is>
          <t>N</t>
        </is>
      </c>
      <c r="C12" s="28" t="n">
        <v>0.03</v>
      </c>
      <c r="D12" s="18" t="n">
        <v>0</v>
      </c>
    </row>
    <row r="13">
      <c r="A13" s="10" t="inlineStr">
        <is>
          <t>Winter / cold-weather working</t>
        </is>
      </c>
      <c r="B13" s="16" t="inlineStr">
        <is>
          <t>N</t>
        </is>
      </c>
      <c r="C13" s="28" t="n">
        <v>0.04</v>
      </c>
      <c r="D13" s="18" t="n">
        <v>0</v>
      </c>
    </row>
    <row r="14">
      <c r="A14" s="10" t="inlineStr">
        <is>
          <t>LEED / Cx documentation</t>
        </is>
      </c>
      <c r="B14" s="16" t="inlineStr">
        <is>
          <t>N</t>
        </is>
      </c>
      <c r="C14" s="28" t="n">
        <v>0.04</v>
      </c>
      <c r="D14" s="18" t="n">
        <v>0</v>
      </c>
    </row>
    <row r="15">
      <c r="A15" s="10" t="inlineStr">
        <is>
          <t>Owner-direct equipment (no markup)</t>
        </is>
      </c>
      <c r="B15" s="16" t="inlineStr">
        <is>
          <t>N</t>
        </is>
      </c>
      <c r="C15" s="28" t="n">
        <v>-0.1</v>
      </c>
      <c r="D15" s="18" t="n">
        <v>0</v>
      </c>
    </row>
    <row r="17">
      <c r="A17" s="19" t="inlineStr">
        <is>
          <t>Premium $ total (applies-Y only)</t>
        </is>
      </c>
      <c r="D17" s="24">
        <f>SUMPRODUCT((B4:B15="Y")*D4:D15)</f>
        <v/>
      </c>
    </row>
    <row r="18">
      <c r="A18" s="19" t="inlineStr">
        <is>
          <t>Premium % total (applies-Y only)</t>
        </is>
      </c>
      <c r="D18" s="29">
        <f>SUMPRODUCT((B4:B15="Y")*C4:C15)</f>
        <v/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CSI MASTERFORMAT — DIVISION 23 HEATING / VENTILATING / AIR-CONDITIONING</t>
        </is>
      </c>
    </row>
    <row r="3">
      <c r="A3" s="30" t="inlineStr">
        <is>
          <t>23 00 00</t>
        </is>
      </c>
      <c r="B3" s="10" t="inlineStr">
        <is>
          <t>HEATING, VENTILATING, AND AIR-CONDITIONING (HVAC)</t>
        </is>
      </c>
    </row>
    <row r="4">
      <c r="A4" s="30" t="inlineStr">
        <is>
          <t>23 05 00</t>
        </is>
      </c>
      <c r="B4" s="10" t="inlineStr">
        <is>
          <t>Common Work Results for HVAC</t>
        </is>
      </c>
    </row>
    <row r="5">
      <c r="A5" s="30" t="inlineStr">
        <is>
          <t>23 05 13</t>
        </is>
      </c>
      <c r="B5" s="10" t="inlineStr">
        <is>
          <t>Common Motor Requirements for HVAC Equipment</t>
        </is>
      </c>
    </row>
    <row r="6">
      <c r="A6" s="30" t="inlineStr">
        <is>
          <t>23 05 17</t>
        </is>
      </c>
      <c r="B6" s="10" t="inlineStr">
        <is>
          <t>Sleeves and Sleeve Seals for HVAC Piping</t>
        </is>
      </c>
    </row>
    <row r="7">
      <c r="A7" s="30" t="inlineStr">
        <is>
          <t>23 05 19</t>
        </is>
      </c>
      <c r="B7" s="10" t="inlineStr">
        <is>
          <t>Meters and Gauges for HVAC Piping</t>
        </is>
      </c>
    </row>
    <row r="8">
      <c r="A8" s="30" t="inlineStr">
        <is>
          <t>23 05 23</t>
        </is>
      </c>
      <c r="B8" s="10" t="inlineStr">
        <is>
          <t>General-Duty Valves for HVAC Piping</t>
        </is>
      </c>
    </row>
    <row r="9">
      <c r="A9" s="30" t="inlineStr">
        <is>
          <t>23 05 29</t>
        </is>
      </c>
      <c r="B9" s="10" t="inlineStr">
        <is>
          <t>Hangers and Supports for HVAC Piping and Equipment</t>
        </is>
      </c>
    </row>
    <row r="10">
      <c r="A10" s="30" t="inlineStr">
        <is>
          <t>23 05 53</t>
        </is>
      </c>
      <c r="B10" s="10" t="inlineStr">
        <is>
          <t>Identification for HVAC Piping and Equipment</t>
        </is>
      </c>
    </row>
    <row r="11">
      <c r="A11" s="30" t="inlineStr">
        <is>
          <t>23 05 93</t>
        </is>
      </c>
      <c r="B11" s="10" t="inlineStr">
        <is>
          <t>Testing, Adjusting, and Balancing for HVAC</t>
        </is>
      </c>
    </row>
    <row r="12">
      <c r="A12" s="30" t="inlineStr">
        <is>
          <t>23 07 00</t>
        </is>
      </c>
      <c r="B12" s="10" t="inlineStr">
        <is>
          <t>HVAC Insulation</t>
        </is>
      </c>
    </row>
    <row r="13">
      <c r="A13" s="30" t="inlineStr">
        <is>
          <t>23 07 13</t>
        </is>
      </c>
      <c r="B13" s="10" t="inlineStr">
        <is>
          <t>Duct Insulation</t>
        </is>
      </c>
    </row>
    <row r="14">
      <c r="A14" s="30" t="inlineStr">
        <is>
          <t>23 07 19</t>
        </is>
      </c>
      <c r="B14" s="10" t="inlineStr">
        <is>
          <t>HVAC Piping Insulation</t>
        </is>
      </c>
    </row>
    <row r="15">
      <c r="A15" s="30" t="inlineStr">
        <is>
          <t>23 08 00</t>
        </is>
      </c>
      <c r="B15" s="10" t="inlineStr">
        <is>
          <t>Commissioning of HVAC</t>
        </is>
      </c>
    </row>
    <row r="16">
      <c r="A16" s="30" t="inlineStr">
        <is>
          <t>23 09 00</t>
        </is>
      </c>
      <c r="B16" s="10" t="inlineStr">
        <is>
          <t>Instrumentation and Control for HVAC</t>
        </is>
      </c>
    </row>
    <row r="17">
      <c r="A17" s="30" t="inlineStr">
        <is>
          <t>23 09 23</t>
        </is>
      </c>
      <c r="B17" s="10" t="inlineStr">
        <is>
          <t>Direct-Digital Control System for HVAC</t>
        </is>
      </c>
    </row>
    <row r="18">
      <c r="A18" s="30" t="inlineStr">
        <is>
          <t>23 09 33</t>
        </is>
      </c>
      <c r="B18" s="10" t="inlineStr">
        <is>
          <t>Electric and Electronic Control System for HVAC</t>
        </is>
      </c>
    </row>
    <row r="19">
      <c r="A19" s="30" t="inlineStr">
        <is>
          <t>23 11 23</t>
        </is>
      </c>
      <c r="B19" s="10" t="inlineStr">
        <is>
          <t>Facility Natural-Gas Piping</t>
        </is>
      </c>
    </row>
    <row r="20">
      <c r="A20" s="30" t="inlineStr">
        <is>
          <t>23 21 13</t>
        </is>
      </c>
      <c r="B20" s="10" t="inlineStr">
        <is>
          <t>Hydronic Piping</t>
        </is>
      </c>
    </row>
    <row r="21">
      <c r="A21" s="30" t="inlineStr">
        <is>
          <t>23 21 16</t>
        </is>
      </c>
      <c r="B21" s="10" t="inlineStr">
        <is>
          <t>Hydronic Piping Specialties</t>
        </is>
      </c>
    </row>
    <row r="22">
      <c r="A22" s="30" t="inlineStr">
        <is>
          <t>23 21 23</t>
        </is>
      </c>
      <c r="B22" s="10" t="inlineStr">
        <is>
          <t>Hydronic Pumps</t>
        </is>
      </c>
    </row>
    <row r="23">
      <c r="A23" s="30" t="inlineStr">
        <is>
          <t>23 22 13</t>
        </is>
      </c>
      <c r="B23" s="10" t="inlineStr">
        <is>
          <t>Steam and Condensate Heating Piping</t>
        </is>
      </c>
    </row>
    <row r="24">
      <c r="A24" s="30" t="inlineStr">
        <is>
          <t>23 25 13</t>
        </is>
      </c>
      <c r="B24" s="10" t="inlineStr">
        <is>
          <t>Water Treatment for Closed-Loop Hydronic Systems</t>
        </is>
      </c>
    </row>
    <row r="25">
      <c r="A25" s="30" t="inlineStr">
        <is>
          <t>23 31 13</t>
        </is>
      </c>
      <c r="B25" s="10" t="inlineStr">
        <is>
          <t>Metal Ducts</t>
        </is>
      </c>
    </row>
    <row r="26">
      <c r="A26" s="30" t="inlineStr">
        <is>
          <t>23 31 16</t>
        </is>
      </c>
      <c r="B26" s="10" t="inlineStr">
        <is>
          <t>Nonmetal Ducts (fabric, FRP)</t>
        </is>
      </c>
    </row>
    <row r="27">
      <c r="A27" s="30" t="inlineStr">
        <is>
          <t>23 31 19</t>
        </is>
      </c>
      <c r="B27" s="10" t="inlineStr">
        <is>
          <t>HVAC Casings</t>
        </is>
      </c>
    </row>
    <row r="28">
      <c r="A28" s="30" t="inlineStr">
        <is>
          <t>23 33 13</t>
        </is>
      </c>
      <c r="B28" s="10" t="inlineStr">
        <is>
          <t>Dampers</t>
        </is>
      </c>
    </row>
    <row r="29">
      <c r="A29" s="30" t="inlineStr">
        <is>
          <t>23 33 19</t>
        </is>
      </c>
      <c r="B29" s="10" t="inlineStr">
        <is>
          <t>Duct Silencers</t>
        </is>
      </c>
    </row>
    <row r="30">
      <c r="A30" s="30" t="inlineStr">
        <is>
          <t>23 33 33</t>
        </is>
      </c>
      <c r="B30" s="10" t="inlineStr">
        <is>
          <t>Air-Duct Accessories — Fire Dampers, Smoke Dampers</t>
        </is>
      </c>
    </row>
    <row r="31">
      <c r="A31" s="30" t="inlineStr">
        <is>
          <t>23 34 13</t>
        </is>
      </c>
      <c r="B31" s="10" t="inlineStr">
        <is>
          <t>Axial HVAC Fans</t>
        </is>
      </c>
    </row>
    <row r="32">
      <c r="A32" s="30" t="inlineStr">
        <is>
          <t>23 34 16</t>
        </is>
      </c>
      <c r="B32" s="10" t="inlineStr">
        <is>
          <t>Centrifugal HVAC Fans</t>
        </is>
      </c>
    </row>
    <row r="33">
      <c r="A33" s="30" t="inlineStr">
        <is>
          <t>23 36 16</t>
        </is>
      </c>
      <c r="B33" s="10" t="inlineStr">
        <is>
          <t>Variable Air Volume Boxes (VAV)</t>
        </is>
      </c>
    </row>
    <row r="34">
      <c r="A34" s="30" t="inlineStr">
        <is>
          <t>23 37 13</t>
        </is>
      </c>
      <c r="B34" s="10" t="inlineStr">
        <is>
          <t>Diffusers, Registers, and Grilles</t>
        </is>
      </c>
    </row>
    <row r="35">
      <c r="A35" s="30" t="inlineStr">
        <is>
          <t>23 41 00</t>
        </is>
      </c>
      <c r="B35" s="10" t="inlineStr">
        <is>
          <t>Particulate Air Filtration</t>
        </is>
      </c>
    </row>
    <row r="36">
      <c r="A36" s="30" t="inlineStr">
        <is>
          <t>23 52 13</t>
        </is>
      </c>
      <c r="B36" s="10" t="inlineStr">
        <is>
          <t>Hot-Water Boilers</t>
        </is>
      </c>
    </row>
    <row r="37">
      <c r="A37" s="30" t="inlineStr">
        <is>
          <t>23 52 39</t>
        </is>
      </c>
      <c r="B37" s="10" t="inlineStr">
        <is>
          <t>Electric Boilers</t>
        </is>
      </c>
    </row>
    <row r="38">
      <c r="A38" s="30" t="inlineStr">
        <is>
          <t>23 54 13</t>
        </is>
      </c>
      <c r="B38" s="10" t="inlineStr">
        <is>
          <t>Gas Furnaces</t>
        </is>
      </c>
    </row>
    <row r="39">
      <c r="A39" s="30" t="inlineStr">
        <is>
          <t>23 57 13</t>
        </is>
      </c>
      <c r="B39" s="10" t="inlineStr">
        <is>
          <t>Heat Exchangers for HVAC</t>
        </is>
      </c>
    </row>
    <row r="40">
      <c r="A40" s="30" t="inlineStr">
        <is>
          <t>23 62 13</t>
        </is>
      </c>
      <c r="B40" s="10" t="inlineStr">
        <is>
          <t>Packaged Compressor and Condenser Units</t>
        </is>
      </c>
    </row>
    <row r="41">
      <c r="A41" s="30" t="inlineStr">
        <is>
          <t>23 62 23</t>
        </is>
      </c>
      <c r="B41" s="10" t="inlineStr">
        <is>
          <t>Refrigerant Piping</t>
        </is>
      </c>
    </row>
    <row r="42">
      <c r="A42" s="30" t="inlineStr">
        <is>
          <t>23 64 16</t>
        </is>
      </c>
      <c r="B42" s="10" t="inlineStr">
        <is>
          <t>Air-Cooled Chillers</t>
        </is>
      </c>
    </row>
    <row r="43">
      <c r="A43" s="30" t="inlineStr">
        <is>
          <t>23 64 19</t>
        </is>
      </c>
      <c r="B43" s="10" t="inlineStr">
        <is>
          <t>Water-Cooled Chillers</t>
        </is>
      </c>
    </row>
    <row r="44">
      <c r="A44" s="30" t="inlineStr">
        <is>
          <t>23 65 13</t>
        </is>
      </c>
      <c r="B44" s="10" t="inlineStr">
        <is>
          <t>Cooling Towers</t>
        </is>
      </c>
    </row>
    <row r="45">
      <c r="A45" s="30" t="inlineStr">
        <is>
          <t>23 72 13</t>
        </is>
      </c>
      <c r="B45" s="10" t="inlineStr">
        <is>
          <t>Air-to-Air Energy Recovery Equipment (ERV / HRV)</t>
        </is>
      </c>
    </row>
    <row r="46">
      <c r="A46" s="30" t="inlineStr">
        <is>
          <t>23 73 13</t>
        </is>
      </c>
      <c r="B46" s="10" t="inlineStr">
        <is>
          <t>Indoor Central-Station Air-Handling Units</t>
        </is>
      </c>
    </row>
    <row r="47">
      <c r="A47" s="30" t="inlineStr">
        <is>
          <t>23 73 23</t>
        </is>
      </c>
      <c r="B47" s="10" t="inlineStr">
        <is>
          <t>Packaged Outdoor HVAC (Rooftop)</t>
        </is>
      </c>
    </row>
    <row r="48">
      <c r="A48" s="30" t="inlineStr">
        <is>
          <t>23 81 13</t>
        </is>
      </c>
      <c r="B48" s="10" t="inlineStr">
        <is>
          <t>Fan-Coil Units</t>
        </is>
      </c>
    </row>
    <row r="49">
      <c r="A49" s="30" t="inlineStr">
        <is>
          <t>23 81 23</t>
        </is>
      </c>
      <c r="B49" s="10" t="inlineStr">
        <is>
          <t>Computer-Room Air Conditioners (CRAC / CRAH)</t>
        </is>
      </c>
    </row>
    <row r="50">
      <c r="A50" s="30" t="inlineStr">
        <is>
          <t>23 81 26</t>
        </is>
      </c>
      <c r="B50" s="10" t="inlineStr">
        <is>
          <t>Heat Pumps — Air-Source</t>
        </is>
      </c>
    </row>
    <row r="51">
      <c r="A51" s="30" t="inlineStr">
        <is>
          <t>23 83 13</t>
        </is>
      </c>
      <c r="B51" s="10" t="inlineStr">
        <is>
          <t>Radiant Heating</t>
        </is>
      </c>
    </row>
    <row r="52">
      <c r="A52" s="30" t="inlineStr">
        <is>
          <t>22 13 / 22 14</t>
        </is>
      </c>
      <c r="B52" s="10" t="inlineStr">
        <is>
          <t>Plumbing — sanitary / storm (cross-ref)</t>
        </is>
      </c>
    </row>
    <row r="53">
      <c r="A53" s="30" t="inlineStr">
        <is>
          <t>26 27 / 26 28</t>
        </is>
      </c>
      <c r="B53" s="10" t="inlineStr">
        <is>
          <t>Electrical — power + disconnects to HVAC equipment (cross-ref)</t>
        </is>
      </c>
    </row>
    <row r="54">
      <c r="A54" s="30" t="inlineStr">
        <is>
          <t>27 21 / 27 22</t>
        </is>
      </c>
      <c r="B54" s="10" t="inlineStr">
        <is>
          <t>BAS Communications (cross-ref)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2026-05-19T20:42:29Z</dcterms:created>
  <dcterms:modified xmlns:dcterms="http://purl.org/dc/terms/" xmlns:xsi="http://www.w3.org/2001/XMLSchema-instance" xsi:type="dcterms:W3CDTF">2026-05-19T20:42:29Z</dcterms:modified>
</cp:coreProperties>
</file>