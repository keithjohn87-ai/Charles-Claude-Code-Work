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ject Info" sheetId="2" state="visible" r:id="rId2"/>
    <sheet xmlns:r="http://schemas.openxmlformats.org/officeDocument/2006/relationships" name="Anchor Rod Survey" sheetId="3" state="visible" r:id="rId3"/>
    <sheet xmlns:r="http://schemas.openxmlformats.org/officeDocument/2006/relationships" name="Column Plumb Log" sheetId="4" state="visible" r:id="rId4"/>
    <sheet xmlns:r="http://schemas.openxmlformats.org/officeDocument/2006/relationships" name="Floor Elevation Log" sheetId="5" state="visible" r:id="rId5"/>
    <sheet xmlns:r="http://schemas.openxmlformats.org/officeDocument/2006/relationships" name="Deviation RFI Tracker" sheetId="6" state="visible" r:id="rId6"/>
    <sheet xmlns:r="http://schemas.openxmlformats.org/officeDocument/2006/relationships" name="Daily Summary" sheetId="7" state="visible" r:id="rId7"/>
    <sheet xmlns:r="http://schemas.openxmlformats.org/officeDocument/2006/relationships" name="Tolerance Reference" sheetId="8" state="hidden" r:id="rId8"/>
  </sheets>
  <definedNames>
    <definedName name="ProjectName">'Project Info'!$C$3</definedName>
    <definedName name="Erector">'Project Info'!$C$7</definedName>
    <definedName name="EOR">'Project Info'!$C$8</definedName>
    <definedName name="PlumbRatio">'Project Info'!$C$16</definedName>
    <definedName name="AnchorSingleTol">'Project Info'!$C$17</definedName>
    <definedName name="AnchorPatternTol">'Project Info'!$C$18</definedName>
    <definedName name="AnchorStickupTol">'Project Info'!$C$19</definedName>
    <definedName name="BeamElevTol">'Project Info'!$C$20</definedName>
    <definedName name="FloorHeightTol">'Project Info'!$C$21</definedName>
    <definedName name="DriftEnvelope">'Project Info'!$C$22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"/>
    <numFmt numFmtId="166" formatCode="#,##0.0&quot; ft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22"/>
    </font>
    <font>
      <name val="Calibri"/>
      <sz val="11"/>
    </font>
    <font>
      <name val="Calibri"/>
      <b val="1"/>
      <color rgb="001E3A5F"/>
      <sz val="12"/>
    </font>
    <font>
      <name val="Calibri"/>
      <b val="1"/>
      <sz val="11"/>
    </font>
    <font>
      <name val="Calibri"/>
      <i val="1"/>
      <color rgb="00808080"/>
      <sz val="11"/>
    </font>
    <font>
      <name val="Calibri"/>
      <b val="1"/>
      <color rgb="00FFFFFF"/>
      <sz val="11"/>
    </font>
    <font>
      <name val="Calibri"/>
      <b val="1"/>
      <color rgb="001E3A5F"/>
      <sz val="18"/>
    </font>
  </fonts>
  <fills count="4">
    <fill>
      <patternFill/>
    </fill>
    <fill>
      <patternFill patternType="gray125"/>
    </fill>
    <fill>
      <patternFill patternType="solid">
        <fgColor rgb="00D6E0EC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B0B7BF"/>
      </left>
      <right style="thin">
        <color rgb="00B0B7BF"/>
      </right>
      <top style="thin">
        <color rgb="00B0B7BF"/>
      </top>
      <bottom style="thin">
        <color rgb="00B0B7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pivotButton="0" quotePrefix="0" xfId="0"/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" fontId="2" fillId="0" borderId="1" applyAlignment="1" pivotButton="0" quotePrefix="0" xfId="0">
      <alignment vertical="center"/>
    </xf>
    <xf numFmtId="0" fontId="3" fillId="0" borderId="0" pivotButton="0" quotePrefix="0" xfId="0"/>
    <xf numFmtId="1" fontId="7" fillId="0" borderId="1" pivotButton="0" quotePrefix="0" xfId="0"/>
    <xf numFmtId="1" fontId="4" fillId="0" borderId="1" pivotButton="0" quotePrefix="0" xfId="0"/>
    <xf numFmtId="0" fontId="6" fillId="3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color rgb="009C57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36" customHeight="1">
      <c r="A1" s="1" t="inlineStr">
        <is>
          <t>TOLERANCE SURVEY LOG — Instructions</t>
        </is>
      </c>
    </row>
    <row r="2">
      <c r="A2" s="2" t="inlineStr"/>
    </row>
    <row r="3">
      <c r="A3" s="3" t="inlineStr">
        <is>
          <t>WHAT THIS WORKBOOK IS</t>
        </is>
      </c>
    </row>
    <row r="4">
      <c r="A4" s="2" t="inlineStr">
        <is>
          <t>Daily survey + deviation log for AISC §7.13 tolerance compliance. Pair with the Plumb-and-True Tolerance Guide HTML. The workbook auto-flags OK / Out-of-Tolerance based on §7.13 limits.</t>
        </is>
      </c>
    </row>
    <row r="5">
      <c r="A5" s="2" t="inlineStr"/>
    </row>
    <row r="6">
      <c r="A6" s="3" t="inlineStr">
        <is>
          <t>WORKFLOW</t>
        </is>
      </c>
    </row>
    <row r="7">
      <c r="A7" s="2" t="inlineStr">
        <is>
          <t>1. Project Info: project, GC, erector, surveyor, EOR, project-spec tolerance (default §7.13 OR tighter per Contract).</t>
        </is>
      </c>
    </row>
    <row r="8">
      <c r="A8" s="2" t="inlineStr">
        <is>
          <t>2. Anchor Rod Survey: log every anchor — theoretical and as-found positions. Variance auto-computes. Out-of-tolerance items auto-flag.</t>
        </is>
      </c>
    </row>
    <row r="9">
      <c r="A9" s="2" t="inlineStr">
        <is>
          <t>3. Column Plumb Log: log every column at every plumb-up event (initial, bay plumb-up, top-out). Enter offset at top of column in X and Y from theoretical plumb. Compare to 1:500 limit (or project-specific limit).</t>
        </is>
      </c>
    </row>
    <row r="10">
      <c r="A10" s="2" t="inlineStr">
        <is>
          <t>4. Floor Elevation Log: log beam-top elevations vs theoretical. Multi-point per floor (typically 4 corners + center).</t>
        </is>
      </c>
    </row>
    <row r="11">
      <c r="A11" s="2" t="inlineStr">
        <is>
          <t>5. Deviation / RFI Tracker: any out-of-tolerance item that requires EOR review gets a row here. Track RFI #, EOR response, resolution, re-survey confirmation.</t>
        </is>
      </c>
    </row>
    <row r="12">
      <c r="A12" s="2" t="inlineStr">
        <is>
          <t>6. Daily Survey Summary: auto-totals — surveys completed today, deviations open, RFIs pending.</t>
        </is>
      </c>
    </row>
    <row r="13">
      <c r="A13" s="2" t="inlineStr"/>
    </row>
    <row r="14">
      <c r="A14" s="2" t="inlineStr">
        <is>
          <t>AISC §7.13 KEY LIMITS (built into the workbook)</t>
        </is>
      </c>
    </row>
    <row r="15">
      <c r="A15" s="2" t="inlineStr">
        <is>
          <t xml:space="preserve">  Column plumb: 1:500 of column length (with per-length table on Tolerance Reference tab)</t>
        </is>
      </c>
    </row>
    <row r="16">
      <c r="A16" s="2" t="inlineStr">
        <is>
          <t xml:space="preserve">  Anchor rod position (single): ±1/8"</t>
        </is>
      </c>
    </row>
    <row r="17">
      <c r="A17" s="2" t="inlineStr">
        <is>
          <t xml:space="preserve">  Anchor rod pattern position: ±1/4"</t>
        </is>
      </c>
    </row>
    <row r="18">
      <c r="A18" s="2" t="inlineStr">
        <is>
          <t xml:space="preserve">  Anchor rod stickup: ±1/8"</t>
        </is>
      </c>
    </row>
    <row r="19">
      <c r="A19" s="2" t="inlineStr">
        <is>
          <t xml:space="preserve">  Beam top elevation: ±1/8"</t>
        </is>
      </c>
    </row>
    <row r="20">
      <c r="A20" s="2" t="inlineStr">
        <is>
          <t xml:space="preserve">  Floor-to-floor height: ±1/4"</t>
        </is>
      </c>
    </row>
    <row r="21">
      <c r="A21" s="2" t="inlineStr"/>
    </row>
    <row r="22">
      <c r="A22" s="3" t="inlineStr">
        <is>
          <t>TIGHTER PROJECT-SPEC TOLERANCES</t>
        </is>
      </c>
    </row>
    <row r="23">
      <c r="A23" s="2" t="inlineStr">
        <is>
          <t>If the Contract Documents specify tighter tolerances (AESS, hospital, MRI, etc.), override the default on Project Info. The workbook will apply the tighter limit when flagging out-of-tolerance items.</t>
        </is>
      </c>
    </row>
    <row r="24">
      <c r="A24" s="2" t="inlineStr"/>
    </row>
    <row r="25">
      <c r="A25" s="3" t="inlineStr">
        <is>
          <t>SURVEY EVENT TYPES</t>
        </is>
      </c>
    </row>
    <row r="26">
      <c r="A26" s="2" t="inlineStr">
        <is>
          <t xml:space="preserve">  - Initial: column just set, before next beam frames to it</t>
        </is>
      </c>
    </row>
    <row r="27">
      <c r="A27" s="2" t="inlineStr">
        <is>
          <t xml:space="preserve">  - Bay plumb-up: after 2-bay placement, before next bays</t>
        </is>
      </c>
    </row>
    <row r="28">
      <c r="A28" s="2" t="inlineStr">
        <is>
          <t xml:space="preserve">  - Top-out: after last column set on this elevation</t>
        </is>
      </c>
    </row>
    <row r="29">
      <c r="A29" s="2" t="inlineStr">
        <is>
          <t xml:space="preserve">  - Pre-cladding: as-built before curtainwall sub mobilizes</t>
        </is>
      </c>
    </row>
    <row r="30">
      <c r="A30" s="2" t="inlineStr">
        <is>
          <t xml:space="preserve">  - Final / Substantial Completion: archive record</t>
        </is>
      </c>
    </row>
    <row r="31">
      <c r="A31" s="2" t="inlineStr"/>
    </row>
    <row r="32">
      <c r="A32" s="3" t="inlineStr">
        <is>
          <t>DEVIATION RESOLUTION</t>
        </is>
      </c>
    </row>
    <row r="33">
      <c r="A33" s="2" t="inlineStr">
        <is>
          <t>Any out-of-tolerance column is either (a) re-plumbed via diagonal bracing (if column still adjustable) and re-surveyed, OR (b) RFI'd to EOR. The Deviation Tracker handles both paths.</t>
        </is>
      </c>
    </row>
    <row r="34">
      <c r="A34" s="2" t="inlineStr"/>
    </row>
    <row r="35">
      <c r="A35" s="3" t="inlineStr">
        <is>
          <t>AS-BUILT SIGN-OFF</t>
        </is>
      </c>
    </row>
    <row r="36">
      <c r="A36" s="2" t="inlineStr">
        <is>
          <t>At Substantial Completion, the workbook (plus the EOR's acceptance letter) is the evidence file for the cladding mobilization gate and the retainage reduction request.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36" customWidth="1" min="3" max="3"/>
  </cols>
  <sheetData>
    <row r="1" ht="32" customHeight="1">
      <c r="B1" s="1" t="inlineStr">
        <is>
          <t>TOLERANCE SURVEY — PROJECT INFO</t>
        </is>
      </c>
    </row>
    <row r="3">
      <c r="B3" s="4" t="inlineStr">
        <is>
          <t>Project Name</t>
        </is>
      </c>
      <c r="C3" s="5" t="inlineStr"/>
    </row>
    <row r="4">
      <c r="B4" s="4" t="inlineStr">
        <is>
          <t>Project Address</t>
        </is>
      </c>
      <c r="C4" s="5" t="inlineStr"/>
    </row>
    <row r="5">
      <c r="B5" s="4" t="inlineStr">
        <is>
          <t>Owner</t>
        </is>
      </c>
      <c r="C5" s="5" t="inlineStr"/>
    </row>
    <row r="6">
      <c r="B6" s="4" t="inlineStr">
        <is>
          <t>Controlling Contractor (GC)</t>
        </is>
      </c>
      <c r="C6" s="5" t="inlineStr"/>
    </row>
    <row r="7">
      <c r="B7" s="4" t="inlineStr">
        <is>
          <t>Steel Erector</t>
        </is>
      </c>
      <c r="C7" s="5" t="inlineStr"/>
    </row>
    <row r="8">
      <c r="B8" s="4" t="inlineStr">
        <is>
          <t>EOR (Structural Engineer of Record)</t>
        </is>
      </c>
      <c r="C8" s="5" t="inlineStr"/>
    </row>
    <row r="9">
      <c r="B9" s="4" t="inlineStr">
        <is>
          <t>Surveyor (in-house or sub)</t>
        </is>
      </c>
      <c r="C9" s="5" t="inlineStr"/>
    </row>
    <row r="10">
      <c r="B10" s="4" t="inlineStr">
        <is>
          <t>Total Station Make / Model</t>
        </is>
      </c>
      <c r="C10" s="5" t="inlineStr"/>
    </row>
    <row r="11">
      <c r="B11" s="4" t="inlineStr">
        <is>
          <t>Total Station Calibration Date</t>
        </is>
      </c>
      <c r="C11" s="6" t="inlineStr"/>
    </row>
    <row r="12">
      <c r="B12" s="4" t="inlineStr">
        <is>
          <t>Benchmark Reference Monument 1 (location)</t>
        </is>
      </c>
      <c r="C12" s="5" t="inlineStr"/>
    </row>
    <row r="13">
      <c r="B13" s="4" t="inlineStr">
        <is>
          <t>Benchmark Reference Monument 2 (location)</t>
        </is>
      </c>
      <c r="C13" s="5" t="inlineStr"/>
    </row>
    <row r="15">
      <c r="B15" s="4" t="inlineStr">
        <is>
          <t>PROJECT-SPEC TOLERANCE OVERRIDES (leave default = §7.13 if not tightened)</t>
        </is>
      </c>
      <c r="C15" s="5" t="inlineStr"/>
    </row>
    <row r="16">
      <c r="B16" s="4" t="inlineStr">
        <is>
          <t>Column plumb ratio (default 500 → 1:500)</t>
        </is>
      </c>
      <c r="C16" s="5" t="n">
        <v>500</v>
      </c>
    </row>
    <row r="17">
      <c r="B17" s="4" t="inlineStr">
        <is>
          <t>Anchor rod single position tolerance (in)</t>
        </is>
      </c>
      <c r="C17" s="7" t="n">
        <v>0.125</v>
      </c>
    </row>
    <row r="18">
      <c r="B18" s="4" t="inlineStr">
        <is>
          <t>Anchor rod pattern position tolerance (in)</t>
        </is>
      </c>
      <c r="C18" s="7" t="n">
        <v>0.25</v>
      </c>
    </row>
    <row r="19">
      <c r="B19" s="4" t="inlineStr">
        <is>
          <t>Anchor rod stickup tolerance (in)</t>
        </is>
      </c>
      <c r="C19" s="7" t="n">
        <v>0.125</v>
      </c>
    </row>
    <row r="20">
      <c r="B20" s="4" t="inlineStr">
        <is>
          <t>Beam top elevation tolerance (in)</t>
        </is>
      </c>
      <c r="C20" s="7" t="n">
        <v>0.125</v>
      </c>
    </row>
    <row r="21">
      <c r="B21" s="4" t="inlineStr">
        <is>
          <t>Floor-to-floor height tolerance (in)</t>
        </is>
      </c>
      <c r="C21" s="7" t="n">
        <v>0.25</v>
      </c>
    </row>
    <row r="22">
      <c r="B22" s="4" t="inlineStr">
        <is>
          <t>Exterior column drift envelope (in, at corners)</t>
        </is>
      </c>
      <c r="C22" s="7" t="n">
        <v>1</v>
      </c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14" customWidth="1" min="5" max="5"/>
    <col width="14" customWidth="1" min="6" max="6"/>
    <col width="10" customWidth="1" min="7" max="7"/>
    <col width="10" customWidth="1" min="8" max="8"/>
    <col width="13" customWidth="1" min="9" max="9"/>
    <col width="14" customWidth="1" min="10" max="10"/>
    <col width="16" customWidth="1" min="11" max="11"/>
    <col width="13" customWidth="1" min="12" max="12"/>
    <col width="16" customWidth="1" min="13" max="13"/>
    <col width="12" customWidth="1" min="14" max="14"/>
    <col width="22" customWidth="1" min="15" max="15"/>
  </cols>
  <sheetData>
    <row r="1" ht="32" customHeight="1">
      <c r="A1" s="1" t="inlineStr">
        <is>
          <t>ANCHOR ROD SURVEY</t>
        </is>
      </c>
    </row>
    <row r="2">
      <c r="A2" s="8" t="inlineStr">
        <is>
          <t>Pre-erection verification of anchor rods. ΔX/ΔY are computed in inches; radial deviation is the absolute distance from theoretical. Single-Rod tolerance default = ±1/8" (per AISC §7.5.1).</t>
        </is>
      </c>
    </row>
    <row r="4" ht="30" customHeight="1">
      <c r="A4" s="9" t="inlineStr">
        <is>
          <t>Column ID</t>
        </is>
      </c>
      <c r="B4" s="9" t="inlineStr">
        <is>
          <t>Anchor Rod #</t>
        </is>
      </c>
      <c r="C4" s="9" t="inlineStr">
        <is>
          <t>Theo X (ft)</t>
        </is>
      </c>
      <c r="D4" s="9" t="inlineStr">
        <is>
          <t>Theo Y (ft)</t>
        </is>
      </c>
      <c r="E4" s="9" t="inlineStr">
        <is>
          <t>As-Found X (ft)</t>
        </is>
      </c>
      <c r="F4" s="9" t="inlineStr">
        <is>
          <t>As-Found Y (ft)</t>
        </is>
      </c>
      <c r="G4" s="9" t="inlineStr">
        <is>
          <t>ΔX (in)</t>
        </is>
      </c>
      <c r="H4" s="9" t="inlineStr">
        <is>
          <t>ΔY (in)</t>
        </is>
      </c>
      <c r="I4" s="9" t="inlineStr">
        <is>
          <t>Radial Dev (in)</t>
        </is>
      </c>
      <c r="J4" s="9" t="inlineStr">
        <is>
          <t>Theo Stickup (in)</t>
        </is>
      </c>
      <c r="K4" s="9" t="inlineStr">
        <is>
          <t>As-Found Stickup (in)</t>
        </is>
      </c>
      <c r="L4" s="9" t="inlineStr">
        <is>
          <t>Stickup Dev (in)</t>
        </is>
      </c>
      <c r="M4" s="9" t="inlineStr">
        <is>
          <t>Single-Rod Position OK?</t>
        </is>
      </c>
      <c r="N4" s="9" t="inlineStr">
        <is>
          <t>Stickup OK?</t>
        </is>
      </c>
      <c r="O4" s="9" t="inlineStr">
        <is>
          <t>Notes / RFI</t>
        </is>
      </c>
    </row>
    <row r="5">
      <c r="A5" s="10" t="n"/>
      <c r="B5" s="10" t="n"/>
      <c r="C5" s="11" t="n"/>
      <c r="D5" s="11" t="n"/>
      <c r="E5" s="11" t="n"/>
      <c r="F5" s="11" t="n"/>
      <c r="G5" s="11">
        <f>IFERROR((E5-C5)*12,"")</f>
        <v/>
      </c>
      <c r="H5" s="11">
        <f>IFERROR((F5-D5)*12,"")</f>
        <v/>
      </c>
      <c r="I5" s="11">
        <f>IFERROR(SQRT(G5^2+H5^2),"")</f>
        <v/>
      </c>
      <c r="J5" s="11" t="n"/>
      <c r="K5" s="11" t="n"/>
      <c r="L5" s="11">
        <f>IFERROR(K5-J5,"")</f>
        <v/>
      </c>
      <c r="M5" s="10">
        <f>IF(OR(G5="",H5=""),"",IF(AND(ABS(G5)&lt;=AnchorSingleTol,ABS(H5)&lt;=AnchorSingleTol),"OK","OUT"))</f>
        <v/>
      </c>
      <c r="N5" s="10">
        <f>IF(L5="","",IF(ABS(L5)&lt;=AnchorStickupTol,"OK","OUT"))</f>
        <v/>
      </c>
      <c r="O5" s="10" t="n"/>
    </row>
    <row r="6">
      <c r="A6" s="10" t="n"/>
      <c r="B6" s="10" t="n"/>
      <c r="C6" s="11" t="n"/>
      <c r="D6" s="11" t="n"/>
      <c r="E6" s="11" t="n"/>
      <c r="F6" s="11" t="n"/>
      <c r="G6" s="11">
        <f>IFERROR((E6-C6)*12,"")</f>
        <v/>
      </c>
      <c r="H6" s="11">
        <f>IFERROR((F6-D6)*12,"")</f>
        <v/>
      </c>
      <c r="I6" s="11">
        <f>IFERROR(SQRT(G6^2+H6^2),"")</f>
        <v/>
      </c>
      <c r="J6" s="11" t="n"/>
      <c r="K6" s="11" t="n"/>
      <c r="L6" s="11">
        <f>IFERROR(K6-J6,"")</f>
        <v/>
      </c>
      <c r="M6" s="10">
        <f>IF(OR(G6="",H6=""),"",IF(AND(ABS(G6)&lt;=AnchorSingleTol,ABS(H6)&lt;=AnchorSingleTol),"OK","OUT"))</f>
        <v/>
      </c>
      <c r="N6" s="10">
        <f>IF(L6="","",IF(ABS(L6)&lt;=AnchorStickupTol,"OK","OUT"))</f>
        <v/>
      </c>
      <c r="O6" s="10" t="n"/>
    </row>
    <row r="7">
      <c r="A7" s="10" t="n"/>
      <c r="B7" s="10" t="n"/>
      <c r="C7" s="11" t="n"/>
      <c r="D7" s="11" t="n"/>
      <c r="E7" s="11" t="n"/>
      <c r="F7" s="11" t="n"/>
      <c r="G7" s="11">
        <f>IFERROR((E7-C7)*12,"")</f>
        <v/>
      </c>
      <c r="H7" s="11">
        <f>IFERROR((F7-D7)*12,"")</f>
        <v/>
      </c>
      <c r="I7" s="11">
        <f>IFERROR(SQRT(G7^2+H7^2),"")</f>
        <v/>
      </c>
      <c r="J7" s="11" t="n"/>
      <c r="K7" s="11" t="n"/>
      <c r="L7" s="11">
        <f>IFERROR(K7-J7,"")</f>
        <v/>
      </c>
      <c r="M7" s="10">
        <f>IF(OR(G7="",H7=""),"",IF(AND(ABS(G7)&lt;=AnchorSingleTol,ABS(H7)&lt;=AnchorSingleTol),"OK","OUT"))</f>
        <v/>
      </c>
      <c r="N7" s="10">
        <f>IF(L7="","",IF(ABS(L7)&lt;=AnchorStickupTol,"OK","OUT"))</f>
        <v/>
      </c>
      <c r="O7" s="10" t="n"/>
    </row>
    <row r="8">
      <c r="A8" s="10" t="n"/>
      <c r="B8" s="10" t="n"/>
      <c r="C8" s="11" t="n"/>
      <c r="D8" s="11" t="n"/>
      <c r="E8" s="11" t="n"/>
      <c r="F8" s="11" t="n"/>
      <c r="G8" s="11">
        <f>IFERROR((E8-C8)*12,"")</f>
        <v/>
      </c>
      <c r="H8" s="11">
        <f>IFERROR((F8-D8)*12,"")</f>
        <v/>
      </c>
      <c r="I8" s="11">
        <f>IFERROR(SQRT(G8^2+H8^2),"")</f>
        <v/>
      </c>
      <c r="J8" s="11" t="n"/>
      <c r="K8" s="11" t="n"/>
      <c r="L8" s="11">
        <f>IFERROR(K8-J8,"")</f>
        <v/>
      </c>
      <c r="M8" s="10">
        <f>IF(OR(G8="",H8=""),"",IF(AND(ABS(G8)&lt;=AnchorSingleTol,ABS(H8)&lt;=AnchorSingleTol),"OK","OUT"))</f>
        <v/>
      </c>
      <c r="N8" s="10">
        <f>IF(L8="","",IF(ABS(L8)&lt;=AnchorStickupTol,"OK","OUT"))</f>
        <v/>
      </c>
      <c r="O8" s="10" t="n"/>
    </row>
    <row r="9">
      <c r="A9" s="10" t="n"/>
      <c r="B9" s="10" t="n"/>
      <c r="C9" s="11" t="n"/>
      <c r="D9" s="11" t="n"/>
      <c r="E9" s="11" t="n"/>
      <c r="F9" s="11" t="n"/>
      <c r="G9" s="11">
        <f>IFERROR((E9-C9)*12,"")</f>
        <v/>
      </c>
      <c r="H9" s="11">
        <f>IFERROR((F9-D9)*12,"")</f>
        <v/>
      </c>
      <c r="I9" s="11">
        <f>IFERROR(SQRT(G9^2+H9^2),"")</f>
        <v/>
      </c>
      <c r="J9" s="11" t="n"/>
      <c r="K9" s="11" t="n"/>
      <c r="L9" s="11">
        <f>IFERROR(K9-J9,"")</f>
        <v/>
      </c>
      <c r="M9" s="10">
        <f>IF(OR(G9="",H9=""),"",IF(AND(ABS(G9)&lt;=AnchorSingleTol,ABS(H9)&lt;=AnchorSingleTol),"OK","OUT"))</f>
        <v/>
      </c>
      <c r="N9" s="10">
        <f>IF(L9="","",IF(ABS(L9)&lt;=AnchorStickupTol,"OK","OUT"))</f>
        <v/>
      </c>
      <c r="O9" s="10" t="n"/>
    </row>
    <row r="10">
      <c r="A10" s="10" t="n"/>
      <c r="B10" s="10" t="n"/>
      <c r="C10" s="11" t="n"/>
      <c r="D10" s="11" t="n"/>
      <c r="E10" s="11" t="n"/>
      <c r="F10" s="11" t="n"/>
      <c r="G10" s="11">
        <f>IFERROR((E10-C10)*12,"")</f>
        <v/>
      </c>
      <c r="H10" s="11">
        <f>IFERROR((F10-D10)*12,"")</f>
        <v/>
      </c>
      <c r="I10" s="11">
        <f>IFERROR(SQRT(G10^2+H10^2),"")</f>
        <v/>
      </c>
      <c r="J10" s="11" t="n"/>
      <c r="K10" s="11" t="n"/>
      <c r="L10" s="11">
        <f>IFERROR(K10-J10,"")</f>
        <v/>
      </c>
      <c r="M10" s="10">
        <f>IF(OR(G10="",H10=""),"",IF(AND(ABS(G10)&lt;=AnchorSingleTol,ABS(H10)&lt;=AnchorSingleTol),"OK","OUT"))</f>
        <v/>
      </c>
      <c r="N10" s="10">
        <f>IF(L10="","",IF(ABS(L10)&lt;=AnchorStickupTol,"OK","OUT"))</f>
        <v/>
      </c>
      <c r="O10" s="10" t="n"/>
    </row>
    <row r="11">
      <c r="A11" s="10" t="n"/>
      <c r="B11" s="10" t="n"/>
      <c r="C11" s="11" t="n"/>
      <c r="D11" s="11" t="n"/>
      <c r="E11" s="11" t="n"/>
      <c r="F11" s="11" t="n"/>
      <c r="G11" s="11">
        <f>IFERROR((E11-C11)*12,"")</f>
        <v/>
      </c>
      <c r="H11" s="11">
        <f>IFERROR((F11-D11)*12,"")</f>
        <v/>
      </c>
      <c r="I11" s="11">
        <f>IFERROR(SQRT(G11^2+H11^2),"")</f>
        <v/>
      </c>
      <c r="J11" s="11" t="n"/>
      <c r="K11" s="11" t="n"/>
      <c r="L11" s="11">
        <f>IFERROR(K11-J11,"")</f>
        <v/>
      </c>
      <c r="M11" s="10">
        <f>IF(OR(G11="",H11=""),"",IF(AND(ABS(G11)&lt;=AnchorSingleTol,ABS(H11)&lt;=AnchorSingleTol),"OK","OUT"))</f>
        <v/>
      </c>
      <c r="N11" s="10">
        <f>IF(L11="","",IF(ABS(L11)&lt;=AnchorStickupTol,"OK","OUT"))</f>
        <v/>
      </c>
      <c r="O11" s="10" t="n"/>
    </row>
    <row r="12">
      <c r="A12" s="10" t="n"/>
      <c r="B12" s="10" t="n"/>
      <c r="C12" s="11" t="n"/>
      <c r="D12" s="11" t="n"/>
      <c r="E12" s="11" t="n"/>
      <c r="F12" s="11" t="n"/>
      <c r="G12" s="11">
        <f>IFERROR((E12-C12)*12,"")</f>
        <v/>
      </c>
      <c r="H12" s="11">
        <f>IFERROR((F12-D12)*12,"")</f>
        <v/>
      </c>
      <c r="I12" s="11">
        <f>IFERROR(SQRT(G12^2+H12^2),"")</f>
        <v/>
      </c>
      <c r="J12" s="11" t="n"/>
      <c r="K12" s="11" t="n"/>
      <c r="L12" s="11">
        <f>IFERROR(K12-J12,"")</f>
        <v/>
      </c>
      <c r="M12" s="10">
        <f>IF(OR(G12="",H12=""),"",IF(AND(ABS(G12)&lt;=AnchorSingleTol,ABS(H12)&lt;=AnchorSingleTol),"OK","OUT"))</f>
        <v/>
      </c>
      <c r="N12" s="10">
        <f>IF(L12="","",IF(ABS(L12)&lt;=AnchorStickupTol,"OK","OUT"))</f>
        <v/>
      </c>
      <c r="O12" s="10" t="n"/>
    </row>
    <row r="13">
      <c r="A13" s="10" t="n"/>
      <c r="B13" s="10" t="n"/>
      <c r="C13" s="11" t="n"/>
      <c r="D13" s="11" t="n"/>
      <c r="E13" s="11" t="n"/>
      <c r="F13" s="11" t="n"/>
      <c r="G13" s="11">
        <f>IFERROR((E13-C13)*12,"")</f>
        <v/>
      </c>
      <c r="H13" s="11">
        <f>IFERROR((F13-D13)*12,"")</f>
        <v/>
      </c>
      <c r="I13" s="11">
        <f>IFERROR(SQRT(G13^2+H13^2),"")</f>
        <v/>
      </c>
      <c r="J13" s="11" t="n"/>
      <c r="K13" s="11" t="n"/>
      <c r="L13" s="11">
        <f>IFERROR(K13-J13,"")</f>
        <v/>
      </c>
      <c r="M13" s="10">
        <f>IF(OR(G13="",H13=""),"",IF(AND(ABS(G13)&lt;=AnchorSingleTol,ABS(H13)&lt;=AnchorSingleTol),"OK","OUT"))</f>
        <v/>
      </c>
      <c r="N13" s="10">
        <f>IF(L13="","",IF(ABS(L13)&lt;=AnchorStickupTol,"OK","OUT"))</f>
        <v/>
      </c>
      <c r="O13" s="10" t="n"/>
    </row>
    <row r="14">
      <c r="A14" s="10" t="n"/>
      <c r="B14" s="10" t="n"/>
      <c r="C14" s="11" t="n"/>
      <c r="D14" s="11" t="n"/>
      <c r="E14" s="11" t="n"/>
      <c r="F14" s="11" t="n"/>
      <c r="G14" s="11">
        <f>IFERROR((E14-C14)*12,"")</f>
        <v/>
      </c>
      <c r="H14" s="11">
        <f>IFERROR((F14-D14)*12,"")</f>
        <v/>
      </c>
      <c r="I14" s="11">
        <f>IFERROR(SQRT(G14^2+H14^2),"")</f>
        <v/>
      </c>
      <c r="J14" s="11" t="n"/>
      <c r="K14" s="11" t="n"/>
      <c r="L14" s="11">
        <f>IFERROR(K14-J14,"")</f>
        <v/>
      </c>
      <c r="M14" s="10">
        <f>IF(OR(G14="",H14=""),"",IF(AND(ABS(G14)&lt;=AnchorSingleTol,ABS(H14)&lt;=AnchorSingleTol),"OK","OUT"))</f>
        <v/>
      </c>
      <c r="N14" s="10">
        <f>IF(L14="","",IF(ABS(L14)&lt;=AnchorStickupTol,"OK","OUT"))</f>
        <v/>
      </c>
      <c r="O14" s="10" t="n"/>
    </row>
    <row r="15">
      <c r="A15" s="10" t="n"/>
      <c r="B15" s="10" t="n"/>
      <c r="C15" s="11" t="n"/>
      <c r="D15" s="11" t="n"/>
      <c r="E15" s="11" t="n"/>
      <c r="F15" s="11" t="n"/>
      <c r="G15" s="11">
        <f>IFERROR((E15-C15)*12,"")</f>
        <v/>
      </c>
      <c r="H15" s="11">
        <f>IFERROR((F15-D15)*12,"")</f>
        <v/>
      </c>
      <c r="I15" s="11">
        <f>IFERROR(SQRT(G15^2+H15^2),"")</f>
        <v/>
      </c>
      <c r="J15" s="11" t="n"/>
      <c r="K15" s="11" t="n"/>
      <c r="L15" s="11">
        <f>IFERROR(K15-J15,"")</f>
        <v/>
      </c>
      <c r="M15" s="10">
        <f>IF(OR(G15="",H15=""),"",IF(AND(ABS(G15)&lt;=AnchorSingleTol,ABS(H15)&lt;=AnchorSingleTol),"OK","OUT"))</f>
        <v/>
      </c>
      <c r="N15" s="10">
        <f>IF(L15="","",IF(ABS(L15)&lt;=AnchorStickupTol,"OK","OUT"))</f>
        <v/>
      </c>
      <c r="O15" s="10" t="n"/>
    </row>
    <row r="16">
      <c r="A16" s="10" t="n"/>
      <c r="B16" s="10" t="n"/>
      <c r="C16" s="11" t="n"/>
      <c r="D16" s="11" t="n"/>
      <c r="E16" s="11" t="n"/>
      <c r="F16" s="11" t="n"/>
      <c r="G16" s="11">
        <f>IFERROR((E16-C16)*12,"")</f>
        <v/>
      </c>
      <c r="H16" s="11">
        <f>IFERROR((F16-D16)*12,"")</f>
        <v/>
      </c>
      <c r="I16" s="11">
        <f>IFERROR(SQRT(G16^2+H16^2),"")</f>
        <v/>
      </c>
      <c r="J16" s="11" t="n"/>
      <c r="K16" s="11" t="n"/>
      <c r="L16" s="11">
        <f>IFERROR(K16-J16,"")</f>
        <v/>
      </c>
      <c r="M16" s="10">
        <f>IF(OR(G16="",H16=""),"",IF(AND(ABS(G16)&lt;=AnchorSingleTol,ABS(H16)&lt;=AnchorSingleTol),"OK","OUT"))</f>
        <v/>
      </c>
      <c r="N16" s="10">
        <f>IF(L16="","",IF(ABS(L16)&lt;=AnchorStickupTol,"OK","OUT"))</f>
        <v/>
      </c>
      <c r="O16" s="10" t="n"/>
    </row>
    <row r="17">
      <c r="A17" s="10" t="n"/>
      <c r="B17" s="10" t="n"/>
      <c r="C17" s="11" t="n"/>
      <c r="D17" s="11" t="n"/>
      <c r="E17" s="11" t="n"/>
      <c r="F17" s="11" t="n"/>
      <c r="G17" s="11">
        <f>IFERROR((E17-C17)*12,"")</f>
        <v/>
      </c>
      <c r="H17" s="11">
        <f>IFERROR((F17-D17)*12,"")</f>
        <v/>
      </c>
      <c r="I17" s="11">
        <f>IFERROR(SQRT(G17^2+H17^2),"")</f>
        <v/>
      </c>
      <c r="J17" s="11" t="n"/>
      <c r="K17" s="11" t="n"/>
      <c r="L17" s="11">
        <f>IFERROR(K17-J17,"")</f>
        <v/>
      </c>
      <c r="M17" s="10">
        <f>IF(OR(G17="",H17=""),"",IF(AND(ABS(G17)&lt;=AnchorSingleTol,ABS(H17)&lt;=AnchorSingleTol),"OK","OUT"))</f>
        <v/>
      </c>
      <c r="N17" s="10">
        <f>IF(L17="","",IF(ABS(L17)&lt;=AnchorStickupTol,"OK","OUT"))</f>
        <v/>
      </c>
      <c r="O17" s="10" t="n"/>
    </row>
    <row r="18">
      <c r="A18" s="10" t="n"/>
      <c r="B18" s="10" t="n"/>
      <c r="C18" s="11" t="n"/>
      <c r="D18" s="11" t="n"/>
      <c r="E18" s="11" t="n"/>
      <c r="F18" s="11" t="n"/>
      <c r="G18" s="11">
        <f>IFERROR((E18-C18)*12,"")</f>
        <v/>
      </c>
      <c r="H18" s="11">
        <f>IFERROR((F18-D18)*12,"")</f>
        <v/>
      </c>
      <c r="I18" s="11">
        <f>IFERROR(SQRT(G18^2+H18^2),"")</f>
        <v/>
      </c>
      <c r="J18" s="11" t="n"/>
      <c r="K18" s="11" t="n"/>
      <c r="L18" s="11">
        <f>IFERROR(K18-J18,"")</f>
        <v/>
      </c>
      <c r="M18" s="10">
        <f>IF(OR(G18="",H18=""),"",IF(AND(ABS(G18)&lt;=AnchorSingleTol,ABS(H18)&lt;=AnchorSingleTol),"OK","OUT"))</f>
        <v/>
      </c>
      <c r="N18" s="10">
        <f>IF(L18="","",IF(ABS(L18)&lt;=AnchorStickupTol,"OK","OUT"))</f>
        <v/>
      </c>
      <c r="O18" s="10" t="n"/>
    </row>
    <row r="19">
      <c r="A19" s="10" t="n"/>
      <c r="B19" s="10" t="n"/>
      <c r="C19" s="11" t="n"/>
      <c r="D19" s="11" t="n"/>
      <c r="E19" s="11" t="n"/>
      <c r="F19" s="11" t="n"/>
      <c r="G19" s="11">
        <f>IFERROR((E19-C19)*12,"")</f>
        <v/>
      </c>
      <c r="H19" s="11">
        <f>IFERROR((F19-D19)*12,"")</f>
        <v/>
      </c>
      <c r="I19" s="11">
        <f>IFERROR(SQRT(G19^2+H19^2),"")</f>
        <v/>
      </c>
      <c r="J19" s="11" t="n"/>
      <c r="K19" s="11" t="n"/>
      <c r="L19" s="11">
        <f>IFERROR(K19-J19,"")</f>
        <v/>
      </c>
      <c r="M19" s="10">
        <f>IF(OR(G19="",H19=""),"",IF(AND(ABS(G19)&lt;=AnchorSingleTol,ABS(H19)&lt;=AnchorSingleTol),"OK","OUT"))</f>
        <v/>
      </c>
      <c r="N19" s="10">
        <f>IF(L19="","",IF(ABS(L19)&lt;=AnchorStickupTol,"OK","OUT"))</f>
        <v/>
      </c>
      <c r="O19" s="10" t="n"/>
    </row>
    <row r="20">
      <c r="A20" s="10" t="n"/>
      <c r="B20" s="10" t="n"/>
      <c r="C20" s="11" t="n"/>
      <c r="D20" s="11" t="n"/>
      <c r="E20" s="11" t="n"/>
      <c r="F20" s="11" t="n"/>
      <c r="G20" s="11">
        <f>IFERROR((E20-C20)*12,"")</f>
        <v/>
      </c>
      <c r="H20" s="11">
        <f>IFERROR((F20-D20)*12,"")</f>
        <v/>
      </c>
      <c r="I20" s="11">
        <f>IFERROR(SQRT(G20^2+H20^2),"")</f>
        <v/>
      </c>
      <c r="J20" s="11" t="n"/>
      <c r="K20" s="11" t="n"/>
      <c r="L20" s="11">
        <f>IFERROR(K20-J20,"")</f>
        <v/>
      </c>
      <c r="M20" s="10">
        <f>IF(OR(G20="",H20=""),"",IF(AND(ABS(G20)&lt;=AnchorSingleTol,ABS(H20)&lt;=AnchorSingleTol),"OK","OUT"))</f>
        <v/>
      </c>
      <c r="N20" s="10">
        <f>IF(L20="","",IF(ABS(L20)&lt;=AnchorStickupTol,"OK","OUT"))</f>
        <v/>
      </c>
      <c r="O20" s="10" t="n"/>
    </row>
    <row r="21">
      <c r="A21" s="10" t="n"/>
      <c r="B21" s="10" t="n"/>
      <c r="C21" s="11" t="n"/>
      <c r="D21" s="11" t="n"/>
      <c r="E21" s="11" t="n"/>
      <c r="F21" s="11" t="n"/>
      <c r="G21" s="11">
        <f>IFERROR((E21-C21)*12,"")</f>
        <v/>
      </c>
      <c r="H21" s="11">
        <f>IFERROR((F21-D21)*12,"")</f>
        <v/>
      </c>
      <c r="I21" s="11">
        <f>IFERROR(SQRT(G21^2+H21^2),"")</f>
        <v/>
      </c>
      <c r="J21" s="11" t="n"/>
      <c r="K21" s="11" t="n"/>
      <c r="L21" s="11">
        <f>IFERROR(K21-J21,"")</f>
        <v/>
      </c>
      <c r="M21" s="10">
        <f>IF(OR(G21="",H21=""),"",IF(AND(ABS(G21)&lt;=AnchorSingleTol,ABS(H21)&lt;=AnchorSingleTol),"OK","OUT"))</f>
        <v/>
      </c>
      <c r="N21" s="10">
        <f>IF(L21="","",IF(ABS(L21)&lt;=AnchorStickupTol,"OK","OUT"))</f>
        <v/>
      </c>
      <c r="O21" s="10" t="n"/>
    </row>
    <row r="22">
      <c r="A22" s="10" t="n"/>
      <c r="B22" s="10" t="n"/>
      <c r="C22" s="11" t="n"/>
      <c r="D22" s="11" t="n"/>
      <c r="E22" s="11" t="n"/>
      <c r="F22" s="11" t="n"/>
      <c r="G22" s="11">
        <f>IFERROR((E22-C22)*12,"")</f>
        <v/>
      </c>
      <c r="H22" s="11">
        <f>IFERROR((F22-D22)*12,"")</f>
        <v/>
      </c>
      <c r="I22" s="11">
        <f>IFERROR(SQRT(G22^2+H22^2),"")</f>
        <v/>
      </c>
      <c r="J22" s="11" t="n"/>
      <c r="K22" s="11" t="n"/>
      <c r="L22" s="11">
        <f>IFERROR(K22-J22,"")</f>
        <v/>
      </c>
      <c r="M22" s="10">
        <f>IF(OR(G22="",H22=""),"",IF(AND(ABS(G22)&lt;=AnchorSingleTol,ABS(H22)&lt;=AnchorSingleTol),"OK","OUT"))</f>
        <v/>
      </c>
      <c r="N22" s="10">
        <f>IF(L22="","",IF(ABS(L22)&lt;=AnchorStickupTol,"OK","OUT"))</f>
        <v/>
      </c>
      <c r="O22" s="10" t="n"/>
    </row>
    <row r="23">
      <c r="A23" s="10" t="n"/>
      <c r="B23" s="10" t="n"/>
      <c r="C23" s="11" t="n"/>
      <c r="D23" s="11" t="n"/>
      <c r="E23" s="11" t="n"/>
      <c r="F23" s="11" t="n"/>
      <c r="G23" s="11">
        <f>IFERROR((E23-C23)*12,"")</f>
        <v/>
      </c>
      <c r="H23" s="11">
        <f>IFERROR((F23-D23)*12,"")</f>
        <v/>
      </c>
      <c r="I23" s="11">
        <f>IFERROR(SQRT(G23^2+H23^2),"")</f>
        <v/>
      </c>
      <c r="J23" s="11" t="n"/>
      <c r="K23" s="11" t="n"/>
      <c r="L23" s="11">
        <f>IFERROR(K23-J23,"")</f>
        <v/>
      </c>
      <c r="M23" s="10">
        <f>IF(OR(G23="",H23=""),"",IF(AND(ABS(G23)&lt;=AnchorSingleTol,ABS(H23)&lt;=AnchorSingleTol),"OK","OUT"))</f>
        <v/>
      </c>
      <c r="N23" s="10">
        <f>IF(L23="","",IF(ABS(L23)&lt;=AnchorStickupTol,"OK","OUT"))</f>
        <v/>
      </c>
      <c r="O23" s="10" t="n"/>
    </row>
    <row r="24">
      <c r="A24" s="10" t="n"/>
      <c r="B24" s="10" t="n"/>
      <c r="C24" s="11" t="n"/>
      <c r="D24" s="11" t="n"/>
      <c r="E24" s="11" t="n"/>
      <c r="F24" s="11" t="n"/>
      <c r="G24" s="11">
        <f>IFERROR((E24-C24)*12,"")</f>
        <v/>
      </c>
      <c r="H24" s="11">
        <f>IFERROR((F24-D24)*12,"")</f>
        <v/>
      </c>
      <c r="I24" s="11">
        <f>IFERROR(SQRT(G24^2+H24^2),"")</f>
        <v/>
      </c>
      <c r="J24" s="11" t="n"/>
      <c r="K24" s="11" t="n"/>
      <c r="L24" s="11">
        <f>IFERROR(K24-J24,"")</f>
        <v/>
      </c>
      <c r="M24" s="10">
        <f>IF(OR(G24="",H24=""),"",IF(AND(ABS(G24)&lt;=AnchorSingleTol,ABS(H24)&lt;=AnchorSingleTol),"OK","OUT"))</f>
        <v/>
      </c>
      <c r="N24" s="10">
        <f>IF(L24="","",IF(ABS(L24)&lt;=AnchorStickupTol,"OK","OUT"))</f>
        <v/>
      </c>
      <c r="O24" s="10" t="n"/>
    </row>
    <row r="25">
      <c r="A25" s="10" t="n"/>
      <c r="B25" s="10" t="n"/>
      <c r="C25" s="11" t="n"/>
      <c r="D25" s="11" t="n"/>
      <c r="E25" s="11" t="n"/>
      <c r="F25" s="11" t="n"/>
      <c r="G25" s="11">
        <f>IFERROR((E25-C25)*12,"")</f>
        <v/>
      </c>
      <c r="H25" s="11">
        <f>IFERROR((F25-D25)*12,"")</f>
        <v/>
      </c>
      <c r="I25" s="11">
        <f>IFERROR(SQRT(G25^2+H25^2),"")</f>
        <v/>
      </c>
      <c r="J25" s="11" t="n"/>
      <c r="K25" s="11" t="n"/>
      <c r="L25" s="11">
        <f>IFERROR(K25-J25,"")</f>
        <v/>
      </c>
      <c r="M25" s="10">
        <f>IF(OR(G25="",H25=""),"",IF(AND(ABS(G25)&lt;=AnchorSingleTol,ABS(H25)&lt;=AnchorSingleTol),"OK","OUT"))</f>
        <v/>
      </c>
      <c r="N25" s="10">
        <f>IF(L25="","",IF(ABS(L25)&lt;=AnchorStickupTol,"OK","OUT"))</f>
        <v/>
      </c>
      <c r="O25" s="10" t="n"/>
    </row>
    <row r="26">
      <c r="A26" s="10" t="n"/>
      <c r="B26" s="10" t="n"/>
      <c r="C26" s="11" t="n"/>
      <c r="D26" s="11" t="n"/>
      <c r="E26" s="11" t="n"/>
      <c r="F26" s="11" t="n"/>
      <c r="G26" s="11">
        <f>IFERROR((E26-C26)*12,"")</f>
        <v/>
      </c>
      <c r="H26" s="11">
        <f>IFERROR((F26-D26)*12,"")</f>
        <v/>
      </c>
      <c r="I26" s="11">
        <f>IFERROR(SQRT(G26^2+H26^2),"")</f>
        <v/>
      </c>
      <c r="J26" s="11" t="n"/>
      <c r="K26" s="11" t="n"/>
      <c r="L26" s="11">
        <f>IFERROR(K26-J26,"")</f>
        <v/>
      </c>
      <c r="M26" s="10">
        <f>IF(OR(G26="",H26=""),"",IF(AND(ABS(G26)&lt;=AnchorSingleTol,ABS(H26)&lt;=AnchorSingleTol),"OK","OUT"))</f>
        <v/>
      </c>
      <c r="N26" s="10">
        <f>IF(L26="","",IF(ABS(L26)&lt;=AnchorStickupTol,"OK","OUT"))</f>
        <v/>
      </c>
      <c r="O26" s="10" t="n"/>
    </row>
    <row r="27">
      <c r="A27" s="10" t="n"/>
      <c r="B27" s="10" t="n"/>
      <c r="C27" s="11" t="n"/>
      <c r="D27" s="11" t="n"/>
      <c r="E27" s="11" t="n"/>
      <c r="F27" s="11" t="n"/>
      <c r="G27" s="11">
        <f>IFERROR((E27-C27)*12,"")</f>
        <v/>
      </c>
      <c r="H27" s="11">
        <f>IFERROR((F27-D27)*12,"")</f>
        <v/>
      </c>
      <c r="I27" s="11">
        <f>IFERROR(SQRT(G27^2+H27^2),"")</f>
        <v/>
      </c>
      <c r="J27" s="11" t="n"/>
      <c r="K27" s="11" t="n"/>
      <c r="L27" s="11">
        <f>IFERROR(K27-J27,"")</f>
        <v/>
      </c>
      <c r="M27" s="10">
        <f>IF(OR(G27="",H27=""),"",IF(AND(ABS(G27)&lt;=AnchorSingleTol,ABS(H27)&lt;=AnchorSingleTol),"OK","OUT"))</f>
        <v/>
      </c>
      <c r="N27" s="10">
        <f>IF(L27="","",IF(ABS(L27)&lt;=AnchorStickupTol,"OK","OUT"))</f>
        <v/>
      </c>
      <c r="O27" s="10" t="n"/>
    </row>
    <row r="28">
      <c r="A28" s="10" t="n"/>
      <c r="B28" s="10" t="n"/>
      <c r="C28" s="11" t="n"/>
      <c r="D28" s="11" t="n"/>
      <c r="E28" s="11" t="n"/>
      <c r="F28" s="11" t="n"/>
      <c r="G28" s="11">
        <f>IFERROR((E28-C28)*12,"")</f>
        <v/>
      </c>
      <c r="H28" s="11">
        <f>IFERROR((F28-D28)*12,"")</f>
        <v/>
      </c>
      <c r="I28" s="11">
        <f>IFERROR(SQRT(G28^2+H28^2),"")</f>
        <v/>
      </c>
      <c r="J28" s="11" t="n"/>
      <c r="K28" s="11" t="n"/>
      <c r="L28" s="11">
        <f>IFERROR(K28-J28,"")</f>
        <v/>
      </c>
      <c r="M28" s="10">
        <f>IF(OR(G28="",H28=""),"",IF(AND(ABS(G28)&lt;=AnchorSingleTol,ABS(H28)&lt;=AnchorSingleTol),"OK","OUT"))</f>
        <v/>
      </c>
      <c r="N28" s="10">
        <f>IF(L28="","",IF(ABS(L28)&lt;=AnchorStickupTol,"OK","OUT"))</f>
        <v/>
      </c>
      <c r="O28" s="10" t="n"/>
    </row>
    <row r="29">
      <c r="A29" s="10" t="n"/>
      <c r="B29" s="10" t="n"/>
      <c r="C29" s="11" t="n"/>
      <c r="D29" s="11" t="n"/>
      <c r="E29" s="11" t="n"/>
      <c r="F29" s="11" t="n"/>
      <c r="G29" s="11">
        <f>IFERROR((E29-C29)*12,"")</f>
        <v/>
      </c>
      <c r="H29" s="11">
        <f>IFERROR((F29-D29)*12,"")</f>
        <v/>
      </c>
      <c r="I29" s="11">
        <f>IFERROR(SQRT(G29^2+H29^2),"")</f>
        <v/>
      </c>
      <c r="J29" s="11" t="n"/>
      <c r="K29" s="11" t="n"/>
      <c r="L29" s="11">
        <f>IFERROR(K29-J29,"")</f>
        <v/>
      </c>
      <c r="M29" s="10">
        <f>IF(OR(G29="",H29=""),"",IF(AND(ABS(G29)&lt;=AnchorSingleTol,ABS(H29)&lt;=AnchorSingleTol),"OK","OUT"))</f>
        <v/>
      </c>
      <c r="N29" s="10">
        <f>IF(L29="","",IF(ABS(L29)&lt;=AnchorStickupTol,"OK","OUT"))</f>
        <v/>
      </c>
      <c r="O29" s="10" t="n"/>
    </row>
    <row r="30">
      <c r="A30" s="10" t="n"/>
      <c r="B30" s="10" t="n"/>
      <c r="C30" s="11" t="n"/>
      <c r="D30" s="11" t="n"/>
      <c r="E30" s="11" t="n"/>
      <c r="F30" s="11" t="n"/>
      <c r="G30" s="11">
        <f>IFERROR((E30-C30)*12,"")</f>
        <v/>
      </c>
      <c r="H30" s="11">
        <f>IFERROR((F30-D30)*12,"")</f>
        <v/>
      </c>
      <c r="I30" s="11">
        <f>IFERROR(SQRT(G30^2+H30^2),"")</f>
        <v/>
      </c>
      <c r="J30" s="11" t="n"/>
      <c r="K30" s="11" t="n"/>
      <c r="L30" s="11">
        <f>IFERROR(K30-J30,"")</f>
        <v/>
      </c>
      <c r="M30" s="10">
        <f>IF(OR(G30="",H30=""),"",IF(AND(ABS(G30)&lt;=AnchorSingleTol,ABS(H30)&lt;=AnchorSingleTol),"OK","OUT"))</f>
        <v/>
      </c>
      <c r="N30" s="10">
        <f>IF(L30="","",IF(ABS(L30)&lt;=AnchorStickupTol,"OK","OUT"))</f>
        <v/>
      </c>
      <c r="O30" s="10" t="n"/>
    </row>
    <row r="31">
      <c r="A31" s="10" t="n"/>
      <c r="B31" s="10" t="n"/>
      <c r="C31" s="11" t="n"/>
      <c r="D31" s="11" t="n"/>
      <c r="E31" s="11" t="n"/>
      <c r="F31" s="11" t="n"/>
      <c r="G31" s="11">
        <f>IFERROR((E31-C31)*12,"")</f>
        <v/>
      </c>
      <c r="H31" s="11">
        <f>IFERROR((F31-D31)*12,"")</f>
        <v/>
      </c>
      <c r="I31" s="11">
        <f>IFERROR(SQRT(G31^2+H31^2),"")</f>
        <v/>
      </c>
      <c r="J31" s="11" t="n"/>
      <c r="K31" s="11" t="n"/>
      <c r="L31" s="11">
        <f>IFERROR(K31-J31,"")</f>
        <v/>
      </c>
      <c r="M31" s="10">
        <f>IF(OR(G31="",H31=""),"",IF(AND(ABS(G31)&lt;=AnchorSingleTol,ABS(H31)&lt;=AnchorSingleTol),"OK","OUT"))</f>
        <v/>
      </c>
      <c r="N31" s="10">
        <f>IF(L31="","",IF(ABS(L31)&lt;=AnchorStickupTol,"OK","OUT"))</f>
        <v/>
      </c>
      <c r="O31" s="10" t="n"/>
    </row>
    <row r="32">
      <c r="A32" s="10" t="n"/>
      <c r="B32" s="10" t="n"/>
      <c r="C32" s="11" t="n"/>
      <c r="D32" s="11" t="n"/>
      <c r="E32" s="11" t="n"/>
      <c r="F32" s="11" t="n"/>
      <c r="G32" s="11">
        <f>IFERROR((E32-C32)*12,"")</f>
        <v/>
      </c>
      <c r="H32" s="11">
        <f>IFERROR((F32-D32)*12,"")</f>
        <v/>
      </c>
      <c r="I32" s="11">
        <f>IFERROR(SQRT(G32^2+H32^2),"")</f>
        <v/>
      </c>
      <c r="J32" s="11" t="n"/>
      <c r="K32" s="11" t="n"/>
      <c r="L32" s="11">
        <f>IFERROR(K32-J32,"")</f>
        <v/>
      </c>
      <c r="M32" s="10">
        <f>IF(OR(G32="",H32=""),"",IF(AND(ABS(G32)&lt;=AnchorSingleTol,ABS(H32)&lt;=AnchorSingleTol),"OK","OUT"))</f>
        <v/>
      </c>
      <c r="N32" s="10">
        <f>IF(L32="","",IF(ABS(L32)&lt;=AnchorStickupTol,"OK","OUT"))</f>
        <v/>
      </c>
      <c r="O32" s="10" t="n"/>
    </row>
    <row r="33">
      <c r="A33" s="10" t="n"/>
      <c r="B33" s="10" t="n"/>
      <c r="C33" s="11" t="n"/>
      <c r="D33" s="11" t="n"/>
      <c r="E33" s="11" t="n"/>
      <c r="F33" s="11" t="n"/>
      <c r="G33" s="11">
        <f>IFERROR((E33-C33)*12,"")</f>
        <v/>
      </c>
      <c r="H33" s="11">
        <f>IFERROR((F33-D33)*12,"")</f>
        <v/>
      </c>
      <c r="I33" s="11">
        <f>IFERROR(SQRT(G33^2+H33^2),"")</f>
        <v/>
      </c>
      <c r="J33" s="11" t="n"/>
      <c r="K33" s="11" t="n"/>
      <c r="L33" s="11">
        <f>IFERROR(K33-J33,"")</f>
        <v/>
      </c>
      <c r="M33" s="10">
        <f>IF(OR(G33="",H33=""),"",IF(AND(ABS(G33)&lt;=AnchorSingleTol,ABS(H33)&lt;=AnchorSingleTol),"OK","OUT"))</f>
        <v/>
      </c>
      <c r="N33" s="10">
        <f>IF(L33="","",IF(ABS(L33)&lt;=AnchorStickupTol,"OK","OUT"))</f>
        <v/>
      </c>
      <c r="O33" s="10" t="n"/>
    </row>
    <row r="34">
      <c r="A34" s="10" t="n"/>
      <c r="B34" s="10" t="n"/>
      <c r="C34" s="11" t="n"/>
      <c r="D34" s="11" t="n"/>
      <c r="E34" s="11" t="n"/>
      <c r="F34" s="11" t="n"/>
      <c r="G34" s="11">
        <f>IFERROR((E34-C34)*12,"")</f>
        <v/>
      </c>
      <c r="H34" s="11">
        <f>IFERROR((F34-D34)*12,"")</f>
        <v/>
      </c>
      <c r="I34" s="11">
        <f>IFERROR(SQRT(G34^2+H34^2),"")</f>
        <v/>
      </c>
      <c r="J34" s="11" t="n"/>
      <c r="K34" s="11" t="n"/>
      <c r="L34" s="11">
        <f>IFERROR(K34-J34,"")</f>
        <v/>
      </c>
      <c r="M34" s="10">
        <f>IF(OR(G34="",H34=""),"",IF(AND(ABS(G34)&lt;=AnchorSingleTol,ABS(H34)&lt;=AnchorSingleTol),"OK","OUT"))</f>
        <v/>
      </c>
      <c r="N34" s="10">
        <f>IF(L34="","",IF(ABS(L34)&lt;=AnchorStickupTol,"OK","OUT"))</f>
        <v/>
      </c>
      <c r="O34" s="10" t="n"/>
    </row>
    <row r="35">
      <c r="A35" s="10" t="n"/>
      <c r="B35" s="10" t="n"/>
      <c r="C35" s="11" t="n"/>
      <c r="D35" s="11" t="n"/>
      <c r="E35" s="11" t="n"/>
      <c r="F35" s="11" t="n"/>
      <c r="G35" s="11">
        <f>IFERROR((E35-C35)*12,"")</f>
        <v/>
      </c>
      <c r="H35" s="11">
        <f>IFERROR((F35-D35)*12,"")</f>
        <v/>
      </c>
      <c r="I35" s="11">
        <f>IFERROR(SQRT(G35^2+H35^2),"")</f>
        <v/>
      </c>
      <c r="J35" s="11" t="n"/>
      <c r="K35" s="11" t="n"/>
      <c r="L35" s="11">
        <f>IFERROR(K35-J35,"")</f>
        <v/>
      </c>
      <c r="M35" s="10">
        <f>IF(OR(G35="",H35=""),"",IF(AND(ABS(G35)&lt;=AnchorSingleTol,ABS(H35)&lt;=AnchorSingleTol),"OK","OUT"))</f>
        <v/>
      </c>
      <c r="N35" s="10">
        <f>IF(L35="","",IF(ABS(L35)&lt;=AnchorStickupTol,"OK","OUT"))</f>
        <v/>
      </c>
      <c r="O35" s="10" t="n"/>
    </row>
    <row r="36">
      <c r="A36" s="10" t="n"/>
      <c r="B36" s="10" t="n"/>
      <c r="C36" s="11" t="n"/>
      <c r="D36" s="11" t="n"/>
      <c r="E36" s="11" t="n"/>
      <c r="F36" s="11" t="n"/>
      <c r="G36" s="11">
        <f>IFERROR((E36-C36)*12,"")</f>
        <v/>
      </c>
      <c r="H36" s="11">
        <f>IFERROR((F36-D36)*12,"")</f>
        <v/>
      </c>
      <c r="I36" s="11">
        <f>IFERROR(SQRT(G36^2+H36^2),"")</f>
        <v/>
      </c>
      <c r="J36" s="11" t="n"/>
      <c r="K36" s="11" t="n"/>
      <c r="L36" s="11">
        <f>IFERROR(K36-J36,"")</f>
        <v/>
      </c>
      <c r="M36" s="10">
        <f>IF(OR(G36="",H36=""),"",IF(AND(ABS(G36)&lt;=AnchorSingleTol,ABS(H36)&lt;=AnchorSingleTol),"OK","OUT"))</f>
        <v/>
      </c>
      <c r="N36" s="10">
        <f>IF(L36="","",IF(ABS(L36)&lt;=AnchorStickupTol,"OK","OUT"))</f>
        <v/>
      </c>
      <c r="O36" s="10" t="n"/>
    </row>
    <row r="37">
      <c r="A37" s="10" t="n"/>
      <c r="B37" s="10" t="n"/>
      <c r="C37" s="11" t="n"/>
      <c r="D37" s="11" t="n"/>
      <c r="E37" s="11" t="n"/>
      <c r="F37" s="11" t="n"/>
      <c r="G37" s="11">
        <f>IFERROR((E37-C37)*12,"")</f>
        <v/>
      </c>
      <c r="H37" s="11">
        <f>IFERROR((F37-D37)*12,"")</f>
        <v/>
      </c>
      <c r="I37" s="11">
        <f>IFERROR(SQRT(G37^2+H37^2),"")</f>
        <v/>
      </c>
      <c r="J37" s="11" t="n"/>
      <c r="K37" s="11" t="n"/>
      <c r="L37" s="11">
        <f>IFERROR(K37-J37,"")</f>
        <v/>
      </c>
      <c r="M37" s="10">
        <f>IF(OR(G37="",H37=""),"",IF(AND(ABS(G37)&lt;=AnchorSingleTol,ABS(H37)&lt;=AnchorSingleTol),"OK","OUT"))</f>
        <v/>
      </c>
      <c r="N37" s="10">
        <f>IF(L37="","",IF(ABS(L37)&lt;=AnchorStickupTol,"OK","OUT"))</f>
        <v/>
      </c>
      <c r="O37" s="10" t="n"/>
    </row>
    <row r="38">
      <c r="A38" s="10" t="n"/>
      <c r="B38" s="10" t="n"/>
      <c r="C38" s="11" t="n"/>
      <c r="D38" s="11" t="n"/>
      <c r="E38" s="11" t="n"/>
      <c r="F38" s="11" t="n"/>
      <c r="G38" s="11">
        <f>IFERROR((E38-C38)*12,"")</f>
        <v/>
      </c>
      <c r="H38" s="11">
        <f>IFERROR((F38-D38)*12,"")</f>
        <v/>
      </c>
      <c r="I38" s="11">
        <f>IFERROR(SQRT(G38^2+H38^2),"")</f>
        <v/>
      </c>
      <c r="J38" s="11" t="n"/>
      <c r="K38" s="11" t="n"/>
      <c r="L38" s="11">
        <f>IFERROR(K38-J38,"")</f>
        <v/>
      </c>
      <c r="M38" s="10">
        <f>IF(OR(G38="",H38=""),"",IF(AND(ABS(G38)&lt;=AnchorSingleTol,ABS(H38)&lt;=AnchorSingleTol),"OK","OUT"))</f>
        <v/>
      </c>
      <c r="N38" s="10">
        <f>IF(L38="","",IF(ABS(L38)&lt;=AnchorStickupTol,"OK","OUT"))</f>
        <v/>
      </c>
      <c r="O38" s="10" t="n"/>
    </row>
    <row r="39">
      <c r="A39" s="10" t="n"/>
      <c r="B39" s="10" t="n"/>
      <c r="C39" s="11" t="n"/>
      <c r="D39" s="11" t="n"/>
      <c r="E39" s="11" t="n"/>
      <c r="F39" s="11" t="n"/>
      <c r="G39" s="11">
        <f>IFERROR((E39-C39)*12,"")</f>
        <v/>
      </c>
      <c r="H39" s="11">
        <f>IFERROR((F39-D39)*12,"")</f>
        <v/>
      </c>
      <c r="I39" s="11">
        <f>IFERROR(SQRT(G39^2+H39^2),"")</f>
        <v/>
      </c>
      <c r="J39" s="11" t="n"/>
      <c r="K39" s="11" t="n"/>
      <c r="L39" s="11">
        <f>IFERROR(K39-J39,"")</f>
        <v/>
      </c>
      <c r="M39" s="10">
        <f>IF(OR(G39="",H39=""),"",IF(AND(ABS(G39)&lt;=AnchorSingleTol,ABS(H39)&lt;=AnchorSingleTol),"OK","OUT"))</f>
        <v/>
      </c>
      <c r="N39" s="10">
        <f>IF(L39="","",IF(ABS(L39)&lt;=AnchorStickupTol,"OK","OUT"))</f>
        <v/>
      </c>
      <c r="O39" s="10" t="n"/>
    </row>
    <row r="40">
      <c r="A40" s="10" t="n"/>
      <c r="B40" s="10" t="n"/>
      <c r="C40" s="11" t="n"/>
      <c r="D40" s="11" t="n"/>
      <c r="E40" s="11" t="n"/>
      <c r="F40" s="11" t="n"/>
      <c r="G40" s="11">
        <f>IFERROR((E40-C40)*12,"")</f>
        <v/>
      </c>
      <c r="H40" s="11">
        <f>IFERROR((F40-D40)*12,"")</f>
        <v/>
      </c>
      <c r="I40" s="11">
        <f>IFERROR(SQRT(G40^2+H40^2),"")</f>
        <v/>
      </c>
      <c r="J40" s="11" t="n"/>
      <c r="K40" s="11" t="n"/>
      <c r="L40" s="11">
        <f>IFERROR(K40-J40,"")</f>
        <v/>
      </c>
      <c r="M40" s="10">
        <f>IF(OR(G40="",H40=""),"",IF(AND(ABS(G40)&lt;=AnchorSingleTol,ABS(H40)&lt;=AnchorSingleTol),"OK","OUT"))</f>
        <v/>
      </c>
      <c r="N40" s="10">
        <f>IF(L40="","",IF(ABS(L40)&lt;=AnchorStickupTol,"OK","OUT"))</f>
        <v/>
      </c>
      <c r="O40" s="10" t="n"/>
    </row>
    <row r="41">
      <c r="A41" s="10" t="n"/>
      <c r="B41" s="10" t="n"/>
      <c r="C41" s="11" t="n"/>
      <c r="D41" s="11" t="n"/>
      <c r="E41" s="11" t="n"/>
      <c r="F41" s="11" t="n"/>
      <c r="G41" s="11">
        <f>IFERROR((E41-C41)*12,"")</f>
        <v/>
      </c>
      <c r="H41" s="11">
        <f>IFERROR((F41-D41)*12,"")</f>
        <v/>
      </c>
      <c r="I41" s="11">
        <f>IFERROR(SQRT(G41^2+H41^2),"")</f>
        <v/>
      </c>
      <c r="J41" s="11" t="n"/>
      <c r="K41" s="11" t="n"/>
      <c r="L41" s="11">
        <f>IFERROR(K41-J41,"")</f>
        <v/>
      </c>
      <c r="M41" s="10">
        <f>IF(OR(G41="",H41=""),"",IF(AND(ABS(G41)&lt;=AnchorSingleTol,ABS(H41)&lt;=AnchorSingleTol),"OK","OUT"))</f>
        <v/>
      </c>
      <c r="N41" s="10">
        <f>IF(L41="","",IF(ABS(L41)&lt;=AnchorStickupTol,"OK","OUT"))</f>
        <v/>
      </c>
      <c r="O41" s="10" t="n"/>
    </row>
    <row r="42">
      <c r="A42" s="10" t="n"/>
      <c r="B42" s="10" t="n"/>
      <c r="C42" s="11" t="n"/>
      <c r="D42" s="11" t="n"/>
      <c r="E42" s="11" t="n"/>
      <c r="F42" s="11" t="n"/>
      <c r="G42" s="11">
        <f>IFERROR((E42-C42)*12,"")</f>
        <v/>
      </c>
      <c r="H42" s="11">
        <f>IFERROR((F42-D42)*12,"")</f>
        <v/>
      </c>
      <c r="I42" s="11">
        <f>IFERROR(SQRT(G42^2+H42^2),"")</f>
        <v/>
      </c>
      <c r="J42" s="11" t="n"/>
      <c r="K42" s="11" t="n"/>
      <c r="L42" s="11">
        <f>IFERROR(K42-J42,"")</f>
        <v/>
      </c>
      <c r="M42" s="10">
        <f>IF(OR(G42="",H42=""),"",IF(AND(ABS(G42)&lt;=AnchorSingleTol,ABS(H42)&lt;=AnchorSingleTol),"OK","OUT"))</f>
        <v/>
      </c>
      <c r="N42" s="10">
        <f>IF(L42="","",IF(ABS(L42)&lt;=AnchorStickupTol,"OK","OUT"))</f>
        <v/>
      </c>
      <c r="O42" s="10" t="n"/>
    </row>
    <row r="43">
      <c r="A43" s="10" t="n"/>
      <c r="B43" s="10" t="n"/>
      <c r="C43" s="11" t="n"/>
      <c r="D43" s="11" t="n"/>
      <c r="E43" s="11" t="n"/>
      <c r="F43" s="11" t="n"/>
      <c r="G43" s="11">
        <f>IFERROR((E43-C43)*12,"")</f>
        <v/>
      </c>
      <c r="H43" s="11">
        <f>IFERROR((F43-D43)*12,"")</f>
        <v/>
      </c>
      <c r="I43" s="11">
        <f>IFERROR(SQRT(G43^2+H43^2),"")</f>
        <v/>
      </c>
      <c r="J43" s="11" t="n"/>
      <c r="K43" s="11" t="n"/>
      <c r="L43" s="11">
        <f>IFERROR(K43-J43,"")</f>
        <v/>
      </c>
      <c r="M43" s="10">
        <f>IF(OR(G43="",H43=""),"",IF(AND(ABS(G43)&lt;=AnchorSingleTol,ABS(H43)&lt;=AnchorSingleTol),"OK","OUT"))</f>
        <v/>
      </c>
      <c r="N43" s="10">
        <f>IF(L43="","",IF(ABS(L43)&lt;=AnchorStickupTol,"OK","OUT"))</f>
        <v/>
      </c>
      <c r="O43" s="10" t="n"/>
    </row>
    <row r="44">
      <c r="A44" s="10" t="n"/>
      <c r="B44" s="10" t="n"/>
      <c r="C44" s="11" t="n"/>
      <c r="D44" s="11" t="n"/>
      <c r="E44" s="11" t="n"/>
      <c r="F44" s="11" t="n"/>
      <c r="G44" s="11">
        <f>IFERROR((E44-C44)*12,"")</f>
        <v/>
      </c>
      <c r="H44" s="11">
        <f>IFERROR((F44-D44)*12,"")</f>
        <v/>
      </c>
      <c r="I44" s="11">
        <f>IFERROR(SQRT(G44^2+H44^2),"")</f>
        <v/>
      </c>
      <c r="J44" s="11" t="n"/>
      <c r="K44" s="11" t="n"/>
      <c r="L44" s="11">
        <f>IFERROR(K44-J44,"")</f>
        <v/>
      </c>
      <c r="M44" s="10">
        <f>IF(OR(G44="",H44=""),"",IF(AND(ABS(G44)&lt;=AnchorSingleTol,ABS(H44)&lt;=AnchorSingleTol),"OK","OUT"))</f>
        <v/>
      </c>
      <c r="N44" s="10">
        <f>IF(L44="","",IF(ABS(L44)&lt;=AnchorStickupTol,"OK","OUT"))</f>
        <v/>
      </c>
      <c r="O44" s="10" t="n"/>
    </row>
    <row r="45">
      <c r="A45" s="10" t="n"/>
      <c r="B45" s="10" t="n"/>
      <c r="C45" s="11" t="n"/>
      <c r="D45" s="11" t="n"/>
      <c r="E45" s="11" t="n"/>
      <c r="F45" s="11" t="n"/>
      <c r="G45" s="11">
        <f>IFERROR((E45-C45)*12,"")</f>
        <v/>
      </c>
      <c r="H45" s="11">
        <f>IFERROR((F45-D45)*12,"")</f>
        <v/>
      </c>
      <c r="I45" s="11">
        <f>IFERROR(SQRT(G45^2+H45^2),"")</f>
        <v/>
      </c>
      <c r="J45" s="11" t="n"/>
      <c r="K45" s="11" t="n"/>
      <c r="L45" s="11">
        <f>IFERROR(K45-J45,"")</f>
        <v/>
      </c>
      <c r="M45" s="10">
        <f>IF(OR(G45="",H45=""),"",IF(AND(ABS(G45)&lt;=AnchorSingleTol,ABS(H45)&lt;=AnchorSingleTol),"OK","OUT"))</f>
        <v/>
      </c>
      <c r="N45" s="10">
        <f>IF(L45="","",IF(ABS(L45)&lt;=AnchorStickupTol,"OK","OUT"))</f>
        <v/>
      </c>
      <c r="O45" s="10" t="n"/>
    </row>
    <row r="46">
      <c r="A46" s="10" t="n"/>
      <c r="B46" s="10" t="n"/>
      <c r="C46" s="11" t="n"/>
      <c r="D46" s="11" t="n"/>
      <c r="E46" s="11" t="n"/>
      <c r="F46" s="11" t="n"/>
      <c r="G46" s="11">
        <f>IFERROR((E46-C46)*12,"")</f>
        <v/>
      </c>
      <c r="H46" s="11">
        <f>IFERROR((F46-D46)*12,"")</f>
        <v/>
      </c>
      <c r="I46" s="11">
        <f>IFERROR(SQRT(G46^2+H46^2),"")</f>
        <v/>
      </c>
      <c r="J46" s="11" t="n"/>
      <c r="K46" s="11" t="n"/>
      <c r="L46" s="11">
        <f>IFERROR(K46-J46,"")</f>
        <v/>
      </c>
      <c r="M46" s="10">
        <f>IF(OR(G46="",H46=""),"",IF(AND(ABS(G46)&lt;=AnchorSingleTol,ABS(H46)&lt;=AnchorSingleTol),"OK","OUT"))</f>
        <v/>
      </c>
      <c r="N46" s="10">
        <f>IF(L46="","",IF(ABS(L46)&lt;=AnchorStickupTol,"OK","OUT"))</f>
        <v/>
      </c>
      <c r="O46" s="10" t="n"/>
    </row>
    <row r="47">
      <c r="A47" s="10" t="n"/>
      <c r="B47" s="10" t="n"/>
      <c r="C47" s="11" t="n"/>
      <c r="D47" s="11" t="n"/>
      <c r="E47" s="11" t="n"/>
      <c r="F47" s="11" t="n"/>
      <c r="G47" s="11">
        <f>IFERROR((E47-C47)*12,"")</f>
        <v/>
      </c>
      <c r="H47" s="11">
        <f>IFERROR((F47-D47)*12,"")</f>
        <v/>
      </c>
      <c r="I47" s="11">
        <f>IFERROR(SQRT(G47^2+H47^2),"")</f>
        <v/>
      </c>
      <c r="J47" s="11" t="n"/>
      <c r="K47" s="11" t="n"/>
      <c r="L47" s="11">
        <f>IFERROR(K47-J47,"")</f>
        <v/>
      </c>
      <c r="M47" s="10">
        <f>IF(OR(G47="",H47=""),"",IF(AND(ABS(G47)&lt;=AnchorSingleTol,ABS(H47)&lt;=AnchorSingleTol),"OK","OUT"))</f>
        <v/>
      </c>
      <c r="N47" s="10">
        <f>IF(L47="","",IF(ABS(L47)&lt;=AnchorStickupTol,"OK","OUT"))</f>
        <v/>
      </c>
      <c r="O47" s="10" t="n"/>
    </row>
    <row r="48">
      <c r="A48" s="10" t="n"/>
      <c r="B48" s="10" t="n"/>
      <c r="C48" s="11" t="n"/>
      <c r="D48" s="11" t="n"/>
      <c r="E48" s="11" t="n"/>
      <c r="F48" s="11" t="n"/>
      <c r="G48" s="11">
        <f>IFERROR((E48-C48)*12,"")</f>
        <v/>
      </c>
      <c r="H48" s="11">
        <f>IFERROR((F48-D48)*12,"")</f>
        <v/>
      </c>
      <c r="I48" s="11">
        <f>IFERROR(SQRT(G48^2+H48^2),"")</f>
        <v/>
      </c>
      <c r="J48" s="11" t="n"/>
      <c r="K48" s="11" t="n"/>
      <c r="L48" s="11">
        <f>IFERROR(K48-J48,"")</f>
        <v/>
      </c>
      <c r="M48" s="10">
        <f>IF(OR(G48="",H48=""),"",IF(AND(ABS(G48)&lt;=AnchorSingleTol,ABS(H48)&lt;=AnchorSingleTol),"OK","OUT"))</f>
        <v/>
      </c>
      <c r="N48" s="10">
        <f>IF(L48="","",IF(ABS(L48)&lt;=AnchorStickupTol,"OK","OUT"))</f>
        <v/>
      </c>
      <c r="O48" s="10" t="n"/>
    </row>
    <row r="49">
      <c r="A49" s="10" t="n"/>
      <c r="B49" s="10" t="n"/>
      <c r="C49" s="11" t="n"/>
      <c r="D49" s="11" t="n"/>
      <c r="E49" s="11" t="n"/>
      <c r="F49" s="11" t="n"/>
      <c r="G49" s="11">
        <f>IFERROR((E49-C49)*12,"")</f>
        <v/>
      </c>
      <c r="H49" s="11">
        <f>IFERROR((F49-D49)*12,"")</f>
        <v/>
      </c>
      <c r="I49" s="11">
        <f>IFERROR(SQRT(G49^2+H49^2),"")</f>
        <v/>
      </c>
      <c r="J49" s="11" t="n"/>
      <c r="K49" s="11" t="n"/>
      <c r="L49" s="11">
        <f>IFERROR(K49-J49,"")</f>
        <v/>
      </c>
      <c r="M49" s="10">
        <f>IF(OR(G49="",H49=""),"",IF(AND(ABS(G49)&lt;=AnchorSingleTol,ABS(H49)&lt;=AnchorSingleTol),"OK","OUT"))</f>
        <v/>
      </c>
      <c r="N49" s="10">
        <f>IF(L49="","",IF(ABS(L49)&lt;=AnchorStickupTol,"OK","OUT"))</f>
        <v/>
      </c>
      <c r="O49" s="10" t="n"/>
    </row>
    <row r="50">
      <c r="A50" s="10" t="n"/>
      <c r="B50" s="10" t="n"/>
      <c r="C50" s="11" t="n"/>
      <c r="D50" s="11" t="n"/>
      <c r="E50" s="11" t="n"/>
      <c r="F50" s="11" t="n"/>
      <c r="G50" s="11">
        <f>IFERROR((E50-C50)*12,"")</f>
        <v/>
      </c>
      <c r="H50" s="11">
        <f>IFERROR((F50-D50)*12,"")</f>
        <v/>
      </c>
      <c r="I50" s="11">
        <f>IFERROR(SQRT(G50^2+H50^2),"")</f>
        <v/>
      </c>
      <c r="J50" s="11" t="n"/>
      <c r="K50" s="11" t="n"/>
      <c r="L50" s="11">
        <f>IFERROR(K50-J50,"")</f>
        <v/>
      </c>
      <c r="M50" s="10">
        <f>IF(OR(G50="",H50=""),"",IF(AND(ABS(G50)&lt;=AnchorSingleTol,ABS(H50)&lt;=AnchorSingleTol),"OK","OUT"))</f>
        <v/>
      </c>
      <c r="N50" s="10">
        <f>IF(L50="","",IF(ABS(L50)&lt;=AnchorStickupTol,"OK","OUT"))</f>
        <v/>
      </c>
      <c r="O50" s="10" t="n"/>
    </row>
    <row r="51">
      <c r="A51" s="10" t="n"/>
      <c r="B51" s="10" t="n"/>
      <c r="C51" s="11" t="n"/>
      <c r="D51" s="11" t="n"/>
      <c r="E51" s="11" t="n"/>
      <c r="F51" s="11" t="n"/>
      <c r="G51" s="11">
        <f>IFERROR((E51-C51)*12,"")</f>
        <v/>
      </c>
      <c r="H51" s="11">
        <f>IFERROR((F51-D51)*12,"")</f>
        <v/>
      </c>
      <c r="I51" s="11">
        <f>IFERROR(SQRT(G51^2+H51^2),"")</f>
        <v/>
      </c>
      <c r="J51" s="11" t="n"/>
      <c r="K51" s="11" t="n"/>
      <c r="L51" s="11">
        <f>IFERROR(K51-J51,"")</f>
        <v/>
      </c>
      <c r="M51" s="10">
        <f>IF(OR(G51="",H51=""),"",IF(AND(ABS(G51)&lt;=AnchorSingleTol,ABS(H51)&lt;=AnchorSingleTol),"OK","OUT"))</f>
        <v/>
      </c>
      <c r="N51" s="10">
        <f>IF(L51="","",IF(ABS(L51)&lt;=AnchorStickupTol,"OK","OUT"))</f>
        <v/>
      </c>
      <c r="O51" s="10" t="n"/>
    </row>
    <row r="52">
      <c r="A52" s="10" t="n"/>
      <c r="B52" s="10" t="n"/>
      <c r="C52" s="11" t="n"/>
      <c r="D52" s="11" t="n"/>
      <c r="E52" s="11" t="n"/>
      <c r="F52" s="11" t="n"/>
      <c r="G52" s="11">
        <f>IFERROR((E52-C52)*12,"")</f>
        <v/>
      </c>
      <c r="H52" s="11">
        <f>IFERROR((F52-D52)*12,"")</f>
        <v/>
      </c>
      <c r="I52" s="11">
        <f>IFERROR(SQRT(G52^2+H52^2),"")</f>
        <v/>
      </c>
      <c r="J52" s="11" t="n"/>
      <c r="K52" s="11" t="n"/>
      <c r="L52" s="11">
        <f>IFERROR(K52-J52,"")</f>
        <v/>
      </c>
      <c r="M52" s="10">
        <f>IF(OR(G52="",H52=""),"",IF(AND(ABS(G52)&lt;=AnchorSingleTol,ABS(H52)&lt;=AnchorSingleTol),"OK","OUT"))</f>
        <v/>
      </c>
      <c r="N52" s="10">
        <f>IF(L52="","",IF(ABS(L52)&lt;=AnchorStickupTol,"OK","OUT"))</f>
        <v/>
      </c>
      <c r="O52" s="10" t="n"/>
    </row>
    <row r="53">
      <c r="A53" s="10" t="n"/>
      <c r="B53" s="10" t="n"/>
      <c r="C53" s="11" t="n"/>
      <c r="D53" s="11" t="n"/>
      <c r="E53" s="11" t="n"/>
      <c r="F53" s="11" t="n"/>
      <c r="G53" s="11">
        <f>IFERROR((E53-C53)*12,"")</f>
        <v/>
      </c>
      <c r="H53" s="11">
        <f>IFERROR((F53-D53)*12,"")</f>
        <v/>
      </c>
      <c r="I53" s="11">
        <f>IFERROR(SQRT(G53^2+H53^2),"")</f>
        <v/>
      </c>
      <c r="J53" s="11" t="n"/>
      <c r="K53" s="11" t="n"/>
      <c r="L53" s="11">
        <f>IFERROR(K53-J53,"")</f>
        <v/>
      </c>
      <c r="M53" s="10">
        <f>IF(OR(G53="",H53=""),"",IF(AND(ABS(G53)&lt;=AnchorSingleTol,ABS(H53)&lt;=AnchorSingleTol),"OK","OUT"))</f>
        <v/>
      </c>
      <c r="N53" s="10">
        <f>IF(L53="","",IF(ABS(L53)&lt;=AnchorStickupTol,"OK","OUT"))</f>
        <v/>
      </c>
      <c r="O53" s="10" t="n"/>
    </row>
    <row r="54">
      <c r="A54" s="10" t="n"/>
      <c r="B54" s="10" t="n"/>
      <c r="C54" s="11" t="n"/>
      <c r="D54" s="11" t="n"/>
      <c r="E54" s="11" t="n"/>
      <c r="F54" s="11" t="n"/>
      <c r="G54" s="11">
        <f>IFERROR((E54-C54)*12,"")</f>
        <v/>
      </c>
      <c r="H54" s="11">
        <f>IFERROR((F54-D54)*12,"")</f>
        <v/>
      </c>
      <c r="I54" s="11">
        <f>IFERROR(SQRT(G54^2+H54^2),"")</f>
        <v/>
      </c>
      <c r="J54" s="11" t="n"/>
      <c r="K54" s="11" t="n"/>
      <c r="L54" s="11">
        <f>IFERROR(K54-J54,"")</f>
        <v/>
      </c>
      <c r="M54" s="10">
        <f>IF(OR(G54="",H54=""),"",IF(AND(ABS(G54)&lt;=AnchorSingleTol,ABS(H54)&lt;=AnchorSingleTol),"OK","OUT"))</f>
        <v/>
      </c>
      <c r="N54" s="10">
        <f>IF(L54="","",IF(ABS(L54)&lt;=AnchorStickupTol,"OK","OUT"))</f>
        <v/>
      </c>
      <c r="O54" s="10" t="n"/>
    </row>
    <row r="55">
      <c r="A55" s="10" t="n"/>
      <c r="B55" s="10" t="n"/>
      <c r="C55" s="11" t="n"/>
      <c r="D55" s="11" t="n"/>
      <c r="E55" s="11" t="n"/>
      <c r="F55" s="11" t="n"/>
      <c r="G55" s="11">
        <f>IFERROR((E55-C55)*12,"")</f>
        <v/>
      </c>
      <c r="H55" s="11">
        <f>IFERROR((F55-D55)*12,"")</f>
        <v/>
      </c>
      <c r="I55" s="11">
        <f>IFERROR(SQRT(G55^2+H55^2),"")</f>
        <v/>
      </c>
      <c r="J55" s="11" t="n"/>
      <c r="K55" s="11" t="n"/>
      <c r="L55" s="11">
        <f>IFERROR(K55-J55,"")</f>
        <v/>
      </c>
      <c r="M55" s="10">
        <f>IF(OR(G55="",H55=""),"",IF(AND(ABS(G55)&lt;=AnchorSingleTol,ABS(H55)&lt;=AnchorSingleTol),"OK","OUT"))</f>
        <v/>
      </c>
      <c r="N55" s="10">
        <f>IF(L55="","",IF(ABS(L55)&lt;=AnchorStickupTol,"OK","OUT"))</f>
        <v/>
      </c>
      <c r="O55" s="10" t="n"/>
    </row>
    <row r="56">
      <c r="A56" s="10" t="n"/>
      <c r="B56" s="10" t="n"/>
      <c r="C56" s="11" t="n"/>
      <c r="D56" s="11" t="n"/>
      <c r="E56" s="11" t="n"/>
      <c r="F56" s="11" t="n"/>
      <c r="G56" s="11">
        <f>IFERROR((E56-C56)*12,"")</f>
        <v/>
      </c>
      <c r="H56" s="11">
        <f>IFERROR((F56-D56)*12,"")</f>
        <v/>
      </c>
      <c r="I56" s="11">
        <f>IFERROR(SQRT(G56^2+H56^2),"")</f>
        <v/>
      </c>
      <c r="J56" s="11" t="n"/>
      <c r="K56" s="11" t="n"/>
      <c r="L56" s="11">
        <f>IFERROR(K56-J56,"")</f>
        <v/>
      </c>
      <c r="M56" s="10">
        <f>IF(OR(G56="",H56=""),"",IF(AND(ABS(G56)&lt;=AnchorSingleTol,ABS(H56)&lt;=AnchorSingleTol),"OK","OUT"))</f>
        <v/>
      </c>
      <c r="N56" s="10">
        <f>IF(L56="","",IF(ABS(L56)&lt;=AnchorStickupTol,"OK","OUT"))</f>
        <v/>
      </c>
      <c r="O56" s="10" t="n"/>
    </row>
    <row r="57">
      <c r="A57" s="10" t="n"/>
      <c r="B57" s="10" t="n"/>
      <c r="C57" s="11" t="n"/>
      <c r="D57" s="11" t="n"/>
      <c r="E57" s="11" t="n"/>
      <c r="F57" s="11" t="n"/>
      <c r="G57" s="11">
        <f>IFERROR((E57-C57)*12,"")</f>
        <v/>
      </c>
      <c r="H57" s="11">
        <f>IFERROR((F57-D57)*12,"")</f>
        <v/>
      </c>
      <c r="I57" s="11">
        <f>IFERROR(SQRT(G57^2+H57^2),"")</f>
        <v/>
      </c>
      <c r="J57" s="11" t="n"/>
      <c r="K57" s="11" t="n"/>
      <c r="L57" s="11">
        <f>IFERROR(K57-J57,"")</f>
        <v/>
      </c>
      <c r="M57" s="10">
        <f>IF(OR(G57="",H57=""),"",IF(AND(ABS(G57)&lt;=AnchorSingleTol,ABS(H57)&lt;=AnchorSingleTol),"OK","OUT"))</f>
        <v/>
      </c>
      <c r="N57" s="10">
        <f>IF(L57="","",IF(ABS(L57)&lt;=AnchorStickupTol,"OK","OUT"))</f>
        <v/>
      </c>
      <c r="O57" s="10" t="n"/>
    </row>
    <row r="58">
      <c r="A58" s="10" t="n"/>
      <c r="B58" s="10" t="n"/>
      <c r="C58" s="11" t="n"/>
      <c r="D58" s="11" t="n"/>
      <c r="E58" s="11" t="n"/>
      <c r="F58" s="11" t="n"/>
      <c r="G58" s="11">
        <f>IFERROR((E58-C58)*12,"")</f>
        <v/>
      </c>
      <c r="H58" s="11">
        <f>IFERROR((F58-D58)*12,"")</f>
        <v/>
      </c>
      <c r="I58" s="11">
        <f>IFERROR(SQRT(G58^2+H58^2),"")</f>
        <v/>
      </c>
      <c r="J58" s="11" t="n"/>
      <c r="K58" s="11" t="n"/>
      <c r="L58" s="11">
        <f>IFERROR(K58-J58,"")</f>
        <v/>
      </c>
      <c r="M58" s="10">
        <f>IF(OR(G58="",H58=""),"",IF(AND(ABS(G58)&lt;=AnchorSingleTol,ABS(H58)&lt;=AnchorSingleTol),"OK","OUT"))</f>
        <v/>
      </c>
      <c r="N58" s="10">
        <f>IF(L58="","",IF(ABS(L58)&lt;=AnchorStickupTol,"OK","OUT"))</f>
        <v/>
      </c>
      <c r="O58" s="10" t="n"/>
    </row>
    <row r="59">
      <c r="A59" s="10" t="n"/>
      <c r="B59" s="10" t="n"/>
      <c r="C59" s="11" t="n"/>
      <c r="D59" s="11" t="n"/>
      <c r="E59" s="11" t="n"/>
      <c r="F59" s="11" t="n"/>
      <c r="G59" s="11">
        <f>IFERROR((E59-C59)*12,"")</f>
        <v/>
      </c>
      <c r="H59" s="11">
        <f>IFERROR((F59-D59)*12,"")</f>
        <v/>
      </c>
      <c r="I59" s="11">
        <f>IFERROR(SQRT(G59^2+H59^2),"")</f>
        <v/>
      </c>
      <c r="J59" s="11" t="n"/>
      <c r="K59" s="11" t="n"/>
      <c r="L59" s="11">
        <f>IFERROR(K59-J59,"")</f>
        <v/>
      </c>
      <c r="M59" s="10">
        <f>IF(OR(G59="",H59=""),"",IF(AND(ABS(G59)&lt;=AnchorSingleTol,ABS(H59)&lt;=AnchorSingleTol),"OK","OUT"))</f>
        <v/>
      </c>
      <c r="N59" s="10">
        <f>IF(L59="","",IF(ABS(L59)&lt;=AnchorStickupTol,"OK","OUT"))</f>
        <v/>
      </c>
      <c r="O59" s="10" t="n"/>
    </row>
    <row r="60">
      <c r="A60" s="10" t="n"/>
      <c r="B60" s="10" t="n"/>
      <c r="C60" s="11" t="n"/>
      <c r="D60" s="11" t="n"/>
      <c r="E60" s="11" t="n"/>
      <c r="F60" s="11" t="n"/>
      <c r="G60" s="11">
        <f>IFERROR((E60-C60)*12,"")</f>
        <v/>
      </c>
      <c r="H60" s="11">
        <f>IFERROR((F60-D60)*12,"")</f>
        <v/>
      </c>
      <c r="I60" s="11">
        <f>IFERROR(SQRT(G60^2+H60^2),"")</f>
        <v/>
      </c>
      <c r="J60" s="11" t="n"/>
      <c r="K60" s="11" t="n"/>
      <c r="L60" s="11">
        <f>IFERROR(K60-J60,"")</f>
        <v/>
      </c>
      <c r="M60" s="10">
        <f>IF(OR(G60="",H60=""),"",IF(AND(ABS(G60)&lt;=AnchorSingleTol,ABS(H60)&lt;=AnchorSingleTol),"OK","OUT"))</f>
        <v/>
      </c>
      <c r="N60" s="10">
        <f>IF(L60="","",IF(ABS(L60)&lt;=AnchorStickupTol,"OK","OUT"))</f>
        <v/>
      </c>
      <c r="O60" s="10" t="n"/>
    </row>
    <row r="61">
      <c r="A61" s="10" t="n"/>
      <c r="B61" s="10" t="n"/>
      <c r="C61" s="11" t="n"/>
      <c r="D61" s="11" t="n"/>
      <c r="E61" s="11" t="n"/>
      <c r="F61" s="11" t="n"/>
      <c r="G61" s="11">
        <f>IFERROR((E61-C61)*12,"")</f>
        <v/>
      </c>
      <c r="H61" s="11">
        <f>IFERROR((F61-D61)*12,"")</f>
        <v/>
      </c>
      <c r="I61" s="11">
        <f>IFERROR(SQRT(G61^2+H61^2),"")</f>
        <v/>
      </c>
      <c r="J61" s="11" t="n"/>
      <c r="K61" s="11" t="n"/>
      <c r="L61" s="11">
        <f>IFERROR(K61-J61,"")</f>
        <v/>
      </c>
      <c r="M61" s="10">
        <f>IF(OR(G61="",H61=""),"",IF(AND(ABS(G61)&lt;=AnchorSingleTol,ABS(H61)&lt;=AnchorSingleTol),"OK","OUT"))</f>
        <v/>
      </c>
      <c r="N61" s="10">
        <f>IF(L61="","",IF(ABS(L61)&lt;=AnchorStickupTol,"OK","OUT"))</f>
        <v/>
      </c>
      <c r="O61" s="10" t="n"/>
    </row>
    <row r="62">
      <c r="A62" s="10" t="n"/>
      <c r="B62" s="10" t="n"/>
      <c r="C62" s="11" t="n"/>
      <c r="D62" s="11" t="n"/>
      <c r="E62" s="11" t="n"/>
      <c r="F62" s="11" t="n"/>
      <c r="G62" s="11">
        <f>IFERROR((E62-C62)*12,"")</f>
        <v/>
      </c>
      <c r="H62" s="11">
        <f>IFERROR((F62-D62)*12,"")</f>
        <v/>
      </c>
      <c r="I62" s="11">
        <f>IFERROR(SQRT(G62^2+H62^2),"")</f>
        <v/>
      </c>
      <c r="J62" s="11" t="n"/>
      <c r="K62" s="11" t="n"/>
      <c r="L62" s="11">
        <f>IFERROR(K62-J62,"")</f>
        <v/>
      </c>
      <c r="M62" s="10">
        <f>IF(OR(G62="",H62=""),"",IF(AND(ABS(G62)&lt;=AnchorSingleTol,ABS(H62)&lt;=AnchorSingleTol),"OK","OUT"))</f>
        <v/>
      </c>
      <c r="N62" s="10">
        <f>IF(L62="","",IF(ABS(L62)&lt;=AnchorStickupTol,"OK","OUT"))</f>
        <v/>
      </c>
      <c r="O62" s="10" t="n"/>
    </row>
    <row r="63">
      <c r="A63" s="10" t="n"/>
      <c r="B63" s="10" t="n"/>
      <c r="C63" s="11" t="n"/>
      <c r="D63" s="11" t="n"/>
      <c r="E63" s="11" t="n"/>
      <c r="F63" s="11" t="n"/>
      <c r="G63" s="11">
        <f>IFERROR((E63-C63)*12,"")</f>
        <v/>
      </c>
      <c r="H63" s="11">
        <f>IFERROR((F63-D63)*12,"")</f>
        <v/>
      </c>
      <c r="I63" s="11">
        <f>IFERROR(SQRT(G63^2+H63^2),"")</f>
        <v/>
      </c>
      <c r="J63" s="11" t="n"/>
      <c r="K63" s="11" t="n"/>
      <c r="L63" s="11">
        <f>IFERROR(K63-J63,"")</f>
        <v/>
      </c>
      <c r="M63" s="10">
        <f>IF(OR(G63="",H63=""),"",IF(AND(ABS(G63)&lt;=AnchorSingleTol,ABS(H63)&lt;=AnchorSingleTol),"OK","OUT"))</f>
        <v/>
      </c>
      <c r="N63" s="10">
        <f>IF(L63="","",IF(ABS(L63)&lt;=AnchorStickupTol,"OK","OUT"))</f>
        <v/>
      </c>
      <c r="O63" s="10" t="n"/>
    </row>
    <row r="64">
      <c r="A64" s="10" t="n"/>
      <c r="B64" s="10" t="n"/>
      <c r="C64" s="11" t="n"/>
      <c r="D64" s="11" t="n"/>
      <c r="E64" s="11" t="n"/>
      <c r="F64" s="11" t="n"/>
      <c r="G64" s="11">
        <f>IFERROR((E64-C64)*12,"")</f>
        <v/>
      </c>
      <c r="H64" s="11">
        <f>IFERROR((F64-D64)*12,"")</f>
        <v/>
      </c>
      <c r="I64" s="11">
        <f>IFERROR(SQRT(G64^2+H64^2),"")</f>
        <v/>
      </c>
      <c r="J64" s="11" t="n"/>
      <c r="K64" s="11" t="n"/>
      <c r="L64" s="11">
        <f>IFERROR(K64-J64,"")</f>
        <v/>
      </c>
      <c r="M64" s="10">
        <f>IF(OR(G64="",H64=""),"",IF(AND(ABS(G64)&lt;=AnchorSingleTol,ABS(H64)&lt;=AnchorSingleTol),"OK","OUT"))</f>
        <v/>
      </c>
      <c r="N64" s="10">
        <f>IF(L64="","",IF(ABS(L64)&lt;=AnchorStickupTol,"OK","OUT"))</f>
        <v/>
      </c>
      <c r="O64" s="10" t="n"/>
    </row>
    <row r="65">
      <c r="A65" s="10" t="n"/>
      <c r="B65" s="10" t="n"/>
      <c r="C65" s="11" t="n"/>
      <c r="D65" s="11" t="n"/>
      <c r="E65" s="11" t="n"/>
      <c r="F65" s="11" t="n"/>
      <c r="G65" s="11">
        <f>IFERROR((E65-C65)*12,"")</f>
        <v/>
      </c>
      <c r="H65" s="11">
        <f>IFERROR((F65-D65)*12,"")</f>
        <v/>
      </c>
      <c r="I65" s="11">
        <f>IFERROR(SQRT(G65^2+H65^2),"")</f>
        <v/>
      </c>
      <c r="J65" s="11" t="n"/>
      <c r="K65" s="11" t="n"/>
      <c r="L65" s="11">
        <f>IFERROR(K65-J65,"")</f>
        <v/>
      </c>
      <c r="M65" s="10">
        <f>IF(OR(G65="",H65=""),"",IF(AND(ABS(G65)&lt;=AnchorSingleTol,ABS(H65)&lt;=AnchorSingleTol),"OK","OUT"))</f>
        <v/>
      </c>
      <c r="N65" s="10">
        <f>IF(L65="","",IF(ABS(L65)&lt;=AnchorStickupTol,"OK","OUT"))</f>
        <v/>
      </c>
      <c r="O65" s="10" t="n"/>
    </row>
    <row r="66">
      <c r="A66" s="10" t="n"/>
      <c r="B66" s="10" t="n"/>
      <c r="C66" s="11" t="n"/>
      <c r="D66" s="11" t="n"/>
      <c r="E66" s="11" t="n"/>
      <c r="F66" s="11" t="n"/>
      <c r="G66" s="11">
        <f>IFERROR((E66-C66)*12,"")</f>
        <v/>
      </c>
      <c r="H66" s="11">
        <f>IFERROR((F66-D66)*12,"")</f>
        <v/>
      </c>
      <c r="I66" s="11">
        <f>IFERROR(SQRT(G66^2+H66^2),"")</f>
        <v/>
      </c>
      <c r="J66" s="11" t="n"/>
      <c r="K66" s="11" t="n"/>
      <c r="L66" s="11">
        <f>IFERROR(K66-J66,"")</f>
        <v/>
      </c>
      <c r="M66" s="10">
        <f>IF(OR(G66="",H66=""),"",IF(AND(ABS(G66)&lt;=AnchorSingleTol,ABS(H66)&lt;=AnchorSingleTol),"OK","OUT"))</f>
        <v/>
      </c>
      <c r="N66" s="10">
        <f>IF(L66="","",IF(ABS(L66)&lt;=AnchorStickupTol,"OK","OUT"))</f>
        <v/>
      </c>
      <c r="O66" s="10" t="n"/>
    </row>
    <row r="67">
      <c r="A67" s="10" t="n"/>
      <c r="B67" s="10" t="n"/>
      <c r="C67" s="11" t="n"/>
      <c r="D67" s="11" t="n"/>
      <c r="E67" s="11" t="n"/>
      <c r="F67" s="11" t="n"/>
      <c r="G67" s="11">
        <f>IFERROR((E67-C67)*12,"")</f>
        <v/>
      </c>
      <c r="H67" s="11">
        <f>IFERROR((F67-D67)*12,"")</f>
        <v/>
      </c>
      <c r="I67" s="11">
        <f>IFERROR(SQRT(G67^2+H67^2),"")</f>
        <v/>
      </c>
      <c r="J67" s="11" t="n"/>
      <c r="K67" s="11" t="n"/>
      <c r="L67" s="11">
        <f>IFERROR(K67-J67,"")</f>
        <v/>
      </c>
      <c r="M67" s="10">
        <f>IF(OR(G67="",H67=""),"",IF(AND(ABS(G67)&lt;=AnchorSingleTol,ABS(H67)&lt;=AnchorSingleTol),"OK","OUT"))</f>
        <v/>
      </c>
      <c r="N67" s="10">
        <f>IF(L67="","",IF(ABS(L67)&lt;=AnchorStickupTol,"OK","OUT"))</f>
        <v/>
      </c>
      <c r="O67" s="10" t="n"/>
    </row>
    <row r="68">
      <c r="A68" s="10" t="n"/>
      <c r="B68" s="10" t="n"/>
      <c r="C68" s="11" t="n"/>
      <c r="D68" s="11" t="n"/>
      <c r="E68" s="11" t="n"/>
      <c r="F68" s="11" t="n"/>
      <c r="G68" s="11">
        <f>IFERROR((E68-C68)*12,"")</f>
        <v/>
      </c>
      <c r="H68" s="11">
        <f>IFERROR((F68-D68)*12,"")</f>
        <v/>
      </c>
      <c r="I68" s="11">
        <f>IFERROR(SQRT(G68^2+H68^2),"")</f>
        <v/>
      </c>
      <c r="J68" s="11" t="n"/>
      <c r="K68" s="11" t="n"/>
      <c r="L68" s="11">
        <f>IFERROR(K68-J68,"")</f>
        <v/>
      </c>
      <c r="M68" s="10">
        <f>IF(OR(G68="",H68=""),"",IF(AND(ABS(G68)&lt;=AnchorSingleTol,ABS(H68)&lt;=AnchorSingleTol),"OK","OUT"))</f>
        <v/>
      </c>
      <c r="N68" s="10">
        <f>IF(L68="","",IF(ABS(L68)&lt;=AnchorStickupTol,"OK","OUT"))</f>
        <v/>
      </c>
      <c r="O68" s="10" t="n"/>
    </row>
    <row r="69">
      <c r="A69" s="10" t="n"/>
      <c r="B69" s="10" t="n"/>
      <c r="C69" s="11" t="n"/>
      <c r="D69" s="11" t="n"/>
      <c r="E69" s="11" t="n"/>
      <c r="F69" s="11" t="n"/>
      <c r="G69" s="11">
        <f>IFERROR((E69-C69)*12,"")</f>
        <v/>
      </c>
      <c r="H69" s="11">
        <f>IFERROR((F69-D69)*12,"")</f>
        <v/>
      </c>
      <c r="I69" s="11">
        <f>IFERROR(SQRT(G69^2+H69^2),"")</f>
        <v/>
      </c>
      <c r="J69" s="11" t="n"/>
      <c r="K69" s="11" t="n"/>
      <c r="L69" s="11">
        <f>IFERROR(K69-J69,"")</f>
        <v/>
      </c>
      <c r="M69" s="10">
        <f>IF(OR(G69="",H69=""),"",IF(AND(ABS(G69)&lt;=AnchorSingleTol,ABS(H69)&lt;=AnchorSingleTol),"OK","OUT"))</f>
        <v/>
      </c>
      <c r="N69" s="10">
        <f>IF(L69="","",IF(ABS(L69)&lt;=AnchorStickupTol,"OK","OUT"))</f>
        <v/>
      </c>
      <c r="O69" s="10" t="n"/>
    </row>
    <row r="70">
      <c r="A70" s="10" t="n"/>
      <c r="B70" s="10" t="n"/>
      <c r="C70" s="11" t="n"/>
      <c r="D70" s="11" t="n"/>
      <c r="E70" s="11" t="n"/>
      <c r="F70" s="11" t="n"/>
      <c r="G70" s="11">
        <f>IFERROR((E70-C70)*12,"")</f>
        <v/>
      </c>
      <c r="H70" s="11">
        <f>IFERROR((F70-D70)*12,"")</f>
        <v/>
      </c>
      <c r="I70" s="11">
        <f>IFERROR(SQRT(G70^2+H70^2),"")</f>
        <v/>
      </c>
      <c r="J70" s="11" t="n"/>
      <c r="K70" s="11" t="n"/>
      <c r="L70" s="11">
        <f>IFERROR(K70-J70,"")</f>
        <v/>
      </c>
      <c r="M70" s="10">
        <f>IF(OR(G70="",H70=""),"",IF(AND(ABS(G70)&lt;=AnchorSingleTol,ABS(H70)&lt;=AnchorSingleTol),"OK","OUT"))</f>
        <v/>
      </c>
      <c r="N70" s="10">
        <f>IF(L70="","",IF(ABS(L70)&lt;=AnchorStickupTol,"OK","OUT"))</f>
        <v/>
      </c>
      <c r="O70" s="10" t="n"/>
    </row>
    <row r="71">
      <c r="A71" s="10" t="n"/>
      <c r="B71" s="10" t="n"/>
      <c r="C71" s="11" t="n"/>
      <c r="D71" s="11" t="n"/>
      <c r="E71" s="11" t="n"/>
      <c r="F71" s="11" t="n"/>
      <c r="G71" s="11">
        <f>IFERROR((E71-C71)*12,"")</f>
        <v/>
      </c>
      <c r="H71" s="11">
        <f>IFERROR((F71-D71)*12,"")</f>
        <v/>
      </c>
      <c r="I71" s="11">
        <f>IFERROR(SQRT(G71^2+H71^2),"")</f>
        <v/>
      </c>
      <c r="J71" s="11" t="n"/>
      <c r="K71" s="11" t="n"/>
      <c r="L71" s="11">
        <f>IFERROR(K71-J71,"")</f>
        <v/>
      </c>
      <c r="M71" s="10">
        <f>IF(OR(G71="",H71=""),"",IF(AND(ABS(G71)&lt;=AnchorSingleTol,ABS(H71)&lt;=AnchorSingleTol),"OK","OUT"))</f>
        <v/>
      </c>
      <c r="N71" s="10">
        <f>IF(L71="","",IF(ABS(L71)&lt;=AnchorStickupTol,"OK","OUT"))</f>
        <v/>
      </c>
      <c r="O71" s="10" t="n"/>
    </row>
    <row r="72">
      <c r="A72" s="10" t="n"/>
      <c r="B72" s="10" t="n"/>
      <c r="C72" s="11" t="n"/>
      <c r="D72" s="11" t="n"/>
      <c r="E72" s="11" t="n"/>
      <c r="F72" s="11" t="n"/>
      <c r="G72" s="11">
        <f>IFERROR((E72-C72)*12,"")</f>
        <v/>
      </c>
      <c r="H72" s="11">
        <f>IFERROR((F72-D72)*12,"")</f>
        <v/>
      </c>
      <c r="I72" s="11">
        <f>IFERROR(SQRT(G72^2+H72^2),"")</f>
        <v/>
      </c>
      <c r="J72" s="11" t="n"/>
      <c r="K72" s="11" t="n"/>
      <c r="L72" s="11">
        <f>IFERROR(K72-J72,"")</f>
        <v/>
      </c>
      <c r="M72" s="10">
        <f>IF(OR(G72="",H72=""),"",IF(AND(ABS(G72)&lt;=AnchorSingleTol,ABS(H72)&lt;=AnchorSingleTol),"OK","OUT"))</f>
        <v/>
      </c>
      <c r="N72" s="10">
        <f>IF(L72="","",IF(ABS(L72)&lt;=AnchorStickupTol,"OK","OUT"))</f>
        <v/>
      </c>
      <c r="O72" s="10" t="n"/>
    </row>
    <row r="73">
      <c r="A73" s="10" t="n"/>
      <c r="B73" s="10" t="n"/>
      <c r="C73" s="11" t="n"/>
      <c r="D73" s="11" t="n"/>
      <c r="E73" s="11" t="n"/>
      <c r="F73" s="11" t="n"/>
      <c r="G73" s="11">
        <f>IFERROR((E73-C73)*12,"")</f>
        <v/>
      </c>
      <c r="H73" s="11">
        <f>IFERROR((F73-D73)*12,"")</f>
        <v/>
      </c>
      <c r="I73" s="11">
        <f>IFERROR(SQRT(G73^2+H73^2),"")</f>
        <v/>
      </c>
      <c r="J73" s="11" t="n"/>
      <c r="K73" s="11" t="n"/>
      <c r="L73" s="11">
        <f>IFERROR(K73-J73,"")</f>
        <v/>
      </c>
      <c r="M73" s="10">
        <f>IF(OR(G73="",H73=""),"",IF(AND(ABS(G73)&lt;=AnchorSingleTol,ABS(H73)&lt;=AnchorSingleTol),"OK","OUT"))</f>
        <v/>
      </c>
      <c r="N73" s="10">
        <f>IF(L73="","",IF(ABS(L73)&lt;=AnchorStickupTol,"OK","OUT"))</f>
        <v/>
      </c>
      <c r="O73" s="10" t="n"/>
    </row>
    <row r="74">
      <c r="A74" s="10" t="n"/>
      <c r="B74" s="10" t="n"/>
      <c r="C74" s="11" t="n"/>
      <c r="D74" s="11" t="n"/>
      <c r="E74" s="11" t="n"/>
      <c r="F74" s="11" t="n"/>
      <c r="G74" s="11">
        <f>IFERROR((E74-C74)*12,"")</f>
        <v/>
      </c>
      <c r="H74" s="11">
        <f>IFERROR((F74-D74)*12,"")</f>
        <v/>
      </c>
      <c r="I74" s="11">
        <f>IFERROR(SQRT(G74^2+H74^2),"")</f>
        <v/>
      </c>
      <c r="J74" s="11" t="n"/>
      <c r="K74" s="11" t="n"/>
      <c r="L74" s="11">
        <f>IFERROR(K74-J74,"")</f>
        <v/>
      </c>
      <c r="M74" s="10">
        <f>IF(OR(G74="",H74=""),"",IF(AND(ABS(G74)&lt;=AnchorSingleTol,ABS(H74)&lt;=AnchorSingleTol),"OK","OUT"))</f>
        <v/>
      </c>
      <c r="N74" s="10">
        <f>IF(L74="","",IF(ABS(L74)&lt;=AnchorStickupTol,"OK","OUT"))</f>
        <v/>
      </c>
      <c r="O74" s="10" t="n"/>
    </row>
    <row r="75">
      <c r="A75" s="10" t="n"/>
      <c r="B75" s="10" t="n"/>
      <c r="C75" s="11" t="n"/>
      <c r="D75" s="11" t="n"/>
      <c r="E75" s="11" t="n"/>
      <c r="F75" s="11" t="n"/>
      <c r="G75" s="11">
        <f>IFERROR((E75-C75)*12,"")</f>
        <v/>
      </c>
      <c r="H75" s="11">
        <f>IFERROR((F75-D75)*12,"")</f>
        <v/>
      </c>
      <c r="I75" s="11">
        <f>IFERROR(SQRT(G75^2+H75^2),"")</f>
        <v/>
      </c>
      <c r="J75" s="11" t="n"/>
      <c r="K75" s="11" t="n"/>
      <c r="L75" s="11">
        <f>IFERROR(K75-J75,"")</f>
        <v/>
      </c>
      <c r="M75" s="10">
        <f>IF(OR(G75="",H75=""),"",IF(AND(ABS(G75)&lt;=AnchorSingleTol,ABS(H75)&lt;=AnchorSingleTol),"OK","OUT"))</f>
        <v/>
      </c>
      <c r="N75" s="10">
        <f>IF(L75="","",IF(ABS(L75)&lt;=AnchorStickupTol,"OK","OUT"))</f>
        <v/>
      </c>
      <c r="O75" s="10" t="n"/>
    </row>
    <row r="76">
      <c r="A76" s="10" t="n"/>
      <c r="B76" s="10" t="n"/>
      <c r="C76" s="11" t="n"/>
      <c r="D76" s="11" t="n"/>
      <c r="E76" s="11" t="n"/>
      <c r="F76" s="11" t="n"/>
      <c r="G76" s="11">
        <f>IFERROR((E76-C76)*12,"")</f>
        <v/>
      </c>
      <c r="H76" s="11">
        <f>IFERROR((F76-D76)*12,"")</f>
        <v/>
      </c>
      <c r="I76" s="11">
        <f>IFERROR(SQRT(G76^2+H76^2),"")</f>
        <v/>
      </c>
      <c r="J76" s="11" t="n"/>
      <c r="K76" s="11" t="n"/>
      <c r="L76" s="11">
        <f>IFERROR(K76-J76,"")</f>
        <v/>
      </c>
      <c r="M76" s="10">
        <f>IF(OR(G76="",H76=""),"",IF(AND(ABS(G76)&lt;=AnchorSingleTol,ABS(H76)&lt;=AnchorSingleTol),"OK","OUT"))</f>
        <v/>
      </c>
      <c r="N76" s="10">
        <f>IF(L76="","",IF(ABS(L76)&lt;=AnchorStickupTol,"OK","OUT"))</f>
        <v/>
      </c>
      <c r="O76" s="10" t="n"/>
    </row>
    <row r="77">
      <c r="A77" s="10" t="n"/>
      <c r="B77" s="10" t="n"/>
      <c r="C77" s="11" t="n"/>
      <c r="D77" s="11" t="n"/>
      <c r="E77" s="11" t="n"/>
      <c r="F77" s="11" t="n"/>
      <c r="G77" s="11">
        <f>IFERROR((E77-C77)*12,"")</f>
        <v/>
      </c>
      <c r="H77" s="11">
        <f>IFERROR((F77-D77)*12,"")</f>
        <v/>
      </c>
      <c r="I77" s="11">
        <f>IFERROR(SQRT(G77^2+H77^2),"")</f>
        <v/>
      </c>
      <c r="J77" s="11" t="n"/>
      <c r="K77" s="11" t="n"/>
      <c r="L77" s="11">
        <f>IFERROR(K77-J77,"")</f>
        <v/>
      </c>
      <c r="M77" s="10">
        <f>IF(OR(G77="",H77=""),"",IF(AND(ABS(G77)&lt;=AnchorSingleTol,ABS(H77)&lt;=AnchorSingleTol),"OK","OUT"))</f>
        <v/>
      </c>
      <c r="N77" s="10">
        <f>IF(L77="","",IF(ABS(L77)&lt;=AnchorStickupTol,"OK","OUT"))</f>
        <v/>
      </c>
      <c r="O77" s="10" t="n"/>
    </row>
    <row r="78">
      <c r="A78" s="10" t="n"/>
      <c r="B78" s="10" t="n"/>
      <c r="C78" s="11" t="n"/>
      <c r="D78" s="11" t="n"/>
      <c r="E78" s="11" t="n"/>
      <c r="F78" s="11" t="n"/>
      <c r="G78" s="11">
        <f>IFERROR((E78-C78)*12,"")</f>
        <v/>
      </c>
      <c r="H78" s="11">
        <f>IFERROR((F78-D78)*12,"")</f>
        <v/>
      </c>
      <c r="I78" s="11">
        <f>IFERROR(SQRT(G78^2+H78^2),"")</f>
        <v/>
      </c>
      <c r="J78" s="11" t="n"/>
      <c r="K78" s="11" t="n"/>
      <c r="L78" s="11">
        <f>IFERROR(K78-J78,"")</f>
        <v/>
      </c>
      <c r="M78" s="10">
        <f>IF(OR(G78="",H78=""),"",IF(AND(ABS(G78)&lt;=AnchorSingleTol,ABS(H78)&lt;=AnchorSingleTol),"OK","OUT"))</f>
        <v/>
      </c>
      <c r="N78" s="10">
        <f>IF(L78="","",IF(ABS(L78)&lt;=AnchorStickupTol,"OK","OUT"))</f>
        <v/>
      </c>
      <c r="O78" s="10" t="n"/>
    </row>
    <row r="79">
      <c r="A79" s="10" t="n"/>
      <c r="B79" s="10" t="n"/>
      <c r="C79" s="11" t="n"/>
      <c r="D79" s="11" t="n"/>
      <c r="E79" s="11" t="n"/>
      <c r="F79" s="11" t="n"/>
      <c r="G79" s="11">
        <f>IFERROR((E79-C79)*12,"")</f>
        <v/>
      </c>
      <c r="H79" s="11">
        <f>IFERROR((F79-D79)*12,"")</f>
        <v/>
      </c>
      <c r="I79" s="11">
        <f>IFERROR(SQRT(G79^2+H79^2),"")</f>
        <v/>
      </c>
      <c r="J79" s="11" t="n"/>
      <c r="K79" s="11" t="n"/>
      <c r="L79" s="11">
        <f>IFERROR(K79-J79,"")</f>
        <v/>
      </c>
      <c r="M79" s="10">
        <f>IF(OR(G79="",H79=""),"",IF(AND(ABS(G79)&lt;=AnchorSingleTol,ABS(H79)&lt;=AnchorSingleTol),"OK","OUT"))</f>
        <v/>
      </c>
      <c r="N79" s="10">
        <f>IF(L79="","",IF(ABS(L79)&lt;=AnchorStickupTol,"OK","OUT"))</f>
        <v/>
      </c>
      <c r="O79" s="10" t="n"/>
    </row>
    <row r="80">
      <c r="A80" s="10" t="n"/>
      <c r="B80" s="10" t="n"/>
      <c r="C80" s="11" t="n"/>
      <c r="D80" s="11" t="n"/>
      <c r="E80" s="11" t="n"/>
      <c r="F80" s="11" t="n"/>
      <c r="G80" s="11">
        <f>IFERROR((E80-C80)*12,"")</f>
        <v/>
      </c>
      <c r="H80" s="11">
        <f>IFERROR((F80-D80)*12,"")</f>
        <v/>
      </c>
      <c r="I80" s="11">
        <f>IFERROR(SQRT(G80^2+H80^2),"")</f>
        <v/>
      </c>
      <c r="J80" s="11" t="n"/>
      <c r="K80" s="11" t="n"/>
      <c r="L80" s="11">
        <f>IFERROR(K80-J80,"")</f>
        <v/>
      </c>
      <c r="M80" s="10">
        <f>IF(OR(G80="",H80=""),"",IF(AND(ABS(G80)&lt;=AnchorSingleTol,ABS(H80)&lt;=AnchorSingleTol),"OK","OUT"))</f>
        <v/>
      </c>
      <c r="N80" s="10">
        <f>IF(L80="","",IF(ABS(L80)&lt;=AnchorStickupTol,"OK","OUT"))</f>
        <v/>
      </c>
      <c r="O80" s="10" t="n"/>
    </row>
    <row r="81">
      <c r="A81" s="10" t="n"/>
      <c r="B81" s="10" t="n"/>
      <c r="C81" s="11" t="n"/>
      <c r="D81" s="11" t="n"/>
      <c r="E81" s="11" t="n"/>
      <c r="F81" s="11" t="n"/>
      <c r="G81" s="11">
        <f>IFERROR((E81-C81)*12,"")</f>
        <v/>
      </c>
      <c r="H81" s="11">
        <f>IFERROR((F81-D81)*12,"")</f>
        <v/>
      </c>
      <c r="I81" s="11">
        <f>IFERROR(SQRT(G81^2+H81^2),"")</f>
        <v/>
      </c>
      <c r="J81" s="11" t="n"/>
      <c r="K81" s="11" t="n"/>
      <c r="L81" s="11">
        <f>IFERROR(K81-J81,"")</f>
        <v/>
      </c>
      <c r="M81" s="10">
        <f>IF(OR(G81="",H81=""),"",IF(AND(ABS(G81)&lt;=AnchorSingleTol,ABS(H81)&lt;=AnchorSingleTol),"OK","OUT"))</f>
        <v/>
      </c>
      <c r="N81" s="10">
        <f>IF(L81="","",IF(ABS(L81)&lt;=AnchorStickupTol,"OK","OUT"))</f>
        <v/>
      </c>
      <c r="O81" s="10" t="n"/>
    </row>
    <row r="82">
      <c r="A82" s="10" t="n"/>
      <c r="B82" s="10" t="n"/>
      <c r="C82" s="11" t="n"/>
      <c r="D82" s="11" t="n"/>
      <c r="E82" s="11" t="n"/>
      <c r="F82" s="11" t="n"/>
      <c r="G82" s="11">
        <f>IFERROR((E82-C82)*12,"")</f>
        <v/>
      </c>
      <c r="H82" s="11">
        <f>IFERROR((F82-D82)*12,"")</f>
        <v/>
      </c>
      <c r="I82" s="11">
        <f>IFERROR(SQRT(G82^2+H82^2),"")</f>
        <v/>
      </c>
      <c r="J82" s="11" t="n"/>
      <c r="K82" s="11" t="n"/>
      <c r="L82" s="11">
        <f>IFERROR(K82-J82,"")</f>
        <v/>
      </c>
      <c r="M82" s="10">
        <f>IF(OR(G82="",H82=""),"",IF(AND(ABS(G82)&lt;=AnchorSingleTol,ABS(H82)&lt;=AnchorSingleTol),"OK","OUT"))</f>
        <v/>
      </c>
      <c r="N82" s="10">
        <f>IF(L82="","",IF(ABS(L82)&lt;=AnchorStickupTol,"OK","OUT"))</f>
        <v/>
      </c>
      <c r="O82" s="10" t="n"/>
    </row>
    <row r="83">
      <c r="A83" s="10" t="n"/>
      <c r="B83" s="10" t="n"/>
      <c r="C83" s="11" t="n"/>
      <c r="D83" s="11" t="n"/>
      <c r="E83" s="11" t="n"/>
      <c r="F83" s="11" t="n"/>
      <c r="G83" s="11">
        <f>IFERROR((E83-C83)*12,"")</f>
        <v/>
      </c>
      <c r="H83" s="11">
        <f>IFERROR((F83-D83)*12,"")</f>
        <v/>
      </c>
      <c r="I83" s="11">
        <f>IFERROR(SQRT(G83^2+H83^2),"")</f>
        <v/>
      </c>
      <c r="J83" s="11" t="n"/>
      <c r="K83" s="11" t="n"/>
      <c r="L83" s="11">
        <f>IFERROR(K83-J83,"")</f>
        <v/>
      </c>
      <c r="M83" s="10">
        <f>IF(OR(G83="",H83=""),"",IF(AND(ABS(G83)&lt;=AnchorSingleTol,ABS(H83)&lt;=AnchorSingleTol),"OK","OUT"))</f>
        <v/>
      </c>
      <c r="N83" s="10">
        <f>IF(L83="","",IF(ABS(L83)&lt;=AnchorStickupTol,"OK","OUT"))</f>
        <v/>
      </c>
      <c r="O83" s="10" t="n"/>
    </row>
    <row r="84">
      <c r="A84" s="10" t="n"/>
      <c r="B84" s="10" t="n"/>
      <c r="C84" s="11" t="n"/>
      <c r="D84" s="11" t="n"/>
      <c r="E84" s="11" t="n"/>
      <c r="F84" s="11" t="n"/>
      <c r="G84" s="11">
        <f>IFERROR((E84-C84)*12,"")</f>
        <v/>
      </c>
      <c r="H84" s="11">
        <f>IFERROR((F84-D84)*12,"")</f>
        <v/>
      </c>
      <c r="I84" s="11">
        <f>IFERROR(SQRT(G84^2+H84^2),"")</f>
        <v/>
      </c>
      <c r="J84" s="11" t="n"/>
      <c r="K84" s="11" t="n"/>
      <c r="L84" s="11">
        <f>IFERROR(K84-J84,"")</f>
        <v/>
      </c>
      <c r="M84" s="10">
        <f>IF(OR(G84="",H84=""),"",IF(AND(ABS(G84)&lt;=AnchorSingleTol,ABS(H84)&lt;=AnchorSingleTol),"OK","OUT"))</f>
        <v/>
      </c>
      <c r="N84" s="10">
        <f>IF(L84="","",IF(ABS(L84)&lt;=AnchorStickupTol,"OK","OUT"))</f>
        <v/>
      </c>
      <c r="O84" s="10" t="n"/>
    </row>
    <row r="85">
      <c r="A85" s="10" t="n"/>
      <c r="B85" s="10" t="n"/>
      <c r="C85" s="11" t="n"/>
      <c r="D85" s="11" t="n"/>
      <c r="E85" s="11" t="n"/>
      <c r="F85" s="11" t="n"/>
      <c r="G85" s="11">
        <f>IFERROR((E85-C85)*12,"")</f>
        <v/>
      </c>
      <c r="H85" s="11">
        <f>IFERROR((F85-D85)*12,"")</f>
        <v/>
      </c>
      <c r="I85" s="11">
        <f>IFERROR(SQRT(G85^2+H85^2),"")</f>
        <v/>
      </c>
      <c r="J85" s="11" t="n"/>
      <c r="K85" s="11" t="n"/>
      <c r="L85" s="11">
        <f>IFERROR(K85-J85,"")</f>
        <v/>
      </c>
      <c r="M85" s="10">
        <f>IF(OR(G85="",H85=""),"",IF(AND(ABS(G85)&lt;=AnchorSingleTol,ABS(H85)&lt;=AnchorSingleTol),"OK","OUT"))</f>
        <v/>
      </c>
      <c r="N85" s="10">
        <f>IF(L85="","",IF(ABS(L85)&lt;=AnchorStickupTol,"OK","OUT"))</f>
        <v/>
      </c>
      <c r="O85" s="10" t="n"/>
    </row>
    <row r="86">
      <c r="A86" s="10" t="n"/>
      <c r="B86" s="10" t="n"/>
      <c r="C86" s="11" t="n"/>
      <c r="D86" s="11" t="n"/>
      <c r="E86" s="11" t="n"/>
      <c r="F86" s="11" t="n"/>
      <c r="G86" s="11">
        <f>IFERROR((E86-C86)*12,"")</f>
        <v/>
      </c>
      <c r="H86" s="11">
        <f>IFERROR((F86-D86)*12,"")</f>
        <v/>
      </c>
      <c r="I86" s="11">
        <f>IFERROR(SQRT(G86^2+H86^2),"")</f>
        <v/>
      </c>
      <c r="J86" s="11" t="n"/>
      <c r="K86" s="11" t="n"/>
      <c r="L86" s="11">
        <f>IFERROR(K86-J86,"")</f>
        <v/>
      </c>
      <c r="M86" s="10">
        <f>IF(OR(G86="",H86=""),"",IF(AND(ABS(G86)&lt;=AnchorSingleTol,ABS(H86)&lt;=AnchorSingleTol),"OK","OUT"))</f>
        <v/>
      </c>
      <c r="N86" s="10">
        <f>IF(L86="","",IF(ABS(L86)&lt;=AnchorStickupTol,"OK","OUT"))</f>
        <v/>
      </c>
      <c r="O86" s="10" t="n"/>
    </row>
    <row r="87">
      <c r="A87" s="10" t="n"/>
      <c r="B87" s="10" t="n"/>
      <c r="C87" s="11" t="n"/>
      <c r="D87" s="11" t="n"/>
      <c r="E87" s="11" t="n"/>
      <c r="F87" s="11" t="n"/>
      <c r="G87" s="11">
        <f>IFERROR((E87-C87)*12,"")</f>
        <v/>
      </c>
      <c r="H87" s="11">
        <f>IFERROR((F87-D87)*12,"")</f>
        <v/>
      </c>
      <c r="I87" s="11">
        <f>IFERROR(SQRT(G87^2+H87^2),"")</f>
        <v/>
      </c>
      <c r="J87" s="11" t="n"/>
      <c r="K87" s="11" t="n"/>
      <c r="L87" s="11">
        <f>IFERROR(K87-J87,"")</f>
        <v/>
      </c>
      <c r="M87" s="10">
        <f>IF(OR(G87="",H87=""),"",IF(AND(ABS(G87)&lt;=AnchorSingleTol,ABS(H87)&lt;=AnchorSingleTol),"OK","OUT"))</f>
        <v/>
      </c>
      <c r="N87" s="10">
        <f>IF(L87="","",IF(ABS(L87)&lt;=AnchorStickupTol,"OK","OUT"))</f>
        <v/>
      </c>
      <c r="O87" s="10" t="n"/>
    </row>
    <row r="88">
      <c r="A88" s="10" t="n"/>
      <c r="B88" s="10" t="n"/>
      <c r="C88" s="11" t="n"/>
      <c r="D88" s="11" t="n"/>
      <c r="E88" s="11" t="n"/>
      <c r="F88" s="11" t="n"/>
      <c r="G88" s="11">
        <f>IFERROR((E88-C88)*12,"")</f>
        <v/>
      </c>
      <c r="H88" s="11">
        <f>IFERROR((F88-D88)*12,"")</f>
        <v/>
      </c>
      <c r="I88" s="11">
        <f>IFERROR(SQRT(G88^2+H88^2),"")</f>
        <v/>
      </c>
      <c r="J88" s="11" t="n"/>
      <c r="K88" s="11" t="n"/>
      <c r="L88" s="11">
        <f>IFERROR(K88-J88,"")</f>
        <v/>
      </c>
      <c r="M88" s="10">
        <f>IF(OR(G88="",H88=""),"",IF(AND(ABS(G88)&lt;=AnchorSingleTol,ABS(H88)&lt;=AnchorSingleTol),"OK","OUT"))</f>
        <v/>
      </c>
      <c r="N88" s="10">
        <f>IF(L88="","",IF(ABS(L88)&lt;=AnchorStickupTol,"OK","OUT"))</f>
        <v/>
      </c>
      <c r="O88" s="10" t="n"/>
    </row>
    <row r="89">
      <c r="A89" s="10" t="n"/>
      <c r="B89" s="10" t="n"/>
      <c r="C89" s="11" t="n"/>
      <c r="D89" s="11" t="n"/>
      <c r="E89" s="11" t="n"/>
      <c r="F89" s="11" t="n"/>
      <c r="G89" s="11">
        <f>IFERROR((E89-C89)*12,"")</f>
        <v/>
      </c>
      <c r="H89" s="11">
        <f>IFERROR((F89-D89)*12,"")</f>
        <v/>
      </c>
      <c r="I89" s="11">
        <f>IFERROR(SQRT(G89^2+H89^2),"")</f>
        <v/>
      </c>
      <c r="J89" s="11" t="n"/>
      <c r="K89" s="11" t="n"/>
      <c r="L89" s="11">
        <f>IFERROR(K89-J89,"")</f>
        <v/>
      </c>
      <c r="M89" s="10">
        <f>IF(OR(G89="",H89=""),"",IF(AND(ABS(G89)&lt;=AnchorSingleTol,ABS(H89)&lt;=AnchorSingleTol),"OK","OUT"))</f>
        <v/>
      </c>
      <c r="N89" s="10">
        <f>IF(L89="","",IF(ABS(L89)&lt;=AnchorStickupTol,"OK","OUT"))</f>
        <v/>
      </c>
      <c r="O89" s="10" t="n"/>
    </row>
    <row r="90">
      <c r="A90" s="10" t="n"/>
      <c r="B90" s="10" t="n"/>
      <c r="C90" s="11" t="n"/>
      <c r="D90" s="11" t="n"/>
      <c r="E90" s="11" t="n"/>
      <c r="F90" s="11" t="n"/>
      <c r="G90" s="11">
        <f>IFERROR((E90-C90)*12,"")</f>
        <v/>
      </c>
      <c r="H90" s="11">
        <f>IFERROR((F90-D90)*12,"")</f>
        <v/>
      </c>
      <c r="I90" s="11">
        <f>IFERROR(SQRT(G90^2+H90^2),"")</f>
        <v/>
      </c>
      <c r="J90" s="11" t="n"/>
      <c r="K90" s="11" t="n"/>
      <c r="L90" s="11">
        <f>IFERROR(K90-J90,"")</f>
        <v/>
      </c>
      <c r="M90" s="10">
        <f>IF(OR(G90="",H90=""),"",IF(AND(ABS(G90)&lt;=AnchorSingleTol,ABS(H90)&lt;=AnchorSingleTol),"OK","OUT"))</f>
        <v/>
      </c>
      <c r="N90" s="10">
        <f>IF(L90="","",IF(ABS(L90)&lt;=AnchorStickupTol,"OK","OUT"))</f>
        <v/>
      </c>
      <c r="O90" s="10" t="n"/>
    </row>
    <row r="91">
      <c r="A91" s="10" t="n"/>
      <c r="B91" s="10" t="n"/>
      <c r="C91" s="11" t="n"/>
      <c r="D91" s="11" t="n"/>
      <c r="E91" s="11" t="n"/>
      <c r="F91" s="11" t="n"/>
      <c r="G91" s="11">
        <f>IFERROR((E91-C91)*12,"")</f>
        <v/>
      </c>
      <c r="H91" s="11">
        <f>IFERROR((F91-D91)*12,"")</f>
        <v/>
      </c>
      <c r="I91" s="11">
        <f>IFERROR(SQRT(G91^2+H91^2),"")</f>
        <v/>
      </c>
      <c r="J91" s="11" t="n"/>
      <c r="K91" s="11" t="n"/>
      <c r="L91" s="11">
        <f>IFERROR(K91-J91,"")</f>
        <v/>
      </c>
      <c r="M91" s="10">
        <f>IF(OR(G91="",H91=""),"",IF(AND(ABS(G91)&lt;=AnchorSingleTol,ABS(H91)&lt;=AnchorSingleTol),"OK","OUT"))</f>
        <v/>
      </c>
      <c r="N91" s="10">
        <f>IF(L91="","",IF(ABS(L91)&lt;=AnchorStickupTol,"OK","OUT"))</f>
        <v/>
      </c>
      <c r="O91" s="10" t="n"/>
    </row>
    <row r="92">
      <c r="A92" s="10" t="n"/>
      <c r="B92" s="10" t="n"/>
      <c r="C92" s="11" t="n"/>
      <c r="D92" s="11" t="n"/>
      <c r="E92" s="11" t="n"/>
      <c r="F92" s="11" t="n"/>
      <c r="G92" s="11">
        <f>IFERROR((E92-C92)*12,"")</f>
        <v/>
      </c>
      <c r="H92" s="11">
        <f>IFERROR((F92-D92)*12,"")</f>
        <v/>
      </c>
      <c r="I92" s="11">
        <f>IFERROR(SQRT(G92^2+H92^2),"")</f>
        <v/>
      </c>
      <c r="J92" s="11" t="n"/>
      <c r="K92" s="11" t="n"/>
      <c r="L92" s="11">
        <f>IFERROR(K92-J92,"")</f>
        <v/>
      </c>
      <c r="M92" s="10">
        <f>IF(OR(G92="",H92=""),"",IF(AND(ABS(G92)&lt;=AnchorSingleTol,ABS(H92)&lt;=AnchorSingleTol),"OK","OUT"))</f>
        <v/>
      </c>
      <c r="N92" s="10">
        <f>IF(L92="","",IF(ABS(L92)&lt;=AnchorStickupTol,"OK","OUT"))</f>
        <v/>
      </c>
      <c r="O92" s="10" t="n"/>
    </row>
    <row r="93">
      <c r="A93" s="10" t="n"/>
      <c r="B93" s="10" t="n"/>
      <c r="C93" s="11" t="n"/>
      <c r="D93" s="11" t="n"/>
      <c r="E93" s="11" t="n"/>
      <c r="F93" s="11" t="n"/>
      <c r="G93" s="11">
        <f>IFERROR((E93-C93)*12,"")</f>
        <v/>
      </c>
      <c r="H93" s="11">
        <f>IFERROR((F93-D93)*12,"")</f>
        <v/>
      </c>
      <c r="I93" s="11">
        <f>IFERROR(SQRT(G93^2+H93^2),"")</f>
        <v/>
      </c>
      <c r="J93" s="11" t="n"/>
      <c r="K93" s="11" t="n"/>
      <c r="L93" s="11">
        <f>IFERROR(K93-J93,"")</f>
        <v/>
      </c>
      <c r="M93" s="10">
        <f>IF(OR(G93="",H93=""),"",IF(AND(ABS(G93)&lt;=AnchorSingleTol,ABS(H93)&lt;=AnchorSingleTol),"OK","OUT"))</f>
        <v/>
      </c>
      <c r="N93" s="10">
        <f>IF(L93="","",IF(ABS(L93)&lt;=AnchorStickupTol,"OK","OUT"))</f>
        <v/>
      </c>
      <c r="O93" s="10" t="n"/>
    </row>
    <row r="94">
      <c r="A94" s="10" t="n"/>
      <c r="B94" s="10" t="n"/>
      <c r="C94" s="11" t="n"/>
      <c r="D94" s="11" t="n"/>
      <c r="E94" s="11" t="n"/>
      <c r="F94" s="11" t="n"/>
      <c r="G94" s="11">
        <f>IFERROR((E94-C94)*12,"")</f>
        <v/>
      </c>
      <c r="H94" s="11">
        <f>IFERROR((F94-D94)*12,"")</f>
        <v/>
      </c>
      <c r="I94" s="11">
        <f>IFERROR(SQRT(G94^2+H94^2),"")</f>
        <v/>
      </c>
      <c r="J94" s="11" t="n"/>
      <c r="K94" s="11" t="n"/>
      <c r="L94" s="11">
        <f>IFERROR(K94-J94,"")</f>
        <v/>
      </c>
      <c r="M94" s="10">
        <f>IF(OR(G94="",H94=""),"",IF(AND(ABS(G94)&lt;=AnchorSingleTol,ABS(H94)&lt;=AnchorSingleTol),"OK","OUT"))</f>
        <v/>
      </c>
      <c r="N94" s="10">
        <f>IF(L94="","",IF(ABS(L94)&lt;=AnchorStickupTol,"OK","OUT"))</f>
        <v/>
      </c>
      <c r="O94" s="10" t="n"/>
    </row>
    <row r="95">
      <c r="A95" s="10" t="n"/>
      <c r="B95" s="10" t="n"/>
      <c r="C95" s="11" t="n"/>
      <c r="D95" s="11" t="n"/>
      <c r="E95" s="11" t="n"/>
      <c r="F95" s="11" t="n"/>
      <c r="G95" s="11">
        <f>IFERROR((E95-C95)*12,"")</f>
        <v/>
      </c>
      <c r="H95" s="11">
        <f>IFERROR((F95-D95)*12,"")</f>
        <v/>
      </c>
      <c r="I95" s="11">
        <f>IFERROR(SQRT(G95^2+H95^2),"")</f>
        <v/>
      </c>
      <c r="J95" s="11" t="n"/>
      <c r="K95" s="11" t="n"/>
      <c r="L95" s="11">
        <f>IFERROR(K95-J95,"")</f>
        <v/>
      </c>
      <c r="M95" s="10">
        <f>IF(OR(G95="",H95=""),"",IF(AND(ABS(G95)&lt;=AnchorSingleTol,ABS(H95)&lt;=AnchorSingleTol),"OK","OUT"))</f>
        <v/>
      </c>
      <c r="N95" s="10">
        <f>IF(L95="","",IF(ABS(L95)&lt;=AnchorStickupTol,"OK","OUT"))</f>
        <v/>
      </c>
      <c r="O95" s="10" t="n"/>
    </row>
    <row r="96">
      <c r="A96" s="10" t="n"/>
      <c r="B96" s="10" t="n"/>
      <c r="C96" s="11" t="n"/>
      <c r="D96" s="11" t="n"/>
      <c r="E96" s="11" t="n"/>
      <c r="F96" s="11" t="n"/>
      <c r="G96" s="11">
        <f>IFERROR((E96-C96)*12,"")</f>
        <v/>
      </c>
      <c r="H96" s="11">
        <f>IFERROR((F96-D96)*12,"")</f>
        <v/>
      </c>
      <c r="I96" s="11">
        <f>IFERROR(SQRT(G96^2+H96^2),"")</f>
        <v/>
      </c>
      <c r="J96" s="11" t="n"/>
      <c r="K96" s="11" t="n"/>
      <c r="L96" s="11">
        <f>IFERROR(K96-J96,"")</f>
        <v/>
      </c>
      <c r="M96" s="10">
        <f>IF(OR(G96="",H96=""),"",IF(AND(ABS(G96)&lt;=AnchorSingleTol,ABS(H96)&lt;=AnchorSingleTol),"OK","OUT"))</f>
        <v/>
      </c>
      <c r="N96" s="10">
        <f>IF(L96="","",IF(ABS(L96)&lt;=AnchorStickupTol,"OK","OUT"))</f>
        <v/>
      </c>
      <c r="O96" s="10" t="n"/>
    </row>
    <row r="97">
      <c r="A97" s="10" t="n"/>
      <c r="B97" s="10" t="n"/>
      <c r="C97" s="11" t="n"/>
      <c r="D97" s="11" t="n"/>
      <c r="E97" s="11" t="n"/>
      <c r="F97" s="11" t="n"/>
      <c r="G97" s="11">
        <f>IFERROR((E97-C97)*12,"")</f>
        <v/>
      </c>
      <c r="H97" s="11">
        <f>IFERROR((F97-D97)*12,"")</f>
        <v/>
      </c>
      <c r="I97" s="11">
        <f>IFERROR(SQRT(G97^2+H97^2),"")</f>
        <v/>
      </c>
      <c r="J97" s="11" t="n"/>
      <c r="K97" s="11" t="n"/>
      <c r="L97" s="11">
        <f>IFERROR(K97-J97,"")</f>
        <v/>
      </c>
      <c r="M97" s="10">
        <f>IF(OR(G97="",H97=""),"",IF(AND(ABS(G97)&lt;=AnchorSingleTol,ABS(H97)&lt;=AnchorSingleTol),"OK","OUT"))</f>
        <v/>
      </c>
      <c r="N97" s="10">
        <f>IF(L97="","",IF(ABS(L97)&lt;=AnchorStickupTol,"OK","OUT"))</f>
        <v/>
      </c>
      <c r="O97" s="10" t="n"/>
    </row>
    <row r="98">
      <c r="A98" s="10" t="n"/>
      <c r="B98" s="10" t="n"/>
      <c r="C98" s="11" t="n"/>
      <c r="D98" s="11" t="n"/>
      <c r="E98" s="11" t="n"/>
      <c r="F98" s="11" t="n"/>
      <c r="G98" s="11">
        <f>IFERROR((E98-C98)*12,"")</f>
        <v/>
      </c>
      <c r="H98" s="11">
        <f>IFERROR((F98-D98)*12,"")</f>
        <v/>
      </c>
      <c r="I98" s="11">
        <f>IFERROR(SQRT(G98^2+H98^2),"")</f>
        <v/>
      </c>
      <c r="J98" s="11" t="n"/>
      <c r="K98" s="11" t="n"/>
      <c r="L98" s="11">
        <f>IFERROR(K98-J98,"")</f>
        <v/>
      </c>
      <c r="M98" s="10">
        <f>IF(OR(G98="",H98=""),"",IF(AND(ABS(G98)&lt;=AnchorSingleTol,ABS(H98)&lt;=AnchorSingleTol),"OK","OUT"))</f>
        <v/>
      </c>
      <c r="N98" s="10">
        <f>IF(L98="","",IF(ABS(L98)&lt;=AnchorStickupTol,"OK","OUT"))</f>
        <v/>
      </c>
      <c r="O98" s="10" t="n"/>
    </row>
    <row r="99">
      <c r="A99" s="10" t="n"/>
      <c r="B99" s="10" t="n"/>
      <c r="C99" s="11" t="n"/>
      <c r="D99" s="11" t="n"/>
      <c r="E99" s="11" t="n"/>
      <c r="F99" s="11" t="n"/>
      <c r="G99" s="11">
        <f>IFERROR((E99-C99)*12,"")</f>
        <v/>
      </c>
      <c r="H99" s="11">
        <f>IFERROR((F99-D99)*12,"")</f>
        <v/>
      </c>
      <c r="I99" s="11">
        <f>IFERROR(SQRT(G99^2+H99^2),"")</f>
        <v/>
      </c>
      <c r="J99" s="11" t="n"/>
      <c r="K99" s="11" t="n"/>
      <c r="L99" s="11">
        <f>IFERROR(K99-J99,"")</f>
        <v/>
      </c>
      <c r="M99" s="10">
        <f>IF(OR(G99="",H99=""),"",IF(AND(ABS(G99)&lt;=AnchorSingleTol,ABS(H99)&lt;=AnchorSingleTol),"OK","OUT"))</f>
        <v/>
      </c>
      <c r="N99" s="10">
        <f>IF(L99="","",IF(ABS(L99)&lt;=AnchorStickupTol,"OK","OUT"))</f>
        <v/>
      </c>
      <c r="O99" s="10" t="n"/>
    </row>
    <row r="100">
      <c r="A100" s="10" t="n"/>
      <c r="B100" s="10" t="n"/>
      <c r="C100" s="11" t="n"/>
      <c r="D100" s="11" t="n"/>
      <c r="E100" s="11" t="n"/>
      <c r="F100" s="11" t="n"/>
      <c r="G100" s="11">
        <f>IFERROR((E100-C100)*12,"")</f>
        <v/>
      </c>
      <c r="H100" s="11">
        <f>IFERROR((F100-D100)*12,"")</f>
        <v/>
      </c>
      <c r="I100" s="11">
        <f>IFERROR(SQRT(G100^2+H100^2),"")</f>
        <v/>
      </c>
      <c r="J100" s="11" t="n"/>
      <c r="K100" s="11" t="n"/>
      <c r="L100" s="11">
        <f>IFERROR(K100-J100,"")</f>
        <v/>
      </c>
      <c r="M100" s="10">
        <f>IF(OR(G100="",H100=""),"",IF(AND(ABS(G100)&lt;=AnchorSingleTol,ABS(H100)&lt;=AnchorSingleTol),"OK","OUT"))</f>
        <v/>
      </c>
      <c r="N100" s="10">
        <f>IF(L100="","",IF(ABS(L100)&lt;=AnchorStickupTol,"OK","OUT"))</f>
        <v/>
      </c>
      <c r="O100" s="10" t="n"/>
    </row>
    <row r="101">
      <c r="A101" s="10" t="n"/>
      <c r="B101" s="10" t="n"/>
      <c r="C101" s="11" t="n"/>
      <c r="D101" s="11" t="n"/>
      <c r="E101" s="11" t="n"/>
      <c r="F101" s="11" t="n"/>
      <c r="G101" s="11">
        <f>IFERROR((E101-C101)*12,"")</f>
        <v/>
      </c>
      <c r="H101" s="11">
        <f>IFERROR((F101-D101)*12,"")</f>
        <v/>
      </c>
      <c r="I101" s="11">
        <f>IFERROR(SQRT(G101^2+H101^2),"")</f>
        <v/>
      </c>
      <c r="J101" s="11" t="n"/>
      <c r="K101" s="11" t="n"/>
      <c r="L101" s="11">
        <f>IFERROR(K101-J101,"")</f>
        <v/>
      </c>
      <c r="M101" s="10">
        <f>IF(OR(G101="",H101=""),"",IF(AND(ABS(G101)&lt;=AnchorSingleTol,ABS(H101)&lt;=AnchorSingleTol),"OK","OUT"))</f>
        <v/>
      </c>
      <c r="N101" s="10">
        <f>IF(L101="","",IF(ABS(L101)&lt;=AnchorStickupTol,"OK","OUT"))</f>
        <v/>
      </c>
      <c r="O101" s="10" t="n"/>
    </row>
    <row r="102">
      <c r="A102" s="10" t="n"/>
      <c r="B102" s="10" t="n"/>
      <c r="C102" s="11" t="n"/>
      <c r="D102" s="11" t="n"/>
      <c r="E102" s="11" t="n"/>
      <c r="F102" s="11" t="n"/>
      <c r="G102" s="11">
        <f>IFERROR((E102-C102)*12,"")</f>
        <v/>
      </c>
      <c r="H102" s="11">
        <f>IFERROR((F102-D102)*12,"")</f>
        <v/>
      </c>
      <c r="I102" s="11">
        <f>IFERROR(SQRT(G102^2+H102^2),"")</f>
        <v/>
      </c>
      <c r="J102" s="11" t="n"/>
      <c r="K102" s="11" t="n"/>
      <c r="L102" s="11">
        <f>IFERROR(K102-J102,"")</f>
        <v/>
      </c>
      <c r="M102" s="10">
        <f>IF(OR(G102="",H102=""),"",IF(AND(ABS(G102)&lt;=AnchorSingleTol,ABS(H102)&lt;=AnchorSingleTol),"OK","OUT"))</f>
        <v/>
      </c>
      <c r="N102" s="10">
        <f>IF(L102="","",IF(ABS(L102)&lt;=AnchorStickupTol,"OK","OUT"))</f>
        <v/>
      </c>
      <c r="O102" s="10" t="n"/>
    </row>
    <row r="103">
      <c r="A103" s="10" t="n"/>
      <c r="B103" s="10" t="n"/>
      <c r="C103" s="11" t="n"/>
      <c r="D103" s="11" t="n"/>
      <c r="E103" s="11" t="n"/>
      <c r="F103" s="11" t="n"/>
      <c r="G103" s="11">
        <f>IFERROR((E103-C103)*12,"")</f>
        <v/>
      </c>
      <c r="H103" s="11">
        <f>IFERROR((F103-D103)*12,"")</f>
        <v/>
      </c>
      <c r="I103" s="11">
        <f>IFERROR(SQRT(G103^2+H103^2),"")</f>
        <v/>
      </c>
      <c r="J103" s="11" t="n"/>
      <c r="K103" s="11" t="n"/>
      <c r="L103" s="11">
        <f>IFERROR(K103-J103,"")</f>
        <v/>
      </c>
      <c r="M103" s="10">
        <f>IF(OR(G103="",H103=""),"",IF(AND(ABS(G103)&lt;=AnchorSingleTol,ABS(H103)&lt;=AnchorSingleTol),"OK","OUT"))</f>
        <v/>
      </c>
      <c r="N103" s="10">
        <f>IF(L103="","",IF(ABS(L103)&lt;=AnchorStickupTol,"OK","OUT"))</f>
        <v/>
      </c>
      <c r="O103" s="10" t="n"/>
    </row>
    <row r="104">
      <c r="A104" s="10" t="n"/>
      <c r="B104" s="10" t="n"/>
      <c r="C104" s="11" t="n"/>
      <c r="D104" s="11" t="n"/>
      <c r="E104" s="11" t="n"/>
      <c r="F104" s="11" t="n"/>
      <c r="G104" s="11">
        <f>IFERROR((E104-C104)*12,"")</f>
        <v/>
      </c>
      <c r="H104" s="11">
        <f>IFERROR((F104-D104)*12,"")</f>
        <v/>
      </c>
      <c r="I104" s="11">
        <f>IFERROR(SQRT(G104^2+H104^2),"")</f>
        <v/>
      </c>
      <c r="J104" s="11" t="n"/>
      <c r="K104" s="11" t="n"/>
      <c r="L104" s="11">
        <f>IFERROR(K104-J104,"")</f>
        <v/>
      </c>
      <c r="M104" s="10">
        <f>IF(OR(G104="",H104=""),"",IF(AND(ABS(G104)&lt;=AnchorSingleTol,ABS(H104)&lt;=AnchorSingleTol),"OK","OUT"))</f>
        <v/>
      </c>
      <c r="N104" s="10">
        <f>IF(L104="","",IF(ABS(L104)&lt;=AnchorStickupTol,"OK","OUT"))</f>
        <v/>
      </c>
      <c r="O104" s="10" t="n"/>
    </row>
  </sheetData>
  <mergeCells count="2">
    <mergeCell ref="A1:O1"/>
    <mergeCell ref="A2:O2"/>
  </mergeCells>
  <conditionalFormatting sqref="M5:M104">
    <cfRule type="expression" priority="1" dxfId="0">
      <formula>M5="OK"</formula>
    </cfRule>
    <cfRule type="expression" priority="2" dxfId="1">
      <formula>M5="OUT"</formula>
    </cfRule>
  </conditionalFormatting>
  <conditionalFormatting sqref="N5:N104">
    <cfRule type="expression" priority="3" dxfId="0">
      <formula>N5="OK"</formula>
    </cfRule>
    <cfRule type="expression" priority="4" dxfId="1">
      <formula>N5="OUT"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13" customWidth="1" min="5" max="5"/>
    <col width="16" customWidth="1" min="6" max="6"/>
    <col width="16" customWidth="1" min="7" max="7"/>
    <col width="14" customWidth="1" min="8" max="8"/>
    <col width="16" customWidth="1" min="9" max="9"/>
    <col width="11" customWidth="1" min="10" max="10"/>
    <col width="16" customWidth="1" min="11" max="11"/>
    <col width="11" customWidth="1" min="12" max="12"/>
    <col width="13" customWidth="1" min="13" max="13"/>
    <col width="22" customWidth="1" min="14" max="14"/>
  </cols>
  <sheetData>
    <row r="1" ht="32" customHeight="1">
      <c r="A1" s="1" t="inlineStr">
        <is>
          <t>COLUMN PLUMB LOG</t>
        </is>
      </c>
    </row>
    <row r="2" ht="30" customHeight="1">
      <c r="A2" s="8" t="inlineStr">
        <is>
          <t>Offsets measured at top of column from theoretical plumb vertical. Column Length is from top of base plate to top of column (or to top of splice on multi-story). Allowable = ColumnLength * 12 / PlumbRatio (default 1:500).</t>
        </is>
      </c>
    </row>
    <row r="4" ht="30" customHeight="1">
      <c r="A4" s="9" t="inlineStr">
        <is>
          <t>Survey Date</t>
        </is>
      </c>
      <c r="B4" s="9" t="inlineStr">
        <is>
          <t>Event Type</t>
        </is>
      </c>
      <c r="C4" s="9" t="inlineStr">
        <is>
          <t>Column ID</t>
        </is>
      </c>
      <c r="D4" s="9" t="inlineStr">
        <is>
          <t>Gridline</t>
        </is>
      </c>
      <c r="E4" s="9" t="inlineStr">
        <is>
          <t>Column Length (ft)</t>
        </is>
      </c>
      <c r="F4" s="9" t="inlineStr">
        <is>
          <t>Offset X at Top (in)</t>
        </is>
      </c>
      <c r="G4" s="9" t="inlineStr">
        <is>
          <t>Offset Y at Top (in)</t>
        </is>
      </c>
      <c r="H4" s="9" t="inlineStr">
        <is>
          <t>Total Radial Dev (in)</t>
        </is>
      </c>
      <c r="I4" s="9" t="inlineStr">
        <is>
          <t>Allowable (1:Ratio of length, in)</t>
        </is>
      </c>
      <c r="J4" s="9" t="inlineStr">
        <is>
          <t>Plumb OK?</t>
        </is>
      </c>
      <c r="K4" s="9" t="inlineStr">
        <is>
          <t>Surveyor</t>
        </is>
      </c>
      <c r="L4" s="9" t="inlineStr">
        <is>
          <t>Adjusted Y/N</t>
        </is>
      </c>
      <c r="M4" s="9" t="inlineStr">
        <is>
          <t>Re-Survey Date</t>
        </is>
      </c>
      <c r="N4" s="9" t="inlineStr">
        <is>
          <t>Notes / RFI</t>
        </is>
      </c>
    </row>
    <row r="5">
      <c r="A5" s="12" t="n"/>
      <c r="B5" s="10" t="n"/>
      <c r="C5" s="10" t="n"/>
      <c r="D5" s="10" t="n"/>
      <c r="E5" s="13" t="n"/>
      <c r="F5" s="11" t="n"/>
      <c r="G5" s="11" t="n"/>
      <c r="H5" s="11">
        <f>IFERROR(SQRT(F5^2+G5^2),"")</f>
        <v/>
      </c>
      <c r="I5" s="11">
        <f>IFERROR((E5*12)/PlumbRatio,"")</f>
        <v/>
      </c>
      <c r="J5" s="10">
        <f>IF(OR(H5="",I5=""),"",IF(H5&lt;=I5,"OK","OUT"))</f>
        <v/>
      </c>
      <c r="K5" s="10" t="n"/>
      <c r="L5" s="10" t="n"/>
      <c r="M5" s="12" t="n"/>
      <c r="N5" s="10" t="n"/>
    </row>
    <row r="6">
      <c r="A6" s="12" t="n"/>
      <c r="B6" s="10" t="n"/>
      <c r="C6" s="10" t="n"/>
      <c r="D6" s="10" t="n"/>
      <c r="E6" s="13" t="n"/>
      <c r="F6" s="11" t="n"/>
      <c r="G6" s="11" t="n"/>
      <c r="H6" s="11">
        <f>IFERROR(SQRT(F6^2+G6^2),"")</f>
        <v/>
      </c>
      <c r="I6" s="11">
        <f>IFERROR((E6*12)/PlumbRatio,"")</f>
        <v/>
      </c>
      <c r="J6" s="10">
        <f>IF(OR(H6="",I6=""),"",IF(H6&lt;=I6,"OK","OUT"))</f>
        <v/>
      </c>
      <c r="K6" s="10" t="n"/>
      <c r="L6" s="10" t="n"/>
      <c r="M6" s="12" t="n"/>
      <c r="N6" s="10" t="n"/>
    </row>
    <row r="7">
      <c r="A7" s="12" t="n"/>
      <c r="B7" s="10" t="n"/>
      <c r="C7" s="10" t="n"/>
      <c r="D7" s="10" t="n"/>
      <c r="E7" s="13" t="n"/>
      <c r="F7" s="11" t="n"/>
      <c r="G7" s="11" t="n"/>
      <c r="H7" s="11">
        <f>IFERROR(SQRT(F7^2+G7^2),"")</f>
        <v/>
      </c>
      <c r="I7" s="11">
        <f>IFERROR((E7*12)/PlumbRatio,"")</f>
        <v/>
      </c>
      <c r="J7" s="10">
        <f>IF(OR(H7="",I7=""),"",IF(H7&lt;=I7,"OK","OUT"))</f>
        <v/>
      </c>
      <c r="K7" s="10" t="n"/>
      <c r="L7" s="10" t="n"/>
      <c r="M7" s="12" t="n"/>
      <c r="N7" s="10" t="n"/>
    </row>
    <row r="8">
      <c r="A8" s="12" t="n"/>
      <c r="B8" s="10" t="n"/>
      <c r="C8" s="10" t="n"/>
      <c r="D8" s="10" t="n"/>
      <c r="E8" s="13" t="n"/>
      <c r="F8" s="11" t="n"/>
      <c r="G8" s="11" t="n"/>
      <c r="H8" s="11">
        <f>IFERROR(SQRT(F8^2+G8^2),"")</f>
        <v/>
      </c>
      <c r="I8" s="11">
        <f>IFERROR((E8*12)/PlumbRatio,"")</f>
        <v/>
      </c>
      <c r="J8" s="10">
        <f>IF(OR(H8="",I8=""),"",IF(H8&lt;=I8,"OK","OUT"))</f>
        <v/>
      </c>
      <c r="K8" s="10" t="n"/>
      <c r="L8" s="10" t="n"/>
      <c r="M8" s="12" t="n"/>
      <c r="N8" s="10" t="n"/>
    </row>
    <row r="9">
      <c r="A9" s="12" t="n"/>
      <c r="B9" s="10" t="n"/>
      <c r="C9" s="10" t="n"/>
      <c r="D9" s="10" t="n"/>
      <c r="E9" s="13" t="n"/>
      <c r="F9" s="11" t="n"/>
      <c r="G9" s="11" t="n"/>
      <c r="H9" s="11">
        <f>IFERROR(SQRT(F9^2+G9^2),"")</f>
        <v/>
      </c>
      <c r="I9" s="11">
        <f>IFERROR((E9*12)/PlumbRatio,"")</f>
        <v/>
      </c>
      <c r="J9" s="10">
        <f>IF(OR(H9="",I9=""),"",IF(H9&lt;=I9,"OK","OUT"))</f>
        <v/>
      </c>
      <c r="K9" s="10" t="n"/>
      <c r="L9" s="10" t="n"/>
      <c r="M9" s="12" t="n"/>
      <c r="N9" s="10" t="n"/>
    </row>
    <row r="10">
      <c r="A10" s="12" t="n"/>
      <c r="B10" s="10" t="n"/>
      <c r="C10" s="10" t="n"/>
      <c r="D10" s="10" t="n"/>
      <c r="E10" s="13" t="n"/>
      <c r="F10" s="11" t="n"/>
      <c r="G10" s="11" t="n"/>
      <c r="H10" s="11">
        <f>IFERROR(SQRT(F10^2+G10^2),"")</f>
        <v/>
      </c>
      <c r="I10" s="11">
        <f>IFERROR((E10*12)/PlumbRatio,"")</f>
        <v/>
      </c>
      <c r="J10" s="10">
        <f>IF(OR(H10="",I10=""),"",IF(H10&lt;=I10,"OK","OUT"))</f>
        <v/>
      </c>
      <c r="K10" s="10" t="n"/>
      <c r="L10" s="10" t="n"/>
      <c r="M10" s="12" t="n"/>
      <c r="N10" s="10" t="n"/>
    </row>
    <row r="11">
      <c r="A11" s="12" t="n"/>
      <c r="B11" s="10" t="n"/>
      <c r="C11" s="10" t="n"/>
      <c r="D11" s="10" t="n"/>
      <c r="E11" s="13" t="n"/>
      <c r="F11" s="11" t="n"/>
      <c r="G11" s="11" t="n"/>
      <c r="H11" s="11">
        <f>IFERROR(SQRT(F11^2+G11^2),"")</f>
        <v/>
      </c>
      <c r="I11" s="11">
        <f>IFERROR((E11*12)/PlumbRatio,"")</f>
        <v/>
      </c>
      <c r="J11" s="10">
        <f>IF(OR(H11="",I11=""),"",IF(H11&lt;=I11,"OK","OUT"))</f>
        <v/>
      </c>
      <c r="K11" s="10" t="n"/>
      <c r="L11" s="10" t="n"/>
      <c r="M11" s="12" t="n"/>
      <c r="N11" s="10" t="n"/>
    </row>
    <row r="12">
      <c r="A12" s="12" t="n"/>
      <c r="B12" s="10" t="n"/>
      <c r="C12" s="10" t="n"/>
      <c r="D12" s="10" t="n"/>
      <c r="E12" s="13" t="n"/>
      <c r="F12" s="11" t="n"/>
      <c r="G12" s="11" t="n"/>
      <c r="H12" s="11">
        <f>IFERROR(SQRT(F12^2+G12^2),"")</f>
        <v/>
      </c>
      <c r="I12" s="11">
        <f>IFERROR((E12*12)/PlumbRatio,"")</f>
        <v/>
      </c>
      <c r="J12" s="10">
        <f>IF(OR(H12="",I12=""),"",IF(H12&lt;=I12,"OK","OUT"))</f>
        <v/>
      </c>
      <c r="K12" s="10" t="n"/>
      <c r="L12" s="10" t="n"/>
      <c r="M12" s="12" t="n"/>
      <c r="N12" s="10" t="n"/>
    </row>
    <row r="13">
      <c r="A13" s="12" t="n"/>
      <c r="B13" s="10" t="n"/>
      <c r="C13" s="10" t="n"/>
      <c r="D13" s="10" t="n"/>
      <c r="E13" s="13" t="n"/>
      <c r="F13" s="11" t="n"/>
      <c r="G13" s="11" t="n"/>
      <c r="H13" s="11">
        <f>IFERROR(SQRT(F13^2+G13^2),"")</f>
        <v/>
      </c>
      <c r="I13" s="11">
        <f>IFERROR((E13*12)/PlumbRatio,"")</f>
        <v/>
      </c>
      <c r="J13" s="10">
        <f>IF(OR(H13="",I13=""),"",IF(H13&lt;=I13,"OK","OUT"))</f>
        <v/>
      </c>
      <c r="K13" s="10" t="n"/>
      <c r="L13" s="10" t="n"/>
      <c r="M13" s="12" t="n"/>
      <c r="N13" s="10" t="n"/>
    </row>
    <row r="14">
      <c r="A14" s="12" t="n"/>
      <c r="B14" s="10" t="n"/>
      <c r="C14" s="10" t="n"/>
      <c r="D14" s="10" t="n"/>
      <c r="E14" s="13" t="n"/>
      <c r="F14" s="11" t="n"/>
      <c r="G14" s="11" t="n"/>
      <c r="H14" s="11">
        <f>IFERROR(SQRT(F14^2+G14^2),"")</f>
        <v/>
      </c>
      <c r="I14" s="11">
        <f>IFERROR((E14*12)/PlumbRatio,"")</f>
        <v/>
      </c>
      <c r="J14" s="10">
        <f>IF(OR(H14="",I14=""),"",IF(H14&lt;=I14,"OK","OUT"))</f>
        <v/>
      </c>
      <c r="K14" s="10" t="n"/>
      <c r="L14" s="10" t="n"/>
      <c r="M14" s="12" t="n"/>
      <c r="N14" s="10" t="n"/>
    </row>
    <row r="15">
      <c r="A15" s="12" t="n"/>
      <c r="B15" s="10" t="n"/>
      <c r="C15" s="10" t="n"/>
      <c r="D15" s="10" t="n"/>
      <c r="E15" s="13" t="n"/>
      <c r="F15" s="11" t="n"/>
      <c r="G15" s="11" t="n"/>
      <c r="H15" s="11">
        <f>IFERROR(SQRT(F15^2+G15^2),"")</f>
        <v/>
      </c>
      <c r="I15" s="11">
        <f>IFERROR((E15*12)/PlumbRatio,"")</f>
        <v/>
      </c>
      <c r="J15" s="10">
        <f>IF(OR(H15="",I15=""),"",IF(H15&lt;=I15,"OK","OUT"))</f>
        <v/>
      </c>
      <c r="K15" s="10" t="n"/>
      <c r="L15" s="10" t="n"/>
      <c r="M15" s="12" t="n"/>
      <c r="N15" s="10" t="n"/>
    </row>
    <row r="16">
      <c r="A16" s="12" t="n"/>
      <c r="B16" s="10" t="n"/>
      <c r="C16" s="10" t="n"/>
      <c r="D16" s="10" t="n"/>
      <c r="E16" s="13" t="n"/>
      <c r="F16" s="11" t="n"/>
      <c r="G16" s="11" t="n"/>
      <c r="H16" s="11">
        <f>IFERROR(SQRT(F16^2+G16^2),"")</f>
        <v/>
      </c>
      <c r="I16" s="11">
        <f>IFERROR((E16*12)/PlumbRatio,"")</f>
        <v/>
      </c>
      <c r="J16" s="10">
        <f>IF(OR(H16="",I16=""),"",IF(H16&lt;=I16,"OK","OUT"))</f>
        <v/>
      </c>
      <c r="K16" s="10" t="n"/>
      <c r="L16" s="10" t="n"/>
      <c r="M16" s="12" t="n"/>
      <c r="N16" s="10" t="n"/>
    </row>
    <row r="17">
      <c r="A17" s="12" t="n"/>
      <c r="B17" s="10" t="n"/>
      <c r="C17" s="10" t="n"/>
      <c r="D17" s="10" t="n"/>
      <c r="E17" s="13" t="n"/>
      <c r="F17" s="11" t="n"/>
      <c r="G17" s="11" t="n"/>
      <c r="H17" s="11">
        <f>IFERROR(SQRT(F17^2+G17^2),"")</f>
        <v/>
      </c>
      <c r="I17" s="11">
        <f>IFERROR((E17*12)/PlumbRatio,"")</f>
        <v/>
      </c>
      <c r="J17" s="10">
        <f>IF(OR(H17="",I17=""),"",IF(H17&lt;=I17,"OK","OUT"))</f>
        <v/>
      </c>
      <c r="K17" s="10" t="n"/>
      <c r="L17" s="10" t="n"/>
      <c r="M17" s="12" t="n"/>
      <c r="N17" s="10" t="n"/>
    </row>
    <row r="18">
      <c r="A18" s="12" t="n"/>
      <c r="B18" s="10" t="n"/>
      <c r="C18" s="10" t="n"/>
      <c r="D18" s="10" t="n"/>
      <c r="E18" s="13" t="n"/>
      <c r="F18" s="11" t="n"/>
      <c r="G18" s="11" t="n"/>
      <c r="H18" s="11">
        <f>IFERROR(SQRT(F18^2+G18^2),"")</f>
        <v/>
      </c>
      <c r="I18" s="11">
        <f>IFERROR((E18*12)/PlumbRatio,"")</f>
        <v/>
      </c>
      <c r="J18" s="10">
        <f>IF(OR(H18="",I18=""),"",IF(H18&lt;=I18,"OK","OUT"))</f>
        <v/>
      </c>
      <c r="K18" s="10" t="n"/>
      <c r="L18" s="10" t="n"/>
      <c r="M18" s="12" t="n"/>
      <c r="N18" s="10" t="n"/>
    </row>
    <row r="19">
      <c r="A19" s="12" t="n"/>
      <c r="B19" s="10" t="n"/>
      <c r="C19" s="10" t="n"/>
      <c r="D19" s="10" t="n"/>
      <c r="E19" s="13" t="n"/>
      <c r="F19" s="11" t="n"/>
      <c r="G19" s="11" t="n"/>
      <c r="H19" s="11">
        <f>IFERROR(SQRT(F19^2+G19^2),"")</f>
        <v/>
      </c>
      <c r="I19" s="11">
        <f>IFERROR((E19*12)/PlumbRatio,"")</f>
        <v/>
      </c>
      <c r="J19" s="10">
        <f>IF(OR(H19="",I19=""),"",IF(H19&lt;=I19,"OK","OUT"))</f>
        <v/>
      </c>
      <c r="K19" s="10" t="n"/>
      <c r="L19" s="10" t="n"/>
      <c r="M19" s="12" t="n"/>
      <c r="N19" s="10" t="n"/>
    </row>
    <row r="20">
      <c r="A20" s="12" t="n"/>
      <c r="B20" s="10" t="n"/>
      <c r="C20" s="10" t="n"/>
      <c r="D20" s="10" t="n"/>
      <c r="E20" s="13" t="n"/>
      <c r="F20" s="11" t="n"/>
      <c r="G20" s="11" t="n"/>
      <c r="H20" s="11">
        <f>IFERROR(SQRT(F20^2+G20^2),"")</f>
        <v/>
      </c>
      <c r="I20" s="11">
        <f>IFERROR((E20*12)/PlumbRatio,"")</f>
        <v/>
      </c>
      <c r="J20" s="10">
        <f>IF(OR(H20="",I20=""),"",IF(H20&lt;=I20,"OK","OUT"))</f>
        <v/>
      </c>
      <c r="K20" s="10" t="n"/>
      <c r="L20" s="10" t="n"/>
      <c r="M20" s="12" t="n"/>
      <c r="N20" s="10" t="n"/>
    </row>
    <row r="21">
      <c r="A21" s="12" t="n"/>
      <c r="B21" s="10" t="n"/>
      <c r="C21" s="10" t="n"/>
      <c r="D21" s="10" t="n"/>
      <c r="E21" s="13" t="n"/>
      <c r="F21" s="11" t="n"/>
      <c r="G21" s="11" t="n"/>
      <c r="H21" s="11">
        <f>IFERROR(SQRT(F21^2+G21^2),"")</f>
        <v/>
      </c>
      <c r="I21" s="11">
        <f>IFERROR((E21*12)/PlumbRatio,"")</f>
        <v/>
      </c>
      <c r="J21" s="10">
        <f>IF(OR(H21="",I21=""),"",IF(H21&lt;=I21,"OK","OUT"))</f>
        <v/>
      </c>
      <c r="K21" s="10" t="n"/>
      <c r="L21" s="10" t="n"/>
      <c r="M21" s="12" t="n"/>
      <c r="N21" s="10" t="n"/>
    </row>
    <row r="22">
      <c r="A22" s="12" t="n"/>
      <c r="B22" s="10" t="n"/>
      <c r="C22" s="10" t="n"/>
      <c r="D22" s="10" t="n"/>
      <c r="E22" s="13" t="n"/>
      <c r="F22" s="11" t="n"/>
      <c r="G22" s="11" t="n"/>
      <c r="H22" s="11">
        <f>IFERROR(SQRT(F22^2+G22^2),"")</f>
        <v/>
      </c>
      <c r="I22" s="11">
        <f>IFERROR((E22*12)/PlumbRatio,"")</f>
        <v/>
      </c>
      <c r="J22" s="10">
        <f>IF(OR(H22="",I22=""),"",IF(H22&lt;=I22,"OK","OUT"))</f>
        <v/>
      </c>
      <c r="K22" s="10" t="n"/>
      <c r="L22" s="10" t="n"/>
      <c r="M22" s="12" t="n"/>
      <c r="N22" s="10" t="n"/>
    </row>
    <row r="23">
      <c r="A23" s="12" t="n"/>
      <c r="B23" s="10" t="n"/>
      <c r="C23" s="10" t="n"/>
      <c r="D23" s="10" t="n"/>
      <c r="E23" s="13" t="n"/>
      <c r="F23" s="11" t="n"/>
      <c r="G23" s="11" t="n"/>
      <c r="H23" s="11">
        <f>IFERROR(SQRT(F23^2+G23^2),"")</f>
        <v/>
      </c>
      <c r="I23" s="11">
        <f>IFERROR((E23*12)/PlumbRatio,"")</f>
        <v/>
      </c>
      <c r="J23" s="10">
        <f>IF(OR(H23="",I23=""),"",IF(H23&lt;=I23,"OK","OUT"))</f>
        <v/>
      </c>
      <c r="K23" s="10" t="n"/>
      <c r="L23" s="10" t="n"/>
      <c r="M23" s="12" t="n"/>
      <c r="N23" s="10" t="n"/>
    </row>
    <row r="24">
      <c r="A24" s="12" t="n"/>
      <c r="B24" s="10" t="n"/>
      <c r="C24" s="10" t="n"/>
      <c r="D24" s="10" t="n"/>
      <c r="E24" s="13" t="n"/>
      <c r="F24" s="11" t="n"/>
      <c r="G24" s="11" t="n"/>
      <c r="H24" s="11">
        <f>IFERROR(SQRT(F24^2+G24^2),"")</f>
        <v/>
      </c>
      <c r="I24" s="11">
        <f>IFERROR((E24*12)/PlumbRatio,"")</f>
        <v/>
      </c>
      <c r="J24" s="10">
        <f>IF(OR(H24="",I24=""),"",IF(H24&lt;=I24,"OK","OUT"))</f>
        <v/>
      </c>
      <c r="K24" s="10" t="n"/>
      <c r="L24" s="10" t="n"/>
      <c r="M24" s="12" t="n"/>
      <c r="N24" s="10" t="n"/>
    </row>
    <row r="25">
      <c r="A25" s="12" t="n"/>
      <c r="B25" s="10" t="n"/>
      <c r="C25" s="10" t="n"/>
      <c r="D25" s="10" t="n"/>
      <c r="E25" s="13" t="n"/>
      <c r="F25" s="11" t="n"/>
      <c r="G25" s="11" t="n"/>
      <c r="H25" s="11">
        <f>IFERROR(SQRT(F25^2+G25^2),"")</f>
        <v/>
      </c>
      <c r="I25" s="11">
        <f>IFERROR((E25*12)/PlumbRatio,"")</f>
        <v/>
      </c>
      <c r="J25" s="10">
        <f>IF(OR(H25="",I25=""),"",IF(H25&lt;=I25,"OK","OUT"))</f>
        <v/>
      </c>
      <c r="K25" s="10" t="n"/>
      <c r="L25" s="10" t="n"/>
      <c r="M25" s="12" t="n"/>
      <c r="N25" s="10" t="n"/>
    </row>
    <row r="26">
      <c r="A26" s="12" t="n"/>
      <c r="B26" s="10" t="n"/>
      <c r="C26" s="10" t="n"/>
      <c r="D26" s="10" t="n"/>
      <c r="E26" s="13" t="n"/>
      <c r="F26" s="11" t="n"/>
      <c r="G26" s="11" t="n"/>
      <c r="H26" s="11">
        <f>IFERROR(SQRT(F26^2+G26^2),"")</f>
        <v/>
      </c>
      <c r="I26" s="11">
        <f>IFERROR((E26*12)/PlumbRatio,"")</f>
        <v/>
      </c>
      <c r="J26" s="10">
        <f>IF(OR(H26="",I26=""),"",IF(H26&lt;=I26,"OK","OUT"))</f>
        <v/>
      </c>
      <c r="K26" s="10" t="n"/>
      <c r="L26" s="10" t="n"/>
      <c r="M26" s="12" t="n"/>
      <c r="N26" s="10" t="n"/>
    </row>
    <row r="27">
      <c r="A27" s="12" t="n"/>
      <c r="B27" s="10" t="n"/>
      <c r="C27" s="10" t="n"/>
      <c r="D27" s="10" t="n"/>
      <c r="E27" s="13" t="n"/>
      <c r="F27" s="11" t="n"/>
      <c r="G27" s="11" t="n"/>
      <c r="H27" s="11">
        <f>IFERROR(SQRT(F27^2+G27^2),"")</f>
        <v/>
      </c>
      <c r="I27" s="11">
        <f>IFERROR((E27*12)/PlumbRatio,"")</f>
        <v/>
      </c>
      <c r="J27" s="10">
        <f>IF(OR(H27="",I27=""),"",IF(H27&lt;=I27,"OK","OUT"))</f>
        <v/>
      </c>
      <c r="K27" s="10" t="n"/>
      <c r="L27" s="10" t="n"/>
      <c r="M27" s="12" t="n"/>
      <c r="N27" s="10" t="n"/>
    </row>
    <row r="28">
      <c r="A28" s="12" t="n"/>
      <c r="B28" s="10" t="n"/>
      <c r="C28" s="10" t="n"/>
      <c r="D28" s="10" t="n"/>
      <c r="E28" s="13" t="n"/>
      <c r="F28" s="11" t="n"/>
      <c r="G28" s="11" t="n"/>
      <c r="H28" s="11">
        <f>IFERROR(SQRT(F28^2+G28^2),"")</f>
        <v/>
      </c>
      <c r="I28" s="11">
        <f>IFERROR((E28*12)/PlumbRatio,"")</f>
        <v/>
      </c>
      <c r="J28" s="10">
        <f>IF(OR(H28="",I28=""),"",IF(H28&lt;=I28,"OK","OUT"))</f>
        <v/>
      </c>
      <c r="K28" s="10" t="n"/>
      <c r="L28" s="10" t="n"/>
      <c r="M28" s="12" t="n"/>
      <c r="N28" s="10" t="n"/>
    </row>
    <row r="29">
      <c r="A29" s="12" t="n"/>
      <c r="B29" s="10" t="n"/>
      <c r="C29" s="10" t="n"/>
      <c r="D29" s="10" t="n"/>
      <c r="E29" s="13" t="n"/>
      <c r="F29" s="11" t="n"/>
      <c r="G29" s="11" t="n"/>
      <c r="H29" s="11">
        <f>IFERROR(SQRT(F29^2+G29^2),"")</f>
        <v/>
      </c>
      <c r="I29" s="11">
        <f>IFERROR((E29*12)/PlumbRatio,"")</f>
        <v/>
      </c>
      <c r="J29" s="10">
        <f>IF(OR(H29="",I29=""),"",IF(H29&lt;=I29,"OK","OUT"))</f>
        <v/>
      </c>
      <c r="K29" s="10" t="n"/>
      <c r="L29" s="10" t="n"/>
      <c r="M29" s="12" t="n"/>
      <c r="N29" s="10" t="n"/>
    </row>
    <row r="30">
      <c r="A30" s="12" t="n"/>
      <c r="B30" s="10" t="n"/>
      <c r="C30" s="10" t="n"/>
      <c r="D30" s="10" t="n"/>
      <c r="E30" s="13" t="n"/>
      <c r="F30" s="11" t="n"/>
      <c r="G30" s="11" t="n"/>
      <c r="H30" s="11">
        <f>IFERROR(SQRT(F30^2+G30^2),"")</f>
        <v/>
      </c>
      <c r="I30" s="11">
        <f>IFERROR((E30*12)/PlumbRatio,"")</f>
        <v/>
      </c>
      <c r="J30" s="10">
        <f>IF(OR(H30="",I30=""),"",IF(H30&lt;=I30,"OK","OUT"))</f>
        <v/>
      </c>
      <c r="K30" s="10" t="n"/>
      <c r="L30" s="10" t="n"/>
      <c r="M30" s="12" t="n"/>
      <c r="N30" s="10" t="n"/>
    </row>
    <row r="31">
      <c r="A31" s="12" t="n"/>
      <c r="B31" s="10" t="n"/>
      <c r="C31" s="10" t="n"/>
      <c r="D31" s="10" t="n"/>
      <c r="E31" s="13" t="n"/>
      <c r="F31" s="11" t="n"/>
      <c r="G31" s="11" t="n"/>
      <c r="H31" s="11">
        <f>IFERROR(SQRT(F31^2+G31^2),"")</f>
        <v/>
      </c>
      <c r="I31" s="11">
        <f>IFERROR((E31*12)/PlumbRatio,"")</f>
        <v/>
      </c>
      <c r="J31" s="10">
        <f>IF(OR(H31="",I31=""),"",IF(H31&lt;=I31,"OK","OUT"))</f>
        <v/>
      </c>
      <c r="K31" s="10" t="n"/>
      <c r="L31" s="10" t="n"/>
      <c r="M31" s="12" t="n"/>
      <c r="N31" s="10" t="n"/>
    </row>
    <row r="32">
      <c r="A32" s="12" t="n"/>
      <c r="B32" s="10" t="n"/>
      <c r="C32" s="10" t="n"/>
      <c r="D32" s="10" t="n"/>
      <c r="E32" s="13" t="n"/>
      <c r="F32" s="11" t="n"/>
      <c r="G32" s="11" t="n"/>
      <c r="H32" s="11">
        <f>IFERROR(SQRT(F32^2+G32^2),"")</f>
        <v/>
      </c>
      <c r="I32" s="11">
        <f>IFERROR((E32*12)/PlumbRatio,"")</f>
        <v/>
      </c>
      <c r="J32" s="10">
        <f>IF(OR(H32="",I32=""),"",IF(H32&lt;=I32,"OK","OUT"))</f>
        <v/>
      </c>
      <c r="K32" s="10" t="n"/>
      <c r="L32" s="10" t="n"/>
      <c r="M32" s="12" t="n"/>
      <c r="N32" s="10" t="n"/>
    </row>
    <row r="33">
      <c r="A33" s="12" t="n"/>
      <c r="B33" s="10" t="n"/>
      <c r="C33" s="10" t="n"/>
      <c r="D33" s="10" t="n"/>
      <c r="E33" s="13" t="n"/>
      <c r="F33" s="11" t="n"/>
      <c r="G33" s="11" t="n"/>
      <c r="H33" s="11">
        <f>IFERROR(SQRT(F33^2+G33^2),"")</f>
        <v/>
      </c>
      <c r="I33" s="11">
        <f>IFERROR((E33*12)/PlumbRatio,"")</f>
        <v/>
      </c>
      <c r="J33" s="10">
        <f>IF(OR(H33="",I33=""),"",IF(H33&lt;=I33,"OK","OUT"))</f>
        <v/>
      </c>
      <c r="K33" s="10" t="n"/>
      <c r="L33" s="10" t="n"/>
      <c r="M33" s="12" t="n"/>
      <c r="N33" s="10" t="n"/>
    </row>
    <row r="34">
      <c r="A34" s="12" t="n"/>
      <c r="B34" s="10" t="n"/>
      <c r="C34" s="10" t="n"/>
      <c r="D34" s="10" t="n"/>
      <c r="E34" s="13" t="n"/>
      <c r="F34" s="11" t="n"/>
      <c r="G34" s="11" t="n"/>
      <c r="H34" s="11">
        <f>IFERROR(SQRT(F34^2+G34^2),"")</f>
        <v/>
      </c>
      <c r="I34" s="11">
        <f>IFERROR((E34*12)/PlumbRatio,"")</f>
        <v/>
      </c>
      <c r="J34" s="10">
        <f>IF(OR(H34="",I34=""),"",IF(H34&lt;=I34,"OK","OUT"))</f>
        <v/>
      </c>
      <c r="K34" s="10" t="n"/>
      <c r="L34" s="10" t="n"/>
      <c r="M34" s="12" t="n"/>
      <c r="N34" s="10" t="n"/>
    </row>
    <row r="35">
      <c r="A35" s="12" t="n"/>
      <c r="B35" s="10" t="n"/>
      <c r="C35" s="10" t="n"/>
      <c r="D35" s="10" t="n"/>
      <c r="E35" s="13" t="n"/>
      <c r="F35" s="11" t="n"/>
      <c r="G35" s="11" t="n"/>
      <c r="H35" s="11">
        <f>IFERROR(SQRT(F35^2+G35^2),"")</f>
        <v/>
      </c>
      <c r="I35" s="11">
        <f>IFERROR((E35*12)/PlumbRatio,"")</f>
        <v/>
      </c>
      <c r="J35" s="10">
        <f>IF(OR(H35="",I35=""),"",IF(H35&lt;=I35,"OK","OUT"))</f>
        <v/>
      </c>
      <c r="K35" s="10" t="n"/>
      <c r="L35" s="10" t="n"/>
      <c r="M35" s="12" t="n"/>
      <c r="N35" s="10" t="n"/>
    </row>
    <row r="36">
      <c r="A36" s="12" t="n"/>
      <c r="B36" s="10" t="n"/>
      <c r="C36" s="10" t="n"/>
      <c r="D36" s="10" t="n"/>
      <c r="E36" s="13" t="n"/>
      <c r="F36" s="11" t="n"/>
      <c r="G36" s="11" t="n"/>
      <c r="H36" s="11">
        <f>IFERROR(SQRT(F36^2+G36^2),"")</f>
        <v/>
      </c>
      <c r="I36" s="11">
        <f>IFERROR((E36*12)/PlumbRatio,"")</f>
        <v/>
      </c>
      <c r="J36" s="10">
        <f>IF(OR(H36="",I36=""),"",IF(H36&lt;=I36,"OK","OUT"))</f>
        <v/>
      </c>
      <c r="K36" s="10" t="n"/>
      <c r="L36" s="10" t="n"/>
      <c r="M36" s="12" t="n"/>
      <c r="N36" s="10" t="n"/>
    </row>
    <row r="37">
      <c r="A37" s="12" t="n"/>
      <c r="B37" s="10" t="n"/>
      <c r="C37" s="10" t="n"/>
      <c r="D37" s="10" t="n"/>
      <c r="E37" s="13" t="n"/>
      <c r="F37" s="11" t="n"/>
      <c r="G37" s="11" t="n"/>
      <c r="H37" s="11">
        <f>IFERROR(SQRT(F37^2+G37^2),"")</f>
        <v/>
      </c>
      <c r="I37" s="11">
        <f>IFERROR((E37*12)/PlumbRatio,"")</f>
        <v/>
      </c>
      <c r="J37" s="10">
        <f>IF(OR(H37="",I37=""),"",IF(H37&lt;=I37,"OK","OUT"))</f>
        <v/>
      </c>
      <c r="K37" s="10" t="n"/>
      <c r="L37" s="10" t="n"/>
      <c r="M37" s="12" t="n"/>
      <c r="N37" s="10" t="n"/>
    </row>
    <row r="38">
      <c r="A38" s="12" t="n"/>
      <c r="B38" s="10" t="n"/>
      <c r="C38" s="10" t="n"/>
      <c r="D38" s="10" t="n"/>
      <c r="E38" s="13" t="n"/>
      <c r="F38" s="11" t="n"/>
      <c r="G38" s="11" t="n"/>
      <c r="H38" s="11">
        <f>IFERROR(SQRT(F38^2+G38^2),"")</f>
        <v/>
      </c>
      <c r="I38" s="11">
        <f>IFERROR((E38*12)/PlumbRatio,"")</f>
        <v/>
      </c>
      <c r="J38" s="10">
        <f>IF(OR(H38="",I38=""),"",IF(H38&lt;=I38,"OK","OUT"))</f>
        <v/>
      </c>
      <c r="K38" s="10" t="n"/>
      <c r="L38" s="10" t="n"/>
      <c r="M38" s="12" t="n"/>
      <c r="N38" s="10" t="n"/>
    </row>
    <row r="39">
      <c r="A39" s="12" t="n"/>
      <c r="B39" s="10" t="n"/>
      <c r="C39" s="10" t="n"/>
      <c r="D39" s="10" t="n"/>
      <c r="E39" s="13" t="n"/>
      <c r="F39" s="11" t="n"/>
      <c r="G39" s="11" t="n"/>
      <c r="H39" s="11">
        <f>IFERROR(SQRT(F39^2+G39^2),"")</f>
        <v/>
      </c>
      <c r="I39" s="11">
        <f>IFERROR((E39*12)/PlumbRatio,"")</f>
        <v/>
      </c>
      <c r="J39" s="10">
        <f>IF(OR(H39="",I39=""),"",IF(H39&lt;=I39,"OK","OUT"))</f>
        <v/>
      </c>
      <c r="K39" s="10" t="n"/>
      <c r="L39" s="10" t="n"/>
      <c r="M39" s="12" t="n"/>
      <c r="N39" s="10" t="n"/>
    </row>
    <row r="40">
      <c r="A40" s="12" t="n"/>
      <c r="B40" s="10" t="n"/>
      <c r="C40" s="10" t="n"/>
      <c r="D40" s="10" t="n"/>
      <c r="E40" s="13" t="n"/>
      <c r="F40" s="11" t="n"/>
      <c r="G40" s="11" t="n"/>
      <c r="H40" s="11">
        <f>IFERROR(SQRT(F40^2+G40^2),"")</f>
        <v/>
      </c>
      <c r="I40" s="11">
        <f>IFERROR((E40*12)/PlumbRatio,"")</f>
        <v/>
      </c>
      <c r="J40" s="10">
        <f>IF(OR(H40="",I40=""),"",IF(H40&lt;=I40,"OK","OUT"))</f>
        <v/>
      </c>
      <c r="K40" s="10" t="n"/>
      <c r="L40" s="10" t="n"/>
      <c r="M40" s="12" t="n"/>
      <c r="N40" s="10" t="n"/>
    </row>
    <row r="41">
      <c r="A41" s="12" t="n"/>
      <c r="B41" s="10" t="n"/>
      <c r="C41" s="10" t="n"/>
      <c r="D41" s="10" t="n"/>
      <c r="E41" s="13" t="n"/>
      <c r="F41" s="11" t="n"/>
      <c r="G41" s="11" t="n"/>
      <c r="H41" s="11">
        <f>IFERROR(SQRT(F41^2+G41^2),"")</f>
        <v/>
      </c>
      <c r="I41" s="11">
        <f>IFERROR((E41*12)/PlumbRatio,"")</f>
        <v/>
      </c>
      <c r="J41" s="10">
        <f>IF(OR(H41="",I41=""),"",IF(H41&lt;=I41,"OK","OUT"))</f>
        <v/>
      </c>
      <c r="K41" s="10" t="n"/>
      <c r="L41" s="10" t="n"/>
      <c r="M41" s="12" t="n"/>
      <c r="N41" s="10" t="n"/>
    </row>
    <row r="42">
      <c r="A42" s="12" t="n"/>
      <c r="B42" s="10" t="n"/>
      <c r="C42" s="10" t="n"/>
      <c r="D42" s="10" t="n"/>
      <c r="E42" s="13" t="n"/>
      <c r="F42" s="11" t="n"/>
      <c r="G42" s="11" t="n"/>
      <c r="H42" s="11">
        <f>IFERROR(SQRT(F42^2+G42^2),"")</f>
        <v/>
      </c>
      <c r="I42" s="11">
        <f>IFERROR((E42*12)/PlumbRatio,"")</f>
        <v/>
      </c>
      <c r="J42" s="10">
        <f>IF(OR(H42="",I42=""),"",IF(H42&lt;=I42,"OK","OUT"))</f>
        <v/>
      </c>
      <c r="K42" s="10" t="n"/>
      <c r="L42" s="10" t="n"/>
      <c r="M42" s="12" t="n"/>
      <c r="N42" s="10" t="n"/>
    </row>
    <row r="43">
      <c r="A43" s="12" t="n"/>
      <c r="B43" s="10" t="n"/>
      <c r="C43" s="10" t="n"/>
      <c r="D43" s="10" t="n"/>
      <c r="E43" s="13" t="n"/>
      <c r="F43" s="11" t="n"/>
      <c r="G43" s="11" t="n"/>
      <c r="H43" s="11">
        <f>IFERROR(SQRT(F43^2+G43^2),"")</f>
        <v/>
      </c>
      <c r="I43" s="11">
        <f>IFERROR((E43*12)/PlumbRatio,"")</f>
        <v/>
      </c>
      <c r="J43" s="10">
        <f>IF(OR(H43="",I43=""),"",IF(H43&lt;=I43,"OK","OUT"))</f>
        <v/>
      </c>
      <c r="K43" s="10" t="n"/>
      <c r="L43" s="10" t="n"/>
      <c r="M43" s="12" t="n"/>
      <c r="N43" s="10" t="n"/>
    </row>
    <row r="44">
      <c r="A44" s="12" t="n"/>
      <c r="B44" s="10" t="n"/>
      <c r="C44" s="10" t="n"/>
      <c r="D44" s="10" t="n"/>
      <c r="E44" s="13" t="n"/>
      <c r="F44" s="11" t="n"/>
      <c r="G44" s="11" t="n"/>
      <c r="H44" s="11">
        <f>IFERROR(SQRT(F44^2+G44^2),"")</f>
        <v/>
      </c>
      <c r="I44" s="11">
        <f>IFERROR((E44*12)/PlumbRatio,"")</f>
        <v/>
      </c>
      <c r="J44" s="10">
        <f>IF(OR(H44="",I44=""),"",IF(H44&lt;=I44,"OK","OUT"))</f>
        <v/>
      </c>
      <c r="K44" s="10" t="n"/>
      <c r="L44" s="10" t="n"/>
      <c r="M44" s="12" t="n"/>
      <c r="N44" s="10" t="n"/>
    </row>
    <row r="45">
      <c r="A45" s="12" t="n"/>
      <c r="B45" s="10" t="n"/>
      <c r="C45" s="10" t="n"/>
      <c r="D45" s="10" t="n"/>
      <c r="E45" s="13" t="n"/>
      <c r="F45" s="11" t="n"/>
      <c r="G45" s="11" t="n"/>
      <c r="H45" s="11">
        <f>IFERROR(SQRT(F45^2+G45^2),"")</f>
        <v/>
      </c>
      <c r="I45" s="11">
        <f>IFERROR((E45*12)/PlumbRatio,"")</f>
        <v/>
      </c>
      <c r="J45" s="10">
        <f>IF(OR(H45="",I45=""),"",IF(H45&lt;=I45,"OK","OUT"))</f>
        <v/>
      </c>
      <c r="K45" s="10" t="n"/>
      <c r="L45" s="10" t="n"/>
      <c r="M45" s="12" t="n"/>
      <c r="N45" s="10" t="n"/>
    </row>
    <row r="46">
      <c r="A46" s="12" t="n"/>
      <c r="B46" s="10" t="n"/>
      <c r="C46" s="10" t="n"/>
      <c r="D46" s="10" t="n"/>
      <c r="E46" s="13" t="n"/>
      <c r="F46" s="11" t="n"/>
      <c r="G46" s="11" t="n"/>
      <c r="H46" s="11">
        <f>IFERROR(SQRT(F46^2+G46^2),"")</f>
        <v/>
      </c>
      <c r="I46" s="11">
        <f>IFERROR((E46*12)/PlumbRatio,"")</f>
        <v/>
      </c>
      <c r="J46" s="10">
        <f>IF(OR(H46="",I46=""),"",IF(H46&lt;=I46,"OK","OUT"))</f>
        <v/>
      </c>
      <c r="K46" s="10" t="n"/>
      <c r="L46" s="10" t="n"/>
      <c r="M46" s="12" t="n"/>
      <c r="N46" s="10" t="n"/>
    </row>
    <row r="47">
      <c r="A47" s="12" t="n"/>
      <c r="B47" s="10" t="n"/>
      <c r="C47" s="10" t="n"/>
      <c r="D47" s="10" t="n"/>
      <c r="E47" s="13" t="n"/>
      <c r="F47" s="11" t="n"/>
      <c r="G47" s="11" t="n"/>
      <c r="H47" s="11">
        <f>IFERROR(SQRT(F47^2+G47^2),"")</f>
        <v/>
      </c>
      <c r="I47" s="11">
        <f>IFERROR((E47*12)/PlumbRatio,"")</f>
        <v/>
      </c>
      <c r="J47" s="10">
        <f>IF(OR(H47="",I47=""),"",IF(H47&lt;=I47,"OK","OUT"))</f>
        <v/>
      </c>
      <c r="K47" s="10" t="n"/>
      <c r="L47" s="10" t="n"/>
      <c r="M47" s="12" t="n"/>
      <c r="N47" s="10" t="n"/>
    </row>
    <row r="48">
      <c r="A48" s="12" t="n"/>
      <c r="B48" s="10" t="n"/>
      <c r="C48" s="10" t="n"/>
      <c r="D48" s="10" t="n"/>
      <c r="E48" s="13" t="n"/>
      <c r="F48" s="11" t="n"/>
      <c r="G48" s="11" t="n"/>
      <c r="H48" s="11">
        <f>IFERROR(SQRT(F48^2+G48^2),"")</f>
        <v/>
      </c>
      <c r="I48" s="11">
        <f>IFERROR((E48*12)/PlumbRatio,"")</f>
        <v/>
      </c>
      <c r="J48" s="10">
        <f>IF(OR(H48="",I48=""),"",IF(H48&lt;=I48,"OK","OUT"))</f>
        <v/>
      </c>
      <c r="K48" s="10" t="n"/>
      <c r="L48" s="10" t="n"/>
      <c r="M48" s="12" t="n"/>
      <c r="N48" s="10" t="n"/>
    </row>
    <row r="49">
      <c r="A49" s="12" t="n"/>
      <c r="B49" s="10" t="n"/>
      <c r="C49" s="10" t="n"/>
      <c r="D49" s="10" t="n"/>
      <c r="E49" s="13" t="n"/>
      <c r="F49" s="11" t="n"/>
      <c r="G49" s="11" t="n"/>
      <c r="H49" s="11">
        <f>IFERROR(SQRT(F49^2+G49^2),"")</f>
        <v/>
      </c>
      <c r="I49" s="11">
        <f>IFERROR((E49*12)/PlumbRatio,"")</f>
        <v/>
      </c>
      <c r="J49" s="10">
        <f>IF(OR(H49="",I49=""),"",IF(H49&lt;=I49,"OK","OUT"))</f>
        <v/>
      </c>
      <c r="K49" s="10" t="n"/>
      <c r="L49" s="10" t="n"/>
      <c r="M49" s="12" t="n"/>
      <c r="N49" s="10" t="n"/>
    </row>
    <row r="50">
      <c r="A50" s="12" t="n"/>
      <c r="B50" s="10" t="n"/>
      <c r="C50" s="10" t="n"/>
      <c r="D50" s="10" t="n"/>
      <c r="E50" s="13" t="n"/>
      <c r="F50" s="11" t="n"/>
      <c r="G50" s="11" t="n"/>
      <c r="H50" s="11">
        <f>IFERROR(SQRT(F50^2+G50^2),"")</f>
        <v/>
      </c>
      <c r="I50" s="11">
        <f>IFERROR((E50*12)/PlumbRatio,"")</f>
        <v/>
      </c>
      <c r="J50" s="10">
        <f>IF(OR(H50="",I50=""),"",IF(H50&lt;=I50,"OK","OUT"))</f>
        <v/>
      </c>
      <c r="K50" s="10" t="n"/>
      <c r="L50" s="10" t="n"/>
      <c r="M50" s="12" t="n"/>
      <c r="N50" s="10" t="n"/>
    </row>
    <row r="51">
      <c r="A51" s="12" t="n"/>
      <c r="B51" s="10" t="n"/>
      <c r="C51" s="10" t="n"/>
      <c r="D51" s="10" t="n"/>
      <c r="E51" s="13" t="n"/>
      <c r="F51" s="11" t="n"/>
      <c r="G51" s="11" t="n"/>
      <c r="H51" s="11">
        <f>IFERROR(SQRT(F51^2+G51^2),"")</f>
        <v/>
      </c>
      <c r="I51" s="11">
        <f>IFERROR((E51*12)/PlumbRatio,"")</f>
        <v/>
      </c>
      <c r="J51" s="10">
        <f>IF(OR(H51="",I51=""),"",IF(H51&lt;=I51,"OK","OUT"))</f>
        <v/>
      </c>
      <c r="K51" s="10" t="n"/>
      <c r="L51" s="10" t="n"/>
      <c r="M51" s="12" t="n"/>
      <c r="N51" s="10" t="n"/>
    </row>
    <row r="52">
      <c r="A52" s="12" t="n"/>
      <c r="B52" s="10" t="n"/>
      <c r="C52" s="10" t="n"/>
      <c r="D52" s="10" t="n"/>
      <c r="E52" s="13" t="n"/>
      <c r="F52" s="11" t="n"/>
      <c r="G52" s="11" t="n"/>
      <c r="H52" s="11">
        <f>IFERROR(SQRT(F52^2+G52^2),"")</f>
        <v/>
      </c>
      <c r="I52" s="11">
        <f>IFERROR((E52*12)/PlumbRatio,"")</f>
        <v/>
      </c>
      <c r="J52" s="10">
        <f>IF(OR(H52="",I52=""),"",IF(H52&lt;=I52,"OK","OUT"))</f>
        <v/>
      </c>
      <c r="K52" s="10" t="n"/>
      <c r="L52" s="10" t="n"/>
      <c r="M52" s="12" t="n"/>
      <c r="N52" s="10" t="n"/>
    </row>
    <row r="53">
      <c r="A53" s="12" t="n"/>
      <c r="B53" s="10" t="n"/>
      <c r="C53" s="10" t="n"/>
      <c r="D53" s="10" t="n"/>
      <c r="E53" s="13" t="n"/>
      <c r="F53" s="11" t="n"/>
      <c r="G53" s="11" t="n"/>
      <c r="H53" s="11">
        <f>IFERROR(SQRT(F53^2+G53^2),"")</f>
        <v/>
      </c>
      <c r="I53" s="11">
        <f>IFERROR((E53*12)/PlumbRatio,"")</f>
        <v/>
      </c>
      <c r="J53" s="10">
        <f>IF(OR(H53="",I53=""),"",IF(H53&lt;=I53,"OK","OUT"))</f>
        <v/>
      </c>
      <c r="K53" s="10" t="n"/>
      <c r="L53" s="10" t="n"/>
      <c r="M53" s="12" t="n"/>
      <c r="N53" s="10" t="n"/>
    </row>
    <row r="54">
      <c r="A54" s="12" t="n"/>
      <c r="B54" s="10" t="n"/>
      <c r="C54" s="10" t="n"/>
      <c r="D54" s="10" t="n"/>
      <c r="E54" s="13" t="n"/>
      <c r="F54" s="11" t="n"/>
      <c r="G54" s="11" t="n"/>
      <c r="H54" s="11">
        <f>IFERROR(SQRT(F54^2+G54^2),"")</f>
        <v/>
      </c>
      <c r="I54" s="11">
        <f>IFERROR((E54*12)/PlumbRatio,"")</f>
        <v/>
      </c>
      <c r="J54" s="10">
        <f>IF(OR(H54="",I54=""),"",IF(H54&lt;=I54,"OK","OUT"))</f>
        <v/>
      </c>
      <c r="K54" s="10" t="n"/>
      <c r="L54" s="10" t="n"/>
      <c r="M54" s="12" t="n"/>
      <c r="N54" s="10" t="n"/>
    </row>
    <row r="55">
      <c r="A55" s="12" t="n"/>
      <c r="B55" s="10" t="n"/>
      <c r="C55" s="10" t="n"/>
      <c r="D55" s="10" t="n"/>
      <c r="E55" s="13" t="n"/>
      <c r="F55" s="11" t="n"/>
      <c r="G55" s="11" t="n"/>
      <c r="H55" s="11">
        <f>IFERROR(SQRT(F55^2+G55^2),"")</f>
        <v/>
      </c>
      <c r="I55" s="11">
        <f>IFERROR((E55*12)/PlumbRatio,"")</f>
        <v/>
      </c>
      <c r="J55" s="10">
        <f>IF(OR(H55="",I55=""),"",IF(H55&lt;=I55,"OK","OUT"))</f>
        <v/>
      </c>
      <c r="K55" s="10" t="n"/>
      <c r="L55" s="10" t="n"/>
      <c r="M55" s="12" t="n"/>
      <c r="N55" s="10" t="n"/>
    </row>
    <row r="56">
      <c r="A56" s="12" t="n"/>
      <c r="B56" s="10" t="n"/>
      <c r="C56" s="10" t="n"/>
      <c r="D56" s="10" t="n"/>
      <c r="E56" s="13" t="n"/>
      <c r="F56" s="11" t="n"/>
      <c r="G56" s="11" t="n"/>
      <c r="H56" s="11">
        <f>IFERROR(SQRT(F56^2+G56^2),"")</f>
        <v/>
      </c>
      <c r="I56" s="11">
        <f>IFERROR((E56*12)/PlumbRatio,"")</f>
        <v/>
      </c>
      <c r="J56" s="10">
        <f>IF(OR(H56="",I56=""),"",IF(H56&lt;=I56,"OK","OUT"))</f>
        <v/>
      </c>
      <c r="K56" s="10" t="n"/>
      <c r="L56" s="10" t="n"/>
      <c r="M56" s="12" t="n"/>
      <c r="N56" s="10" t="n"/>
    </row>
    <row r="57">
      <c r="A57" s="12" t="n"/>
      <c r="B57" s="10" t="n"/>
      <c r="C57" s="10" t="n"/>
      <c r="D57" s="10" t="n"/>
      <c r="E57" s="13" t="n"/>
      <c r="F57" s="11" t="n"/>
      <c r="G57" s="11" t="n"/>
      <c r="H57" s="11">
        <f>IFERROR(SQRT(F57^2+G57^2),"")</f>
        <v/>
      </c>
      <c r="I57" s="11">
        <f>IFERROR((E57*12)/PlumbRatio,"")</f>
        <v/>
      </c>
      <c r="J57" s="10">
        <f>IF(OR(H57="",I57=""),"",IF(H57&lt;=I57,"OK","OUT"))</f>
        <v/>
      </c>
      <c r="K57" s="10" t="n"/>
      <c r="L57" s="10" t="n"/>
      <c r="M57" s="12" t="n"/>
      <c r="N57" s="10" t="n"/>
    </row>
    <row r="58">
      <c r="A58" s="12" t="n"/>
      <c r="B58" s="10" t="n"/>
      <c r="C58" s="10" t="n"/>
      <c r="D58" s="10" t="n"/>
      <c r="E58" s="13" t="n"/>
      <c r="F58" s="11" t="n"/>
      <c r="G58" s="11" t="n"/>
      <c r="H58" s="11">
        <f>IFERROR(SQRT(F58^2+G58^2),"")</f>
        <v/>
      </c>
      <c r="I58" s="11">
        <f>IFERROR((E58*12)/PlumbRatio,"")</f>
        <v/>
      </c>
      <c r="J58" s="10">
        <f>IF(OR(H58="",I58=""),"",IF(H58&lt;=I58,"OK","OUT"))</f>
        <v/>
      </c>
      <c r="K58" s="10" t="n"/>
      <c r="L58" s="10" t="n"/>
      <c r="M58" s="12" t="n"/>
      <c r="N58" s="10" t="n"/>
    </row>
    <row r="59">
      <c r="A59" s="12" t="n"/>
      <c r="B59" s="10" t="n"/>
      <c r="C59" s="10" t="n"/>
      <c r="D59" s="10" t="n"/>
      <c r="E59" s="13" t="n"/>
      <c r="F59" s="11" t="n"/>
      <c r="G59" s="11" t="n"/>
      <c r="H59" s="11">
        <f>IFERROR(SQRT(F59^2+G59^2),"")</f>
        <v/>
      </c>
      <c r="I59" s="11">
        <f>IFERROR((E59*12)/PlumbRatio,"")</f>
        <v/>
      </c>
      <c r="J59" s="10">
        <f>IF(OR(H59="",I59=""),"",IF(H59&lt;=I59,"OK","OUT"))</f>
        <v/>
      </c>
      <c r="K59" s="10" t="n"/>
      <c r="L59" s="10" t="n"/>
      <c r="M59" s="12" t="n"/>
      <c r="N59" s="10" t="n"/>
    </row>
    <row r="60">
      <c r="A60" s="12" t="n"/>
      <c r="B60" s="10" t="n"/>
      <c r="C60" s="10" t="n"/>
      <c r="D60" s="10" t="n"/>
      <c r="E60" s="13" t="n"/>
      <c r="F60" s="11" t="n"/>
      <c r="G60" s="11" t="n"/>
      <c r="H60" s="11">
        <f>IFERROR(SQRT(F60^2+G60^2),"")</f>
        <v/>
      </c>
      <c r="I60" s="11">
        <f>IFERROR((E60*12)/PlumbRatio,"")</f>
        <v/>
      </c>
      <c r="J60" s="10">
        <f>IF(OR(H60="",I60=""),"",IF(H60&lt;=I60,"OK","OUT"))</f>
        <v/>
      </c>
      <c r="K60" s="10" t="n"/>
      <c r="L60" s="10" t="n"/>
      <c r="M60" s="12" t="n"/>
      <c r="N60" s="10" t="n"/>
    </row>
    <row r="61">
      <c r="A61" s="12" t="n"/>
      <c r="B61" s="10" t="n"/>
      <c r="C61" s="10" t="n"/>
      <c r="D61" s="10" t="n"/>
      <c r="E61" s="13" t="n"/>
      <c r="F61" s="11" t="n"/>
      <c r="G61" s="11" t="n"/>
      <c r="H61" s="11">
        <f>IFERROR(SQRT(F61^2+G61^2),"")</f>
        <v/>
      </c>
      <c r="I61" s="11">
        <f>IFERROR((E61*12)/PlumbRatio,"")</f>
        <v/>
      </c>
      <c r="J61" s="10">
        <f>IF(OR(H61="",I61=""),"",IF(H61&lt;=I61,"OK","OUT"))</f>
        <v/>
      </c>
      <c r="K61" s="10" t="n"/>
      <c r="L61" s="10" t="n"/>
      <c r="M61" s="12" t="n"/>
      <c r="N61" s="10" t="n"/>
    </row>
    <row r="62">
      <c r="A62" s="12" t="n"/>
      <c r="B62" s="10" t="n"/>
      <c r="C62" s="10" t="n"/>
      <c r="D62" s="10" t="n"/>
      <c r="E62" s="13" t="n"/>
      <c r="F62" s="11" t="n"/>
      <c r="G62" s="11" t="n"/>
      <c r="H62" s="11">
        <f>IFERROR(SQRT(F62^2+G62^2),"")</f>
        <v/>
      </c>
      <c r="I62" s="11">
        <f>IFERROR((E62*12)/PlumbRatio,"")</f>
        <v/>
      </c>
      <c r="J62" s="10">
        <f>IF(OR(H62="",I62=""),"",IF(H62&lt;=I62,"OK","OUT"))</f>
        <v/>
      </c>
      <c r="K62" s="10" t="n"/>
      <c r="L62" s="10" t="n"/>
      <c r="M62" s="12" t="n"/>
      <c r="N62" s="10" t="n"/>
    </row>
    <row r="63">
      <c r="A63" s="12" t="n"/>
      <c r="B63" s="10" t="n"/>
      <c r="C63" s="10" t="n"/>
      <c r="D63" s="10" t="n"/>
      <c r="E63" s="13" t="n"/>
      <c r="F63" s="11" t="n"/>
      <c r="G63" s="11" t="n"/>
      <c r="H63" s="11">
        <f>IFERROR(SQRT(F63^2+G63^2),"")</f>
        <v/>
      </c>
      <c r="I63" s="11">
        <f>IFERROR((E63*12)/PlumbRatio,"")</f>
        <v/>
      </c>
      <c r="J63" s="10">
        <f>IF(OR(H63="",I63=""),"",IF(H63&lt;=I63,"OK","OUT"))</f>
        <v/>
      </c>
      <c r="K63" s="10" t="n"/>
      <c r="L63" s="10" t="n"/>
      <c r="M63" s="12" t="n"/>
      <c r="N63" s="10" t="n"/>
    </row>
    <row r="64">
      <c r="A64" s="12" t="n"/>
      <c r="B64" s="10" t="n"/>
      <c r="C64" s="10" t="n"/>
      <c r="D64" s="10" t="n"/>
      <c r="E64" s="13" t="n"/>
      <c r="F64" s="11" t="n"/>
      <c r="G64" s="11" t="n"/>
      <c r="H64" s="11">
        <f>IFERROR(SQRT(F64^2+G64^2),"")</f>
        <v/>
      </c>
      <c r="I64" s="11">
        <f>IFERROR((E64*12)/PlumbRatio,"")</f>
        <v/>
      </c>
      <c r="J64" s="10">
        <f>IF(OR(H64="",I64=""),"",IF(H64&lt;=I64,"OK","OUT"))</f>
        <v/>
      </c>
      <c r="K64" s="10" t="n"/>
      <c r="L64" s="10" t="n"/>
      <c r="M64" s="12" t="n"/>
      <c r="N64" s="10" t="n"/>
    </row>
    <row r="65">
      <c r="A65" s="12" t="n"/>
      <c r="B65" s="10" t="n"/>
      <c r="C65" s="10" t="n"/>
      <c r="D65" s="10" t="n"/>
      <c r="E65" s="13" t="n"/>
      <c r="F65" s="11" t="n"/>
      <c r="G65" s="11" t="n"/>
      <c r="H65" s="11">
        <f>IFERROR(SQRT(F65^2+G65^2),"")</f>
        <v/>
      </c>
      <c r="I65" s="11">
        <f>IFERROR((E65*12)/PlumbRatio,"")</f>
        <v/>
      </c>
      <c r="J65" s="10">
        <f>IF(OR(H65="",I65=""),"",IF(H65&lt;=I65,"OK","OUT"))</f>
        <v/>
      </c>
      <c r="K65" s="10" t="n"/>
      <c r="L65" s="10" t="n"/>
      <c r="M65" s="12" t="n"/>
      <c r="N65" s="10" t="n"/>
    </row>
    <row r="66">
      <c r="A66" s="12" t="n"/>
      <c r="B66" s="10" t="n"/>
      <c r="C66" s="10" t="n"/>
      <c r="D66" s="10" t="n"/>
      <c r="E66" s="13" t="n"/>
      <c r="F66" s="11" t="n"/>
      <c r="G66" s="11" t="n"/>
      <c r="H66" s="11">
        <f>IFERROR(SQRT(F66^2+G66^2),"")</f>
        <v/>
      </c>
      <c r="I66" s="11">
        <f>IFERROR((E66*12)/PlumbRatio,"")</f>
        <v/>
      </c>
      <c r="J66" s="10">
        <f>IF(OR(H66="",I66=""),"",IF(H66&lt;=I66,"OK","OUT"))</f>
        <v/>
      </c>
      <c r="K66" s="10" t="n"/>
      <c r="L66" s="10" t="n"/>
      <c r="M66" s="12" t="n"/>
      <c r="N66" s="10" t="n"/>
    </row>
    <row r="67">
      <c r="A67" s="12" t="n"/>
      <c r="B67" s="10" t="n"/>
      <c r="C67" s="10" t="n"/>
      <c r="D67" s="10" t="n"/>
      <c r="E67" s="13" t="n"/>
      <c r="F67" s="11" t="n"/>
      <c r="G67" s="11" t="n"/>
      <c r="H67" s="11">
        <f>IFERROR(SQRT(F67^2+G67^2),"")</f>
        <v/>
      </c>
      <c r="I67" s="11">
        <f>IFERROR((E67*12)/PlumbRatio,"")</f>
        <v/>
      </c>
      <c r="J67" s="10">
        <f>IF(OR(H67="",I67=""),"",IF(H67&lt;=I67,"OK","OUT"))</f>
        <v/>
      </c>
      <c r="K67" s="10" t="n"/>
      <c r="L67" s="10" t="n"/>
      <c r="M67" s="12" t="n"/>
      <c r="N67" s="10" t="n"/>
    </row>
    <row r="68">
      <c r="A68" s="12" t="n"/>
      <c r="B68" s="10" t="n"/>
      <c r="C68" s="10" t="n"/>
      <c r="D68" s="10" t="n"/>
      <c r="E68" s="13" t="n"/>
      <c r="F68" s="11" t="n"/>
      <c r="G68" s="11" t="n"/>
      <c r="H68" s="11">
        <f>IFERROR(SQRT(F68^2+G68^2),"")</f>
        <v/>
      </c>
      <c r="I68" s="11">
        <f>IFERROR((E68*12)/PlumbRatio,"")</f>
        <v/>
      </c>
      <c r="J68" s="10">
        <f>IF(OR(H68="",I68=""),"",IF(H68&lt;=I68,"OK","OUT"))</f>
        <v/>
      </c>
      <c r="K68" s="10" t="n"/>
      <c r="L68" s="10" t="n"/>
      <c r="M68" s="12" t="n"/>
      <c r="N68" s="10" t="n"/>
    </row>
    <row r="69">
      <c r="A69" s="12" t="n"/>
      <c r="B69" s="10" t="n"/>
      <c r="C69" s="10" t="n"/>
      <c r="D69" s="10" t="n"/>
      <c r="E69" s="13" t="n"/>
      <c r="F69" s="11" t="n"/>
      <c r="G69" s="11" t="n"/>
      <c r="H69" s="11">
        <f>IFERROR(SQRT(F69^2+G69^2),"")</f>
        <v/>
      </c>
      <c r="I69" s="11">
        <f>IFERROR((E69*12)/PlumbRatio,"")</f>
        <v/>
      </c>
      <c r="J69" s="10">
        <f>IF(OR(H69="",I69=""),"",IF(H69&lt;=I69,"OK","OUT"))</f>
        <v/>
      </c>
      <c r="K69" s="10" t="n"/>
      <c r="L69" s="10" t="n"/>
      <c r="M69" s="12" t="n"/>
      <c r="N69" s="10" t="n"/>
    </row>
    <row r="70">
      <c r="A70" s="12" t="n"/>
      <c r="B70" s="10" t="n"/>
      <c r="C70" s="10" t="n"/>
      <c r="D70" s="10" t="n"/>
      <c r="E70" s="13" t="n"/>
      <c r="F70" s="11" t="n"/>
      <c r="G70" s="11" t="n"/>
      <c r="H70" s="11">
        <f>IFERROR(SQRT(F70^2+G70^2),"")</f>
        <v/>
      </c>
      <c r="I70" s="11">
        <f>IFERROR((E70*12)/PlumbRatio,"")</f>
        <v/>
      </c>
      <c r="J70" s="10">
        <f>IF(OR(H70="",I70=""),"",IF(H70&lt;=I70,"OK","OUT"))</f>
        <v/>
      </c>
      <c r="K70" s="10" t="n"/>
      <c r="L70" s="10" t="n"/>
      <c r="M70" s="12" t="n"/>
      <c r="N70" s="10" t="n"/>
    </row>
    <row r="71">
      <c r="A71" s="12" t="n"/>
      <c r="B71" s="10" t="n"/>
      <c r="C71" s="10" t="n"/>
      <c r="D71" s="10" t="n"/>
      <c r="E71" s="13" t="n"/>
      <c r="F71" s="11" t="n"/>
      <c r="G71" s="11" t="n"/>
      <c r="H71" s="11">
        <f>IFERROR(SQRT(F71^2+G71^2),"")</f>
        <v/>
      </c>
      <c r="I71" s="11">
        <f>IFERROR((E71*12)/PlumbRatio,"")</f>
        <v/>
      </c>
      <c r="J71" s="10">
        <f>IF(OR(H71="",I71=""),"",IF(H71&lt;=I71,"OK","OUT"))</f>
        <v/>
      </c>
      <c r="K71" s="10" t="n"/>
      <c r="L71" s="10" t="n"/>
      <c r="M71" s="12" t="n"/>
      <c r="N71" s="10" t="n"/>
    </row>
    <row r="72">
      <c r="A72" s="12" t="n"/>
      <c r="B72" s="10" t="n"/>
      <c r="C72" s="10" t="n"/>
      <c r="D72" s="10" t="n"/>
      <c r="E72" s="13" t="n"/>
      <c r="F72" s="11" t="n"/>
      <c r="G72" s="11" t="n"/>
      <c r="H72" s="11">
        <f>IFERROR(SQRT(F72^2+G72^2),"")</f>
        <v/>
      </c>
      <c r="I72" s="11">
        <f>IFERROR((E72*12)/PlumbRatio,"")</f>
        <v/>
      </c>
      <c r="J72" s="10">
        <f>IF(OR(H72="",I72=""),"",IF(H72&lt;=I72,"OK","OUT"))</f>
        <v/>
      </c>
      <c r="K72" s="10" t="n"/>
      <c r="L72" s="10" t="n"/>
      <c r="M72" s="12" t="n"/>
      <c r="N72" s="10" t="n"/>
    </row>
    <row r="73">
      <c r="A73" s="12" t="n"/>
      <c r="B73" s="10" t="n"/>
      <c r="C73" s="10" t="n"/>
      <c r="D73" s="10" t="n"/>
      <c r="E73" s="13" t="n"/>
      <c r="F73" s="11" t="n"/>
      <c r="G73" s="11" t="n"/>
      <c r="H73" s="11">
        <f>IFERROR(SQRT(F73^2+G73^2),"")</f>
        <v/>
      </c>
      <c r="I73" s="11">
        <f>IFERROR((E73*12)/PlumbRatio,"")</f>
        <v/>
      </c>
      <c r="J73" s="10">
        <f>IF(OR(H73="",I73=""),"",IF(H73&lt;=I73,"OK","OUT"))</f>
        <v/>
      </c>
      <c r="K73" s="10" t="n"/>
      <c r="L73" s="10" t="n"/>
      <c r="M73" s="12" t="n"/>
      <c r="N73" s="10" t="n"/>
    </row>
    <row r="74">
      <c r="A74" s="12" t="n"/>
      <c r="B74" s="10" t="n"/>
      <c r="C74" s="10" t="n"/>
      <c r="D74" s="10" t="n"/>
      <c r="E74" s="13" t="n"/>
      <c r="F74" s="11" t="n"/>
      <c r="G74" s="11" t="n"/>
      <c r="H74" s="11">
        <f>IFERROR(SQRT(F74^2+G74^2),"")</f>
        <v/>
      </c>
      <c r="I74" s="11">
        <f>IFERROR((E74*12)/PlumbRatio,"")</f>
        <v/>
      </c>
      <c r="J74" s="10">
        <f>IF(OR(H74="",I74=""),"",IF(H74&lt;=I74,"OK","OUT"))</f>
        <v/>
      </c>
      <c r="K74" s="10" t="n"/>
      <c r="L74" s="10" t="n"/>
      <c r="M74" s="12" t="n"/>
      <c r="N74" s="10" t="n"/>
    </row>
    <row r="75">
      <c r="A75" s="12" t="n"/>
      <c r="B75" s="10" t="n"/>
      <c r="C75" s="10" t="n"/>
      <c r="D75" s="10" t="n"/>
      <c r="E75" s="13" t="n"/>
      <c r="F75" s="11" t="n"/>
      <c r="G75" s="11" t="n"/>
      <c r="H75" s="11">
        <f>IFERROR(SQRT(F75^2+G75^2),"")</f>
        <v/>
      </c>
      <c r="I75" s="11">
        <f>IFERROR((E75*12)/PlumbRatio,"")</f>
        <v/>
      </c>
      <c r="J75" s="10">
        <f>IF(OR(H75="",I75=""),"",IF(H75&lt;=I75,"OK","OUT"))</f>
        <v/>
      </c>
      <c r="K75" s="10" t="n"/>
      <c r="L75" s="10" t="n"/>
      <c r="M75" s="12" t="n"/>
      <c r="N75" s="10" t="n"/>
    </row>
    <row r="76">
      <c r="A76" s="12" t="n"/>
      <c r="B76" s="10" t="n"/>
      <c r="C76" s="10" t="n"/>
      <c r="D76" s="10" t="n"/>
      <c r="E76" s="13" t="n"/>
      <c r="F76" s="11" t="n"/>
      <c r="G76" s="11" t="n"/>
      <c r="H76" s="11">
        <f>IFERROR(SQRT(F76^2+G76^2),"")</f>
        <v/>
      </c>
      <c r="I76" s="11">
        <f>IFERROR((E76*12)/PlumbRatio,"")</f>
        <v/>
      </c>
      <c r="J76" s="10">
        <f>IF(OR(H76="",I76=""),"",IF(H76&lt;=I76,"OK","OUT"))</f>
        <v/>
      </c>
      <c r="K76" s="10" t="n"/>
      <c r="L76" s="10" t="n"/>
      <c r="M76" s="12" t="n"/>
      <c r="N76" s="10" t="n"/>
    </row>
    <row r="77">
      <c r="A77" s="12" t="n"/>
      <c r="B77" s="10" t="n"/>
      <c r="C77" s="10" t="n"/>
      <c r="D77" s="10" t="n"/>
      <c r="E77" s="13" t="n"/>
      <c r="F77" s="11" t="n"/>
      <c r="G77" s="11" t="n"/>
      <c r="H77" s="11">
        <f>IFERROR(SQRT(F77^2+G77^2),"")</f>
        <v/>
      </c>
      <c r="I77" s="11">
        <f>IFERROR((E77*12)/PlumbRatio,"")</f>
        <v/>
      </c>
      <c r="J77" s="10">
        <f>IF(OR(H77="",I77=""),"",IF(H77&lt;=I77,"OK","OUT"))</f>
        <v/>
      </c>
      <c r="K77" s="10" t="n"/>
      <c r="L77" s="10" t="n"/>
      <c r="M77" s="12" t="n"/>
      <c r="N77" s="10" t="n"/>
    </row>
    <row r="78">
      <c r="A78" s="12" t="n"/>
      <c r="B78" s="10" t="n"/>
      <c r="C78" s="10" t="n"/>
      <c r="D78" s="10" t="n"/>
      <c r="E78" s="13" t="n"/>
      <c r="F78" s="11" t="n"/>
      <c r="G78" s="11" t="n"/>
      <c r="H78" s="11">
        <f>IFERROR(SQRT(F78^2+G78^2),"")</f>
        <v/>
      </c>
      <c r="I78" s="11">
        <f>IFERROR((E78*12)/PlumbRatio,"")</f>
        <v/>
      </c>
      <c r="J78" s="10">
        <f>IF(OR(H78="",I78=""),"",IF(H78&lt;=I78,"OK","OUT"))</f>
        <v/>
      </c>
      <c r="K78" s="10" t="n"/>
      <c r="L78" s="10" t="n"/>
      <c r="M78" s="12" t="n"/>
      <c r="N78" s="10" t="n"/>
    </row>
    <row r="79">
      <c r="A79" s="12" t="n"/>
      <c r="B79" s="10" t="n"/>
      <c r="C79" s="10" t="n"/>
      <c r="D79" s="10" t="n"/>
      <c r="E79" s="13" t="n"/>
      <c r="F79" s="11" t="n"/>
      <c r="G79" s="11" t="n"/>
      <c r="H79" s="11">
        <f>IFERROR(SQRT(F79^2+G79^2),"")</f>
        <v/>
      </c>
      <c r="I79" s="11">
        <f>IFERROR((E79*12)/PlumbRatio,"")</f>
        <v/>
      </c>
      <c r="J79" s="10">
        <f>IF(OR(H79="",I79=""),"",IF(H79&lt;=I79,"OK","OUT"))</f>
        <v/>
      </c>
      <c r="K79" s="10" t="n"/>
      <c r="L79" s="10" t="n"/>
      <c r="M79" s="12" t="n"/>
      <c r="N79" s="10" t="n"/>
    </row>
    <row r="80">
      <c r="A80" s="12" t="n"/>
      <c r="B80" s="10" t="n"/>
      <c r="C80" s="10" t="n"/>
      <c r="D80" s="10" t="n"/>
      <c r="E80" s="13" t="n"/>
      <c r="F80" s="11" t="n"/>
      <c r="G80" s="11" t="n"/>
      <c r="H80" s="11">
        <f>IFERROR(SQRT(F80^2+G80^2),"")</f>
        <v/>
      </c>
      <c r="I80" s="11">
        <f>IFERROR((E80*12)/PlumbRatio,"")</f>
        <v/>
      </c>
      <c r="J80" s="10">
        <f>IF(OR(H80="",I80=""),"",IF(H80&lt;=I80,"OK","OUT"))</f>
        <v/>
      </c>
      <c r="K80" s="10" t="n"/>
      <c r="L80" s="10" t="n"/>
      <c r="M80" s="12" t="n"/>
      <c r="N80" s="10" t="n"/>
    </row>
    <row r="81">
      <c r="A81" s="12" t="n"/>
      <c r="B81" s="10" t="n"/>
      <c r="C81" s="10" t="n"/>
      <c r="D81" s="10" t="n"/>
      <c r="E81" s="13" t="n"/>
      <c r="F81" s="11" t="n"/>
      <c r="G81" s="11" t="n"/>
      <c r="H81" s="11">
        <f>IFERROR(SQRT(F81^2+G81^2),"")</f>
        <v/>
      </c>
      <c r="I81" s="11">
        <f>IFERROR((E81*12)/PlumbRatio,"")</f>
        <v/>
      </c>
      <c r="J81" s="10">
        <f>IF(OR(H81="",I81=""),"",IF(H81&lt;=I81,"OK","OUT"))</f>
        <v/>
      </c>
      <c r="K81" s="10" t="n"/>
      <c r="L81" s="10" t="n"/>
      <c r="M81" s="12" t="n"/>
      <c r="N81" s="10" t="n"/>
    </row>
    <row r="82">
      <c r="A82" s="12" t="n"/>
      <c r="B82" s="10" t="n"/>
      <c r="C82" s="10" t="n"/>
      <c r="D82" s="10" t="n"/>
      <c r="E82" s="13" t="n"/>
      <c r="F82" s="11" t="n"/>
      <c r="G82" s="11" t="n"/>
      <c r="H82" s="11">
        <f>IFERROR(SQRT(F82^2+G82^2),"")</f>
        <v/>
      </c>
      <c r="I82" s="11">
        <f>IFERROR((E82*12)/PlumbRatio,"")</f>
        <v/>
      </c>
      <c r="J82" s="10">
        <f>IF(OR(H82="",I82=""),"",IF(H82&lt;=I82,"OK","OUT"))</f>
        <v/>
      </c>
      <c r="K82" s="10" t="n"/>
      <c r="L82" s="10" t="n"/>
      <c r="M82" s="12" t="n"/>
      <c r="N82" s="10" t="n"/>
    </row>
    <row r="83">
      <c r="A83" s="12" t="n"/>
      <c r="B83" s="10" t="n"/>
      <c r="C83" s="10" t="n"/>
      <c r="D83" s="10" t="n"/>
      <c r="E83" s="13" t="n"/>
      <c r="F83" s="11" t="n"/>
      <c r="G83" s="11" t="n"/>
      <c r="H83" s="11">
        <f>IFERROR(SQRT(F83^2+G83^2),"")</f>
        <v/>
      </c>
      <c r="I83" s="11">
        <f>IFERROR((E83*12)/PlumbRatio,"")</f>
        <v/>
      </c>
      <c r="J83" s="10">
        <f>IF(OR(H83="",I83=""),"",IF(H83&lt;=I83,"OK","OUT"))</f>
        <v/>
      </c>
      <c r="K83" s="10" t="n"/>
      <c r="L83" s="10" t="n"/>
      <c r="M83" s="12" t="n"/>
      <c r="N83" s="10" t="n"/>
    </row>
    <row r="84">
      <c r="A84" s="12" t="n"/>
      <c r="B84" s="10" t="n"/>
      <c r="C84" s="10" t="n"/>
      <c r="D84" s="10" t="n"/>
      <c r="E84" s="13" t="n"/>
      <c r="F84" s="11" t="n"/>
      <c r="G84" s="11" t="n"/>
      <c r="H84" s="11">
        <f>IFERROR(SQRT(F84^2+G84^2),"")</f>
        <v/>
      </c>
      <c r="I84" s="11">
        <f>IFERROR((E84*12)/PlumbRatio,"")</f>
        <v/>
      </c>
      <c r="J84" s="10">
        <f>IF(OR(H84="",I84=""),"",IF(H84&lt;=I84,"OK","OUT"))</f>
        <v/>
      </c>
      <c r="K84" s="10" t="n"/>
      <c r="L84" s="10" t="n"/>
      <c r="M84" s="12" t="n"/>
      <c r="N84" s="10" t="n"/>
    </row>
    <row r="85">
      <c r="A85" s="12" t="n"/>
      <c r="B85" s="10" t="n"/>
      <c r="C85" s="10" t="n"/>
      <c r="D85" s="10" t="n"/>
      <c r="E85" s="13" t="n"/>
      <c r="F85" s="11" t="n"/>
      <c r="G85" s="11" t="n"/>
      <c r="H85" s="11">
        <f>IFERROR(SQRT(F85^2+G85^2),"")</f>
        <v/>
      </c>
      <c r="I85" s="11">
        <f>IFERROR((E85*12)/PlumbRatio,"")</f>
        <v/>
      </c>
      <c r="J85" s="10">
        <f>IF(OR(H85="",I85=""),"",IF(H85&lt;=I85,"OK","OUT"))</f>
        <v/>
      </c>
      <c r="K85" s="10" t="n"/>
      <c r="L85" s="10" t="n"/>
      <c r="M85" s="12" t="n"/>
      <c r="N85" s="10" t="n"/>
    </row>
    <row r="86">
      <c r="A86" s="12" t="n"/>
      <c r="B86" s="10" t="n"/>
      <c r="C86" s="10" t="n"/>
      <c r="D86" s="10" t="n"/>
      <c r="E86" s="13" t="n"/>
      <c r="F86" s="11" t="n"/>
      <c r="G86" s="11" t="n"/>
      <c r="H86" s="11">
        <f>IFERROR(SQRT(F86^2+G86^2),"")</f>
        <v/>
      </c>
      <c r="I86" s="11">
        <f>IFERROR((E86*12)/PlumbRatio,"")</f>
        <v/>
      </c>
      <c r="J86" s="10">
        <f>IF(OR(H86="",I86=""),"",IF(H86&lt;=I86,"OK","OUT"))</f>
        <v/>
      </c>
      <c r="K86" s="10" t="n"/>
      <c r="L86" s="10" t="n"/>
      <c r="M86" s="12" t="n"/>
      <c r="N86" s="10" t="n"/>
    </row>
    <row r="87">
      <c r="A87" s="12" t="n"/>
      <c r="B87" s="10" t="n"/>
      <c r="C87" s="10" t="n"/>
      <c r="D87" s="10" t="n"/>
      <c r="E87" s="13" t="n"/>
      <c r="F87" s="11" t="n"/>
      <c r="G87" s="11" t="n"/>
      <c r="H87" s="11">
        <f>IFERROR(SQRT(F87^2+G87^2),"")</f>
        <v/>
      </c>
      <c r="I87" s="11">
        <f>IFERROR((E87*12)/PlumbRatio,"")</f>
        <v/>
      </c>
      <c r="J87" s="10">
        <f>IF(OR(H87="",I87=""),"",IF(H87&lt;=I87,"OK","OUT"))</f>
        <v/>
      </c>
      <c r="K87" s="10" t="n"/>
      <c r="L87" s="10" t="n"/>
      <c r="M87" s="12" t="n"/>
      <c r="N87" s="10" t="n"/>
    </row>
    <row r="88">
      <c r="A88" s="12" t="n"/>
      <c r="B88" s="10" t="n"/>
      <c r="C88" s="10" t="n"/>
      <c r="D88" s="10" t="n"/>
      <c r="E88" s="13" t="n"/>
      <c r="F88" s="11" t="n"/>
      <c r="G88" s="11" t="n"/>
      <c r="H88" s="11">
        <f>IFERROR(SQRT(F88^2+G88^2),"")</f>
        <v/>
      </c>
      <c r="I88" s="11">
        <f>IFERROR((E88*12)/PlumbRatio,"")</f>
        <v/>
      </c>
      <c r="J88" s="10">
        <f>IF(OR(H88="",I88=""),"",IF(H88&lt;=I88,"OK","OUT"))</f>
        <v/>
      </c>
      <c r="K88" s="10" t="n"/>
      <c r="L88" s="10" t="n"/>
      <c r="M88" s="12" t="n"/>
      <c r="N88" s="10" t="n"/>
    </row>
    <row r="89">
      <c r="A89" s="12" t="n"/>
      <c r="B89" s="10" t="n"/>
      <c r="C89" s="10" t="n"/>
      <c r="D89" s="10" t="n"/>
      <c r="E89" s="13" t="n"/>
      <c r="F89" s="11" t="n"/>
      <c r="G89" s="11" t="n"/>
      <c r="H89" s="11">
        <f>IFERROR(SQRT(F89^2+G89^2),"")</f>
        <v/>
      </c>
      <c r="I89" s="11">
        <f>IFERROR((E89*12)/PlumbRatio,"")</f>
        <v/>
      </c>
      <c r="J89" s="10">
        <f>IF(OR(H89="",I89=""),"",IF(H89&lt;=I89,"OK","OUT"))</f>
        <v/>
      </c>
      <c r="K89" s="10" t="n"/>
      <c r="L89" s="10" t="n"/>
      <c r="M89" s="12" t="n"/>
      <c r="N89" s="10" t="n"/>
    </row>
    <row r="90">
      <c r="A90" s="12" t="n"/>
      <c r="B90" s="10" t="n"/>
      <c r="C90" s="10" t="n"/>
      <c r="D90" s="10" t="n"/>
      <c r="E90" s="13" t="n"/>
      <c r="F90" s="11" t="n"/>
      <c r="G90" s="11" t="n"/>
      <c r="H90" s="11">
        <f>IFERROR(SQRT(F90^2+G90^2),"")</f>
        <v/>
      </c>
      <c r="I90" s="11">
        <f>IFERROR((E90*12)/PlumbRatio,"")</f>
        <v/>
      </c>
      <c r="J90" s="10">
        <f>IF(OR(H90="",I90=""),"",IF(H90&lt;=I90,"OK","OUT"))</f>
        <v/>
      </c>
      <c r="K90" s="10" t="n"/>
      <c r="L90" s="10" t="n"/>
      <c r="M90" s="12" t="n"/>
      <c r="N90" s="10" t="n"/>
    </row>
    <row r="91">
      <c r="A91" s="12" t="n"/>
      <c r="B91" s="10" t="n"/>
      <c r="C91" s="10" t="n"/>
      <c r="D91" s="10" t="n"/>
      <c r="E91" s="13" t="n"/>
      <c r="F91" s="11" t="n"/>
      <c r="G91" s="11" t="n"/>
      <c r="H91" s="11">
        <f>IFERROR(SQRT(F91^2+G91^2),"")</f>
        <v/>
      </c>
      <c r="I91" s="11">
        <f>IFERROR((E91*12)/PlumbRatio,"")</f>
        <v/>
      </c>
      <c r="J91" s="10">
        <f>IF(OR(H91="",I91=""),"",IF(H91&lt;=I91,"OK","OUT"))</f>
        <v/>
      </c>
      <c r="K91" s="10" t="n"/>
      <c r="L91" s="10" t="n"/>
      <c r="M91" s="12" t="n"/>
      <c r="N91" s="10" t="n"/>
    </row>
    <row r="92">
      <c r="A92" s="12" t="n"/>
      <c r="B92" s="10" t="n"/>
      <c r="C92" s="10" t="n"/>
      <c r="D92" s="10" t="n"/>
      <c r="E92" s="13" t="n"/>
      <c r="F92" s="11" t="n"/>
      <c r="G92" s="11" t="n"/>
      <c r="H92" s="11">
        <f>IFERROR(SQRT(F92^2+G92^2),"")</f>
        <v/>
      </c>
      <c r="I92" s="11">
        <f>IFERROR((E92*12)/PlumbRatio,"")</f>
        <v/>
      </c>
      <c r="J92" s="10">
        <f>IF(OR(H92="",I92=""),"",IF(H92&lt;=I92,"OK","OUT"))</f>
        <v/>
      </c>
      <c r="K92" s="10" t="n"/>
      <c r="L92" s="10" t="n"/>
      <c r="M92" s="12" t="n"/>
      <c r="N92" s="10" t="n"/>
    </row>
    <row r="93">
      <c r="A93" s="12" t="n"/>
      <c r="B93" s="10" t="n"/>
      <c r="C93" s="10" t="n"/>
      <c r="D93" s="10" t="n"/>
      <c r="E93" s="13" t="n"/>
      <c r="F93" s="11" t="n"/>
      <c r="G93" s="11" t="n"/>
      <c r="H93" s="11">
        <f>IFERROR(SQRT(F93^2+G93^2),"")</f>
        <v/>
      </c>
      <c r="I93" s="11">
        <f>IFERROR((E93*12)/PlumbRatio,"")</f>
        <v/>
      </c>
      <c r="J93" s="10">
        <f>IF(OR(H93="",I93=""),"",IF(H93&lt;=I93,"OK","OUT"))</f>
        <v/>
      </c>
      <c r="K93" s="10" t="n"/>
      <c r="L93" s="10" t="n"/>
      <c r="M93" s="12" t="n"/>
      <c r="N93" s="10" t="n"/>
    </row>
    <row r="94">
      <c r="A94" s="12" t="n"/>
      <c r="B94" s="10" t="n"/>
      <c r="C94" s="10" t="n"/>
      <c r="D94" s="10" t="n"/>
      <c r="E94" s="13" t="n"/>
      <c r="F94" s="11" t="n"/>
      <c r="G94" s="11" t="n"/>
      <c r="H94" s="11">
        <f>IFERROR(SQRT(F94^2+G94^2),"")</f>
        <v/>
      </c>
      <c r="I94" s="11">
        <f>IFERROR((E94*12)/PlumbRatio,"")</f>
        <v/>
      </c>
      <c r="J94" s="10">
        <f>IF(OR(H94="",I94=""),"",IF(H94&lt;=I94,"OK","OUT"))</f>
        <v/>
      </c>
      <c r="K94" s="10" t="n"/>
      <c r="L94" s="10" t="n"/>
      <c r="M94" s="12" t="n"/>
      <c r="N94" s="10" t="n"/>
    </row>
    <row r="95">
      <c r="A95" s="12" t="n"/>
      <c r="B95" s="10" t="n"/>
      <c r="C95" s="10" t="n"/>
      <c r="D95" s="10" t="n"/>
      <c r="E95" s="13" t="n"/>
      <c r="F95" s="11" t="n"/>
      <c r="G95" s="11" t="n"/>
      <c r="H95" s="11">
        <f>IFERROR(SQRT(F95^2+G95^2),"")</f>
        <v/>
      </c>
      <c r="I95" s="11">
        <f>IFERROR((E95*12)/PlumbRatio,"")</f>
        <v/>
      </c>
      <c r="J95" s="10">
        <f>IF(OR(H95="",I95=""),"",IF(H95&lt;=I95,"OK","OUT"))</f>
        <v/>
      </c>
      <c r="K95" s="10" t="n"/>
      <c r="L95" s="10" t="n"/>
      <c r="M95" s="12" t="n"/>
      <c r="N95" s="10" t="n"/>
    </row>
    <row r="96">
      <c r="A96" s="12" t="n"/>
      <c r="B96" s="10" t="n"/>
      <c r="C96" s="10" t="n"/>
      <c r="D96" s="10" t="n"/>
      <c r="E96" s="13" t="n"/>
      <c r="F96" s="11" t="n"/>
      <c r="G96" s="11" t="n"/>
      <c r="H96" s="11">
        <f>IFERROR(SQRT(F96^2+G96^2),"")</f>
        <v/>
      </c>
      <c r="I96" s="11">
        <f>IFERROR((E96*12)/PlumbRatio,"")</f>
        <v/>
      </c>
      <c r="J96" s="10">
        <f>IF(OR(H96="",I96=""),"",IF(H96&lt;=I96,"OK","OUT"))</f>
        <v/>
      </c>
      <c r="K96" s="10" t="n"/>
      <c r="L96" s="10" t="n"/>
      <c r="M96" s="12" t="n"/>
      <c r="N96" s="10" t="n"/>
    </row>
    <row r="97">
      <c r="A97" s="12" t="n"/>
      <c r="B97" s="10" t="n"/>
      <c r="C97" s="10" t="n"/>
      <c r="D97" s="10" t="n"/>
      <c r="E97" s="13" t="n"/>
      <c r="F97" s="11" t="n"/>
      <c r="G97" s="11" t="n"/>
      <c r="H97" s="11">
        <f>IFERROR(SQRT(F97^2+G97^2),"")</f>
        <v/>
      </c>
      <c r="I97" s="11">
        <f>IFERROR((E97*12)/PlumbRatio,"")</f>
        <v/>
      </c>
      <c r="J97" s="10">
        <f>IF(OR(H97="",I97=""),"",IF(H97&lt;=I97,"OK","OUT"))</f>
        <v/>
      </c>
      <c r="K97" s="10" t="n"/>
      <c r="L97" s="10" t="n"/>
      <c r="M97" s="12" t="n"/>
      <c r="N97" s="10" t="n"/>
    </row>
    <row r="98">
      <c r="A98" s="12" t="n"/>
      <c r="B98" s="10" t="n"/>
      <c r="C98" s="10" t="n"/>
      <c r="D98" s="10" t="n"/>
      <c r="E98" s="13" t="n"/>
      <c r="F98" s="11" t="n"/>
      <c r="G98" s="11" t="n"/>
      <c r="H98" s="11">
        <f>IFERROR(SQRT(F98^2+G98^2),"")</f>
        <v/>
      </c>
      <c r="I98" s="11">
        <f>IFERROR((E98*12)/PlumbRatio,"")</f>
        <v/>
      </c>
      <c r="J98" s="10">
        <f>IF(OR(H98="",I98=""),"",IF(H98&lt;=I98,"OK","OUT"))</f>
        <v/>
      </c>
      <c r="K98" s="10" t="n"/>
      <c r="L98" s="10" t="n"/>
      <c r="M98" s="12" t="n"/>
      <c r="N98" s="10" t="n"/>
    </row>
    <row r="99">
      <c r="A99" s="12" t="n"/>
      <c r="B99" s="10" t="n"/>
      <c r="C99" s="10" t="n"/>
      <c r="D99" s="10" t="n"/>
      <c r="E99" s="13" t="n"/>
      <c r="F99" s="11" t="n"/>
      <c r="G99" s="11" t="n"/>
      <c r="H99" s="11">
        <f>IFERROR(SQRT(F99^2+G99^2),"")</f>
        <v/>
      </c>
      <c r="I99" s="11">
        <f>IFERROR((E99*12)/PlumbRatio,"")</f>
        <v/>
      </c>
      <c r="J99" s="10">
        <f>IF(OR(H99="",I99=""),"",IF(H99&lt;=I99,"OK","OUT"))</f>
        <v/>
      </c>
      <c r="K99" s="10" t="n"/>
      <c r="L99" s="10" t="n"/>
      <c r="M99" s="12" t="n"/>
      <c r="N99" s="10" t="n"/>
    </row>
    <row r="100">
      <c r="A100" s="12" t="n"/>
      <c r="B100" s="10" t="n"/>
      <c r="C100" s="10" t="n"/>
      <c r="D100" s="10" t="n"/>
      <c r="E100" s="13" t="n"/>
      <c r="F100" s="11" t="n"/>
      <c r="G100" s="11" t="n"/>
      <c r="H100" s="11">
        <f>IFERROR(SQRT(F100^2+G100^2),"")</f>
        <v/>
      </c>
      <c r="I100" s="11">
        <f>IFERROR((E100*12)/PlumbRatio,"")</f>
        <v/>
      </c>
      <c r="J100" s="10">
        <f>IF(OR(H100="",I100=""),"",IF(H100&lt;=I100,"OK","OUT"))</f>
        <v/>
      </c>
      <c r="K100" s="10" t="n"/>
      <c r="L100" s="10" t="n"/>
      <c r="M100" s="12" t="n"/>
      <c r="N100" s="10" t="n"/>
    </row>
    <row r="101">
      <c r="A101" s="12" t="n"/>
      <c r="B101" s="10" t="n"/>
      <c r="C101" s="10" t="n"/>
      <c r="D101" s="10" t="n"/>
      <c r="E101" s="13" t="n"/>
      <c r="F101" s="11" t="n"/>
      <c r="G101" s="11" t="n"/>
      <c r="H101" s="11">
        <f>IFERROR(SQRT(F101^2+G101^2),"")</f>
        <v/>
      </c>
      <c r="I101" s="11">
        <f>IFERROR((E101*12)/PlumbRatio,"")</f>
        <v/>
      </c>
      <c r="J101" s="10">
        <f>IF(OR(H101="",I101=""),"",IF(H101&lt;=I101,"OK","OUT"))</f>
        <v/>
      </c>
      <c r="K101" s="10" t="n"/>
      <c r="L101" s="10" t="n"/>
      <c r="M101" s="12" t="n"/>
      <c r="N101" s="10" t="n"/>
    </row>
    <row r="102">
      <c r="A102" s="12" t="n"/>
      <c r="B102" s="10" t="n"/>
      <c r="C102" s="10" t="n"/>
      <c r="D102" s="10" t="n"/>
      <c r="E102" s="13" t="n"/>
      <c r="F102" s="11" t="n"/>
      <c r="G102" s="11" t="n"/>
      <c r="H102" s="11">
        <f>IFERROR(SQRT(F102^2+G102^2),"")</f>
        <v/>
      </c>
      <c r="I102" s="11">
        <f>IFERROR((E102*12)/PlumbRatio,"")</f>
        <v/>
      </c>
      <c r="J102" s="10">
        <f>IF(OR(H102="",I102=""),"",IF(H102&lt;=I102,"OK","OUT"))</f>
        <v/>
      </c>
      <c r="K102" s="10" t="n"/>
      <c r="L102" s="10" t="n"/>
      <c r="M102" s="12" t="n"/>
      <c r="N102" s="10" t="n"/>
    </row>
    <row r="103">
      <c r="A103" s="12" t="n"/>
      <c r="B103" s="10" t="n"/>
      <c r="C103" s="10" t="n"/>
      <c r="D103" s="10" t="n"/>
      <c r="E103" s="13" t="n"/>
      <c r="F103" s="11" t="n"/>
      <c r="G103" s="11" t="n"/>
      <c r="H103" s="11">
        <f>IFERROR(SQRT(F103^2+G103^2),"")</f>
        <v/>
      </c>
      <c r="I103" s="11">
        <f>IFERROR((E103*12)/PlumbRatio,"")</f>
        <v/>
      </c>
      <c r="J103" s="10">
        <f>IF(OR(H103="",I103=""),"",IF(H103&lt;=I103,"OK","OUT"))</f>
        <v/>
      </c>
      <c r="K103" s="10" t="n"/>
      <c r="L103" s="10" t="n"/>
      <c r="M103" s="12" t="n"/>
      <c r="N103" s="10" t="n"/>
    </row>
    <row r="104">
      <c r="A104" s="12" t="n"/>
      <c r="B104" s="10" t="n"/>
      <c r="C104" s="10" t="n"/>
      <c r="D104" s="10" t="n"/>
      <c r="E104" s="13" t="n"/>
      <c r="F104" s="11" t="n"/>
      <c r="G104" s="11" t="n"/>
      <c r="H104" s="11">
        <f>IFERROR(SQRT(F104^2+G104^2),"")</f>
        <v/>
      </c>
      <c r="I104" s="11">
        <f>IFERROR((E104*12)/PlumbRatio,"")</f>
        <v/>
      </c>
      <c r="J104" s="10">
        <f>IF(OR(H104="",I104=""),"",IF(H104&lt;=I104,"OK","OUT"))</f>
        <v/>
      </c>
      <c r="K104" s="10" t="n"/>
      <c r="L104" s="10" t="n"/>
      <c r="M104" s="12" t="n"/>
      <c r="N104" s="10" t="n"/>
    </row>
    <row r="105">
      <c r="A105" s="12" t="n"/>
      <c r="B105" s="10" t="n"/>
      <c r="C105" s="10" t="n"/>
      <c r="D105" s="10" t="n"/>
      <c r="E105" s="13" t="n"/>
      <c r="F105" s="11" t="n"/>
      <c r="G105" s="11" t="n"/>
      <c r="H105" s="11">
        <f>IFERROR(SQRT(F105^2+G105^2),"")</f>
        <v/>
      </c>
      <c r="I105" s="11">
        <f>IFERROR((E105*12)/PlumbRatio,"")</f>
        <v/>
      </c>
      <c r="J105" s="10">
        <f>IF(OR(H105="",I105=""),"",IF(H105&lt;=I105,"OK","OUT"))</f>
        <v/>
      </c>
      <c r="K105" s="10" t="n"/>
      <c r="L105" s="10" t="n"/>
      <c r="M105" s="12" t="n"/>
      <c r="N105" s="10" t="n"/>
    </row>
    <row r="106">
      <c r="A106" s="12" t="n"/>
      <c r="B106" s="10" t="n"/>
      <c r="C106" s="10" t="n"/>
      <c r="D106" s="10" t="n"/>
      <c r="E106" s="13" t="n"/>
      <c r="F106" s="11" t="n"/>
      <c r="G106" s="11" t="n"/>
      <c r="H106" s="11">
        <f>IFERROR(SQRT(F106^2+G106^2),"")</f>
        <v/>
      </c>
      <c r="I106" s="11">
        <f>IFERROR((E106*12)/PlumbRatio,"")</f>
        <v/>
      </c>
      <c r="J106" s="10">
        <f>IF(OR(H106="",I106=""),"",IF(H106&lt;=I106,"OK","OUT"))</f>
        <v/>
      </c>
      <c r="K106" s="10" t="n"/>
      <c r="L106" s="10" t="n"/>
      <c r="M106" s="12" t="n"/>
      <c r="N106" s="10" t="n"/>
    </row>
    <row r="107">
      <c r="A107" s="12" t="n"/>
      <c r="B107" s="10" t="n"/>
      <c r="C107" s="10" t="n"/>
      <c r="D107" s="10" t="n"/>
      <c r="E107" s="13" t="n"/>
      <c r="F107" s="11" t="n"/>
      <c r="G107" s="11" t="n"/>
      <c r="H107" s="11">
        <f>IFERROR(SQRT(F107^2+G107^2),"")</f>
        <v/>
      </c>
      <c r="I107" s="11">
        <f>IFERROR((E107*12)/PlumbRatio,"")</f>
        <v/>
      </c>
      <c r="J107" s="10">
        <f>IF(OR(H107="",I107=""),"",IF(H107&lt;=I107,"OK","OUT"))</f>
        <v/>
      </c>
      <c r="K107" s="10" t="n"/>
      <c r="L107" s="10" t="n"/>
      <c r="M107" s="12" t="n"/>
      <c r="N107" s="10" t="n"/>
    </row>
    <row r="108">
      <c r="A108" s="12" t="n"/>
      <c r="B108" s="10" t="n"/>
      <c r="C108" s="10" t="n"/>
      <c r="D108" s="10" t="n"/>
      <c r="E108" s="13" t="n"/>
      <c r="F108" s="11" t="n"/>
      <c r="G108" s="11" t="n"/>
      <c r="H108" s="11">
        <f>IFERROR(SQRT(F108^2+G108^2),"")</f>
        <v/>
      </c>
      <c r="I108" s="11">
        <f>IFERROR((E108*12)/PlumbRatio,"")</f>
        <v/>
      </c>
      <c r="J108" s="10">
        <f>IF(OR(H108="",I108=""),"",IF(H108&lt;=I108,"OK","OUT"))</f>
        <v/>
      </c>
      <c r="K108" s="10" t="n"/>
      <c r="L108" s="10" t="n"/>
      <c r="M108" s="12" t="n"/>
      <c r="N108" s="10" t="n"/>
    </row>
    <row r="109">
      <c r="A109" s="12" t="n"/>
      <c r="B109" s="10" t="n"/>
      <c r="C109" s="10" t="n"/>
      <c r="D109" s="10" t="n"/>
      <c r="E109" s="13" t="n"/>
      <c r="F109" s="11" t="n"/>
      <c r="G109" s="11" t="n"/>
      <c r="H109" s="11">
        <f>IFERROR(SQRT(F109^2+G109^2),"")</f>
        <v/>
      </c>
      <c r="I109" s="11">
        <f>IFERROR((E109*12)/PlumbRatio,"")</f>
        <v/>
      </c>
      <c r="J109" s="10">
        <f>IF(OR(H109="",I109=""),"",IF(H109&lt;=I109,"OK","OUT"))</f>
        <v/>
      </c>
      <c r="K109" s="10" t="n"/>
      <c r="L109" s="10" t="n"/>
      <c r="M109" s="12" t="n"/>
      <c r="N109" s="10" t="n"/>
    </row>
    <row r="110">
      <c r="A110" s="12" t="n"/>
      <c r="B110" s="10" t="n"/>
      <c r="C110" s="10" t="n"/>
      <c r="D110" s="10" t="n"/>
      <c r="E110" s="13" t="n"/>
      <c r="F110" s="11" t="n"/>
      <c r="G110" s="11" t="n"/>
      <c r="H110" s="11">
        <f>IFERROR(SQRT(F110^2+G110^2),"")</f>
        <v/>
      </c>
      <c r="I110" s="11">
        <f>IFERROR((E110*12)/PlumbRatio,"")</f>
        <v/>
      </c>
      <c r="J110" s="10">
        <f>IF(OR(H110="",I110=""),"",IF(H110&lt;=I110,"OK","OUT"))</f>
        <v/>
      </c>
      <c r="K110" s="10" t="n"/>
      <c r="L110" s="10" t="n"/>
      <c r="M110" s="12" t="n"/>
      <c r="N110" s="10" t="n"/>
    </row>
    <row r="111">
      <c r="A111" s="12" t="n"/>
      <c r="B111" s="10" t="n"/>
      <c r="C111" s="10" t="n"/>
      <c r="D111" s="10" t="n"/>
      <c r="E111" s="13" t="n"/>
      <c r="F111" s="11" t="n"/>
      <c r="G111" s="11" t="n"/>
      <c r="H111" s="11">
        <f>IFERROR(SQRT(F111^2+G111^2),"")</f>
        <v/>
      </c>
      <c r="I111" s="11">
        <f>IFERROR((E111*12)/PlumbRatio,"")</f>
        <v/>
      </c>
      <c r="J111" s="10">
        <f>IF(OR(H111="",I111=""),"",IF(H111&lt;=I111,"OK","OUT"))</f>
        <v/>
      </c>
      <c r="K111" s="10" t="n"/>
      <c r="L111" s="10" t="n"/>
      <c r="M111" s="12" t="n"/>
      <c r="N111" s="10" t="n"/>
    </row>
    <row r="112">
      <c r="A112" s="12" t="n"/>
      <c r="B112" s="10" t="n"/>
      <c r="C112" s="10" t="n"/>
      <c r="D112" s="10" t="n"/>
      <c r="E112" s="13" t="n"/>
      <c r="F112" s="11" t="n"/>
      <c r="G112" s="11" t="n"/>
      <c r="H112" s="11">
        <f>IFERROR(SQRT(F112^2+G112^2),"")</f>
        <v/>
      </c>
      <c r="I112" s="11">
        <f>IFERROR((E112*12)/PlumbRatio,"")</f>
        <v/>
      </c>
      <c r="J112" s="10">
        <f>IF(OR(H112="",I112=""),"",IF(H112&lt;=I112,"OK","OUT"))</f>
        <v/>
      </c>
      <c r="K112" s="10" t="n"/>
      <c r="L112" s="10" t="n"/>
      <c r="M112" s="12" t="n"/>
      <c r="N112" s="10" t="n"/>
    </row>
    <row r="113">
      <c r="A113" s="12" t="n"/>
      <c r="B113" s="10" t="n"/>
      <c r="C113" s="10" t="n"/>
      <c r="D113" s="10" t="n"/>
      <c r="E113" s="13" t="n"/>
      <c r="F113" s="11" t="n"/>
      <c r="G113" s="11" t="n"/>
      <c r="H113" s="11">
        <f>IFERROR(SQRT(F113^2+G113^2),"")</f>
        <v/>
      </c>
      <c r="I113" s="11">
        <f>IFERROR((E113*12)/PlumbRatio,"")</f>
        <v/>
      </c>
      <c r="J113" s="10">
        <f>IF(OR(H113="",I113=""),"",IF(H113&lt;=I113,"OK","OUT"))</f>
        <v/>
      </c>
      <c r="K113" s="10" t="n"/>
      <c r="L113" s="10" t="n"/>
      <c r="M113" s="12" t="n"/>
      <c r="N113" s="10" t="n"/>
    </row>
    <row r="114">
      <c r="A114" s="12" t="n"/>
      <c r="B114" s="10" t="n"/>
      <c r="C114" s="10" t="n"/>
      <c r="D114" s="10" t="n"/>
      <c r="E114" s="13" t="n"/>
      <c r="F114" s="11" t="n"/>
      <c r="G114" s="11" t="n"/>
      <c r="H114" s="11">
        <f>IFERROR(SQRT(F114^2+G114^2),"")</f>
        <v/>
      </c>
      <c r="I114" s="11">
        <f>IFERROR((E114*12)/PlumbRatio,"")</f>
        <v/>
      </c>
      <c r="J114" s="10">
        <f>IF(OR(H114="",I114=""),"",IF(H114&lt;=I114,"OK","OUT"))</f>
        <v/>
      </c>
      <c r="K114" s="10" t="n"/>
      <c r="L114" s="10" t="n"/>
      <c r="M114" s="12" t="n"/>
      <c r="N114" s="10" t="n"/>
    </row>
    <row r="115">
      <c r="A115" s="12" t="n"/>
      <c r="B115" s="10" t="n"/>
      <c r="C115" s="10" t="n"/>
      <c r="D115" s="10" t="n"/>
      <c r="E115" s="13" t="n"/>
      <c r="F115" s="11" t="n"/>
      <c r="G115" s="11" t="n"/>
      <c r="H115" s="11">
        <f>IFERROR(SQRT(F115^2+G115^2),"")</f>
        <v/>
      </c>
      <c r="I115" s="11">
        <f>IFERROR((E115*12)/PlumbRatio,"")</f>
        <v/>
      </c>
      <c r="J115" s="10">
        <f>IF(OR(H115="",I115=""),"",IF(H115&lt;=I115,"OK","OUT"))</f>
        <v/>
      </c>
      <c r="K115" s="10" t="n"/>
      <c r="L115" s="10" t="n"/>
      <c r="M115" s="12" t="n"/>
      <c r="N115" s="10" t="n"/>
    </row>
    <row r="116">
      <c r="A116" s="12" t="n"/>
      <c r="B116" s="10" t="n"/>
      <c r="C116" s="10" t="n"/>
      <c r="D116" s="10" t="n"/>
      <c r="E116" s="13" t="n"/>
      <c r="F116" s="11" t="n"/>
      <c r="G116" s="11" t="n"/>
      <c r="H116" s="11">
        <f>IFERROR(SQRT(F116^2+G116^2),"")</f>
        <v/>
      </c>
      <c r="I116" s="11">
        <f>IFERROR((E116*12)/PlumbRatio,"")</f>
        <v/>
      </c>
      <c r="J116" s="10">
        <f>IF(OR(H116="",I116=""),"",IF(H116&lt;=I116,"OK","OUT"))</f>
        <v/>
      </c>
      <c r="K116" s="10" t="n"/>
      <c r="L116" s="10" t="n"/>
      <c r="M116" s="12" t="n"/>
      <c r="N116" s="10" t="n"/>
    </row>
    <row r="117">
      <c r="A117" s="12" t="n"/>
      <c r="B117" s="10" t="n"/>
      <c r="C117" s="10" t="n"/>
      <c r="D117" s="10" t="n"/>
      <c r="E117" s="13" t="n"/>
      <c r="F117" s="11" t="n"/>
      <c r="G117" s="11" t="n"/>
      <c r="H117" s="11">
        <f>IFERROR(SQRT(F117^2+G117^2),"")</f>
        <v/>
      </c>
      <c r="I117" s="11">
        <f>IFERROR((E117*12)/PlumbRatio,"")</f>
        <v/>
      </c>
      <c r="J117" s="10">
        <f>IF(OR(H117="",I117=""),"",IF(H117&lt;=I117,"OK","OUT"))</f>
        <v/>
      </c>
      <c r="K117" s="10" t="n"/>
      <c r="L117" s="10" t="n"/>
      <c r="M117" s="12" t="n"/>
      <c r="N117" s="10" t="n"/>
    </row>
    <row r="118">
      <c r="A118" s="12" t="n"/>
      <c r="B118" s="10" t="n"/>
      <c r="C118" s="10" t="n"/>
      <c r="D118" s="10" t="n"/>
      <c r="E118" s="13" t="n"/>
      <c r="F118" s="11" t="n"/>
      <c r="G118" s="11" t="n"/>
      <c r="H118" s="11">
        <f>IFERROR(SQRT(F118^2+G118^2),"")</f>
        <v/>
      </c>
      <c r="I118" s="11">
        <f>IFERROR((E118*12)/PlumbRatio,"")</f>
        <v/>
      </c>
      <c r="J118" s="10">
        <f>IF(OR(H118="",I118=""),"",IF(H118&lt;=I118,"OK","OUT"))</f>
        <v/>
      </c>
      <c r="K118" s="10" t="n"/>
      <c r="L118" s="10" t="n"/>
      <c r="M118" s="12" t="n"/>
      <c r="N118" s="10" t="n"/>
    </row>
    <row r="119">
      <c r="A119" s="12" t="n"/>
      <c r="B119" s="10" t="n"/>
      <c r="C119" s="10" t="n"/>
      <c r="D119" s="10" t="n"/>
      <c r="E119" s="13" t="n"/>
      <c r="F119" s="11" t="n"/>
      <c r="G119" s="11" t="n"/>
      <c r="H119" s="11">
        <f>IFERROR(SQRT(F119^2+G119^2),"")</f>
        <v/>
      </c>
      <c r="I119" s="11">
        <f>IFERROR((E119*12)/PlumbRatio,"")</f>
        <v/>
      </c>
      <c r="J119" s="10">
        <f>IF(OR(H119="",I119=""),"",IF(H119&lt;=I119,"OK","OUT"))</f>
        <v/>
      </c>
      <c r="K119" s="10" t="n"/>
      <c r="L119" s="10" t="n"/>
      <c r="M119" s="12" t="n"/>
      <c r="N119" s="10" t="n"/>
    </row>
    <row r="120">
      <c r="A120" s="12" t="n"/>
      <c r="B120" s="10" t="n"/>
      <c r="C120" s="10" t="n"/>
      <c r="D120" s="10" t="n"/>
      <c r="E120" s="13" t="n"/>
      <c r="F120" s="11" t="n"/>
      <c r="G120" s="11" t="n"/>
      <c r="H120" s="11">
        <f>IFERROR(SQRT(F120^2+G120^2),"")</f>
        <v/>
      </c>
      <c r="I120" s="11">
        <f>IFERROR((E120*12)/PlumbRatio,"")</f>
        <v/>
      </c>
      <c r="J120" s="10">
        <f>IF(OR(H120="",I120=""),"",IF(H120&lt;=I120,"OK","OUT"))</f>
        <v/>
      </c>
      <c r="K120" s="10" t="n"/>
      <c r="L120" s="10" t="n"/>
      <c r="M120" s="12" t="n"/>
      <c r="N120" s="10" t="n"/>
    </row>
    <row r="121">
      <c r="A121" s="12" t="n"/>
      <c r="B121" s="10" t="n"/>
      <c r="C121" s="10" t="n"/>
      <c r="D121" s="10" t="n"/>
      <c r="E121" s="13" t="n"/>
      <c r="F121" s="11" t="n"/>
      <c r="G121" s="11" t="n"/>
      <c r="H121" s="11">
        <f>IFERROR(SQRT(F121^2+G121^2),"")</f>
        <v/>
      </c>
      <c r="I121" s="11">
        <f>IFERROR((E121*12)/PlumbRatio,"")</f>
        <v/>
      </c>
      <c r="J121" s="10">
        <f>IF(OR(H121="",I121=""),"",IF(H121&lt;=I121,"OK","OUT"))</f>
        <v/>
      </c>
      <c r="K121" s="10" t="n"/>
      <c r="L121" s="10" t="n"/>
      <c r="M121" s="12" t="n"/>
      <c r="N121" s="10" t="n"/>
    </row>
    <row r="122">
      <c r="A122" s="12" t="n"/>
      <c r="B122" s="10" t="n"/>
      <c r="C122" s="10" t="n"/>
      <c r="D122" s="10" t="n"/>
      <c r="E122" s="13" t="n"/>
      <c r="F122" s="11" t="n"/>
      <c r="G122" s="11" t="n"/>
      <c r="H122" s="11">
        <f>IFERROR(SQRT(F122^2+G122^2),"")</f>
        <v/>
      </c>
      <c r="I122" s="11">
        <f>IFERROR((E122*12)/PlumbRatio,"")</f>
        <v/>
      </c>
      <c r="J122" s="10">
        <f>IF(OR(H122="",I122=""),"",IF(H122&lt;=I122,"OK","OUT"))</f>
        <v/>
      </c>
      <c r="K122" s="10" t="n"/>
      <c r="L122" s="10" t="n"/>
      <c r="M122" s="12" t="n"/>
      <c r="N122" s="10" t="n"/>
    </row>
    <row r="123">
      <c r="A123" s="12" t="n"/>
      <c r="B123" s="10" t="n"/>
      <c r="C123" s="10" t="n"/>
      <c r="D123" s="10" t="n"/>
      <c r="E123" s="13" t="n"/>
      <c r="F123" s="11" t="n"/>
      <c r="G123" s="11" t="n"/>
      <c r="H123" s="11">
        <f>IFERROR(SQRT(F123^2+G123^2),"")</f>
        <v/>
      </c>
      <c r="I123" s="11">
        <f>IFERROR((E123*12)/PlumbRatio,"")</f>
        <v/>
      </c>
      <c r="J123" s="10">
        <f>IF(OR(H123="",I123=""),"",IF(H123&lt;=I123,"OK","OUT"))</f>
        <v/>
      </c>
      <c r="K123" s="10" t="n"/>
      <c r="L123" s="10" t="n"/>
      <c r="M123" s="12" t="n"/>
      <c r="N123" s="10" t="n"/>
    </row>
    <row r="124">
      <c r="A124" s="12" t="n"/>
      <c r="B124" s="10" t="n"/>
      <c r="C124" s="10" t="n"/>
      <c r="D124" s="10" t="n"/>
      <c r="E124" s="13" t="n"/>
      <c r="F124" s="11" t="n"/>
      <c r="G124" s="11" t="n"/>
      <c r="H124" s="11">
        <f>IFERROR(SQRT(F124^2+G124^2),"")</f>
        <v/>
      </c>
      <c r="I124" s="11">
        <f>IFERROR((E124*12)/PlumbRatio,"")</f>
        <v/>
      </c>
      <c r="J124" s="10">
        <f>IF(OR(H124="",I124=""),"",IF(H124&lt;=I124,"OK","OUT"))</f>
        <v/>
      </c>
      <c r="K124" s="10" t="n"/>
      <c r="L124" s="10" t="n"/>
      <c r="M124" s="12" t="n"/>
      <c r="N124" s="10" t="n"/>
    </row>
    <row r="125">
      <c r="A125" s="12" t="n"/>
      <c r="B125" s="10" t="n"/>
      <c r="C125" s="10" t="n"/>
      <c r="D125" s="10" t="n"/>
      <c r="E125" s="13" t="n"/>
      <c r="F125" s="11" t="n"/>
      <c r="G125" s="11" t="n"/>
      <c r="H125" s="11">
        <f>IFERROR(SQRT(F125^2+G125^2),"")</f>
        <v/>
      </c>
      <c r="I125" s="11">
        <f>IFERROR((E125*12)/PlumbRatio,"")</f>
        <v/>
      </c>
      <c r="J125" s="10">
        <f>IF(OR(H125="",I125=""),"",IF(H125&lt;=I125,"OK","OUT"))</f>
        <v/>
      </c>
      <c r="K125" s="10" t="n"/>
      <c r="L125" s="10" t="n"/>
      <c r="M125" s="12" t="n"/>
      <c r="N125" s="10" t="n"/>
    </row>
    <row r="126">
      <c r="A126" s="12" t="n"/>
      <c r="B126" s="10" t="n"/>
      <c r="C126" s="10" t="n"/>
      <c r="D126" s="10" t="n"/>
      <c r="E126" s="13" t="n"/>
      <c r="F126" s="11" t="n"/>
      <c r="G126" s="11" t="n"/>
      <c r="H126" s="11">
        <f>IFERROR(SQRT(F126^2+G126^2),"")</f>
        <v/>
      </c>
      <c r="I126" s="11">
        <f>IFERROR((E126*12)/PlumbRatio,"")</f>
        <v/>
      </c>
      <c r="J126" s="10">
        <f>IF(OR(H126="",I126=""),"",IF(H126&lt;=I126,"OK","OUT"))</f>
        <v/>
      </c>
      <c r="K126" s="10" t="n"/>
      <c r="L126" s="10" t="n"/>
      <c r="M126" s="12" t="n"/>
      <c r="N126" s="10" t="n"/>
    </row>
    <row r="127">
      <c r="A127" s="12" t="n"/>
      <c r="B127" s="10" t="n"/>
      <c r="C127" s="10" t="n"/>
      <c r="D127" s="10" t="n"/>
      <c r="E127" s="13" t="n"/>
      <c r="F127" s="11" t="n"/>
      <c r="G127" s="11" t="n"/>
      <c r="H127" s="11">
        <f>IFERROR(SQRT(F127^2+G127^2),"")</f>
        <v/>
      </c>
      <c r="I127" s="11">
        <f>IFERROR((E127*12)/PlumbRatio,"")</f>
        <v/>
      </c>
      <c r="J127" s="10">
        <f>IF(OR(H127="",I127=""),"",IF(H127&lt;=I127,"OK","OUT"))</f>
        <v/>
      </c>
      <c r="K127" s="10" t="n"/>
      <c r="L127" s="10" t="n"/>
      <c r="M127" s="12" t="n"/>
      <c r="N127" s="10" t="n"/>
    </row>
    <row r="128">
      <c r="A128" s="12" t="n"/>
      <c r="B128" s="10" t="n"/>
      <c r="C128" s="10" t="n"/>
      <c r="D128" s="10" t="n"/>
      <c r="E128" s="13" t="n"/>
      <c r="F128" s="11" t="n"/>
      <c r="G128" s="11" t="n"/>
      <c r="H128" s="11">
        <f>IFERROR(SQRT(F128^2+G128^2),"")</f>
        <v/>
      </c>
      <c r="I128" s="11">
        <f>IFERROR((E128*12)/PlumbRatio,"")</f>
        <v/>
      </c>
      <c r="J128" s="10">
        <f>IF(OR(H128="",I128=""),"",IF(H128&lt;=I128,"OK","OUT"))</f>
        <v/>
      </c>
      <c r="K128" s="10" t="n"/>
      <c r="L128" s="10" t="n"/>
      <c r="M128" s="12" t="n"/>
      <c r="N128" s="10" t="n"/>
    </row>
    <row r="129">
      <c r="A129" s="12" t="n"/>
      <c r="B129" s="10" t="n"/>
      <c r="C129" s="10" t="n"/>
      <c r="D129" s="10" t="n"/>
      <c r="E129" s="13" t="n"/>
      <c r="F129" s="11" t="n"/>
      <c r="G129" s="11" t="n"/>
      <c r="H129" s="11">
        <f>IFERROR(SQRT(F129^2+G129^2),"")</f>
        <v/>
      </c>
      <c r="I129" s="11">
        <f>IFERROR((E129*12)/PlumbRatio,"")</f>
        <v/>
      </c>
      <c r="J129" s="10">
        <f>IF(OR(H129="",I129=""),"",IF(H129&lt;=I129,"OK","OUT"))</f>
        <v/>
      </c>
      <c r="K129" s="10" t="n"/>
      <c r="L129" s="10" t="n"/>
      <c r="M129" s="12" t="n"/>
      <c r="N129" s="10" t="n"/>
    </row>
    <row r="130">
      <c r="A130" s="12" t="n"/>
      <c r="B130" s="10" t="n"/>
      <c r="C130" s="10" t="n"/>
      <c r="D130" s="10" t="n"/>
      <c r="E130" s="13" t="n"/>
      <c r="F130" s="11" t="n"/>
      <c r="G130" s="11" t="n"/>
      <c r="H130" s="11">
        <f>IFERROR(SQRT(F130^2+G130^2),"")</f>
        <v/>
      </c>
      <c r="I130" s="11">
        <f>IFERROR((E130*12)/PlumbRatio,"")</f>
        <v/>
      </c>
      <c r="J130" s="10">
        <f>IF(OR(H130="",I130=""),"",IF(H130&lt;=I130,"OK","OUT"))</f>
        <v/>
      </c>
      <c r="K130" s="10" t="n"/>
      <c r="L130" s="10" t="n"/>
      <c r="M130" s="12" t="n"/>
      <c r="N130" s="10" t="n"/>
    </row>
    <row r="131">
      <c r="A131" s="12" t="n"/>
      <c r="B131" s="10" t="n"/>
      <c r="C131" s="10" t="n"/>
      <c r="D131" s="10" t="n"/>
      <c r="E131" s="13" t="n"/>
      <c r="F131" s="11" t="n"/>
      <c r="G131" s="11" t="n"/>
      <c r="H131" s="11">
        <f>IFERROR(SQRT(F131^2+G131^2),"")</f>
        <v/>
      </c>
      <c r="I131" s="11">
        <f>IFERROR((E131*12)/PlumbRatio,"")</f>
        <v/>
      </c>
      <c r="J131" s="10">
        <f>IF(OR(H131="",I131=""),"",IF(H131&lt;=I131,"OK","OUT"))</f>
        <v/>
      </c>
      <c r="K131" s="10" t="n"/>
      <c r="L131" s="10" t="n"/>
      <c r="M131" s="12" t="n"/>
      <c r="N131" s="10" t="n"/>
    </row>
    <row r="132">
      <c r="A132" s="12" t="n"/>
      <c r="B132" s="10" t="n"/>
      <c r="C132" s="10" t="n"/>
      <c r="D132" s="10" t="n"/>
      <c r="E132" s="13" t="n"/>
      <c r="F132" s="11" t="n"/>
      <c r="G132" s="11" t="n"/>
      <c r="H132" s="11">
        <f>IFERROR(SQRT(F132^2+G132^2),"")</f>
        <v/>
      </c>
      <c r="I132" s="11">
        <f>IFERROR((E132*12)/PlumbRatio,"")</f>
        <v/>
      </c>
      <c r="J132" s="10">
        <f>IF(OR(H132="",I132=""),"",IF(H132&lt;=I132,"OK","OUT"))</f>
        <v/>
      </c>
      <c r="K132" s="10" t="n"/>
      <c r="L132" s="10" t="n"/>
      <c r="M132" s="12" t="n"/>
      <c r="N132" s="10" t="n"/>
    </row>
    <row r="133">
      <c r="A133" s="12" t="n"/>
      <c r="B133" s="10" t="n"/>
      <c r="C133" s="10" t="n"/>
      <c r="D133" s="10" t="n"/>
      <c r="E133" s="13" t="n"/>
      <c r="F133" s="11" t="n"/>
      <c r="G133" s="11" t="n"/>
      <c r="H133" s="11">
        <f>IFERROR(SQRT(F133^2+G133^2),"")</f>
        <v/>
      </c>
      <c r="I133" s="11">
        <f>IFERROR((E133*12)/PlumbRatio,"")</f>
        <v/>
      </c>
      <c r="J133" s="10">
        <f>IF(OR(H133="",I133=""),"",IF(H133&lt;=I133,"OK","OUT"))</f>
        <v/>
      </c>
      <c r="K133" s="10" t="n"/>
      <c r="L133" s="10" t="n"/>
      <c r="M133" s="12" t="n"/>
      <c r="N133" s="10" t="n"/>
    </row>
    <row r="134">
      <c r="A134" s="12" t="n"/>
      <c r="B134" s="10" t="n"/>
      <c r="C134" s="10" t="n"/>
      <c r="D134" s="10" t="n"/>
      <c r="E134" s="13" t="n"/>
      <c r="F134" s="11" t="n"/>
      <c r="G134" s="11" t="n"/>
      <c r="H134" s="11">
        <f>IFERROR(SQRT(F134^2+G134^2),"")</f>
        <v/>
      </c>
      <c r="I134" s="11">
        <f>IFERROR((E134*12)/PlumbRatio,"")</f>
        <v/>
      </c>
      <c r="J134" s="10">
        <f>IF(OR(H134="",I134=""),"",IF(H134&lt;=I134,"OK","OUT"))</f>
        <v/>
      </c>
      <c r="K134" s="10" t="n"/>
      <c r="L134" s="10" t="n"/>
      <c r="M134" s="12" t="n"/>
      <c r="N134" s="10" t="n"/>
    </row>
    <row r="135">
      <c r="A135" s="12" t="n"/>
      <c r="B135" s="10" t="n"/>
      <c r="C135" s="10" t="n"/>
      <c r="D135" s="10" t="n"/>
      <c r="E135" s="13" t="n"/>
      <c r="F135" s="11" t="n"/>
      <c r="G135" s="11" t="n"/>
      <c r="H135" s="11">
        <f>IFERROR(SQRT(F135^2+G135^2),"")</f>
        <v/>
      </c>
      <c r="I135" s="11">
        <f>IFERROR((E135*12)/PlumbRatio,"")</f>
        <v/>
      </c>
      <c r="J135" s="10">
        <f>IF(OR(H135="",I135=""),"",IF(H135&lt;=I135,"OK","OUT"))</f>
        <v/>
      </c>
      <c r="K135" s="10" t="n"/>
      <c r="L135" s="10" t="n"/>
      <c r="M135" s="12" t="n"/>
      <c r="N135" s="10" t="n"/>
    </row>
    <row r="136">
      <c r="A136" s="12" t="n"/>
      <c r="B136" s="10" t="n"/>
      <c r="C136" s="10" t="n"/>
      <c r="D136" s="10" t="n"/>
      <c r="E136" s="13" t="n"/>
      <c r="F136" s="11" t="n"/>
      <c r="G136" s="11" t="n"/>
      <c r="H136" s="11">
        <f>IFERROR(SQRT(F136^2+G136^2),"")</f>
        <v/>
      </c>
      <c r="I136" s="11">
        <f>IFERROR((E136*12)/PlumbRatio,"")</f>
        <v/>
      </c>
      <c r="J136" s="10">
        <f>IF(OR(H136="",I136=""),"",IF(H136&lt;=I136,"OK","OUT"))</f>
        <v/>
      </c>
      <c r="K136" s="10" t="n"/>
      <c r="L136" s="10" t="n"/>
      <c r="M136" s="12" t="n"/>
      <c r="N136" s="10" t="n"/>
    </row>
    <row r="137">
      <c r="A137" s="12" t="n"/>
      <c r="B137" s="10" t="n"/>
      <c r="C137" s="10" t="n"/>
      <c r="D137" s="10" t="n"/>
      <c r="E137" s="13" t="n"/>
      <c r="F137" s="11" t="n"/>
      <c r="G137" s="11" t="n"/>
      <c r="H137" s="11">
        <f>IFERROR(SQRT(F137^2+G137^2),"")</f>
        <v/>
      </c>
      <c r="I137" s="11">
        <f>IFERROR((E137*12)/PlumbRatio,"")</f>
        <v/>
      </c>
      <c r="J137" s="10">
        <f>IF(OR(H137="",I137=""),"",IF(H137&lt;=I137,"OK","OUT"))</f>
        <v/>
      </c>
      <c r="K137" s="10" t="n"/>
      <c r="L137" s="10" t="n"/>
      <c r="M137" s="12" t="n"/>
      <c r="N137" s="10" t="n"/>
    </row>
    <row r="138">
      <c r="A138" s="12" t="n"/>
      <c r="B138" s="10" t="n"/>
      <c r="C138" s="10" t="n"/>
      <c r="D138" s="10" t="n"/>
      <c r="E138" s="13" t="n"/>
      <c r="F138" s="11" t="n"/>
      <c r="G138" s="11" t="n"/>
      <c r="H138" s="11">
        <f>IFERROR(SQRT(F138^2+G138^2),"")</f>
        <v/>
      </c>
      <c r="I138" s="11">
        <f>IFERROR((E138*12)/PlumbRatio,"")</f>
        <v/>
      </c>
      <c r="J138" s="10">
        <f>IF(OR(H138="",I138=""),"",IF(H138&lt;=I138,"OK","OUT"))</f>
        <v/>
      </c>
      <c r="K138" s="10" t="n"/>
      <c r="L138" s="10" t="n"/>
      <c r="M138" s="12" t="n"/>
      <c r="N138" s="10" t="n"/>
    </row>
    <row r="139">
      <c r="A139" s="12" t="n"/>
      <c r="B139" s="10" t="n"/>
      <c r="C139" s="10" t="n"/>
      <c r="D139" s="10" t="n"/>
      <c r="E139" s="13" t="n"/>
      <c r="F139" s="11" t="n"/>
      <c r="G139" s="11" t="n"/>
      <c r="H139" s="11">
        <f>IFERROR(SQRT(F139^2+G139^2),"")</f>
        <v/>
      </c>
      <c r="I139" s="11">
        <f>IFERROR((E139*12)/PlumbRatio,"")</f>
        <v/>
      </c>
      <c r="J139" s="10">
        <f>IF(OR(H139="",I139=""),"",IF(H139&lt;=I139,"OK","OUT"))</f>
        <v/>
      </c>
      <c r="K139" s="10" t="n"/>
      <c r="L139" s="10" t="n"/>
      <c r="M139" s="12" t="n"/>
      <c r="N139" s="10" t="n"/>
    </row>
    <row r="140">
      <c r="A140" s="12" t="n"/>
      <c r="B140" s="10" t="n"/>
      <c r="C140" s="10" t="n"/>
      <c r="D140" s="10" t="n"/>
      <c r="E140" s="13" t="n"/>
      <c r="F140" s="11" t="n"/>
      <c r="G140" s="11" t="n"/>
      <c r="H140" s="11">
        <f>IFERROR(SQRT(F140^2+G140^2),"")</f>
        <v/>
      </c>
      <c r="I140" s="11">
        <f>IFERROR((E140*12)/PlumbRatio,"")</f>
        <v/>
      </c>
      <c r="J140" s="10">
        <f>IF(OR(H140="",I140=""),"",IF(H140&lt;=I140,"OK","OUT"))</f>
        <v/>
      </c>
      <c r="K140" s="10" t="n"/>
      <c r="L140" s="10" t="n"/>
      <c r="M140" s="12" t="n"/>
      <c r="N140" s="10" t="n"/>
    </row>
    <row r="141">
      <c r="A141" s="12" t="n"/>
      <c r="B141" s="10" t="n"/>
      <c r="C141" s="10" t="n"/>
      <c r="D141" s="10" t="n"/>
      <c r="E141" s="13" t="n"/>
      <c r="F141" s="11" t="n"/>
      <c r="G141" s="11" t="n"/>
      <c r="H141" s="11">
        <f>IFERROR(SQRT(F141^2+G141^2),"")</f>
        <v/>
      </c>
      <c r="I141" s="11">
        <f>IFERROR((E141*12)/PlumbRatio,"")</f>
        <v/>
      </c>
      <c r="J141" s="10">
        <f>IF(OR(H141="",I141=""),"",IF(H141&lt;=I141,"OK","OUT"))</f>
        <v/>
      </c>
      <c r="K141" s="10" t="n"/>
      <c r="L141" s="10" t="n"/>
      <c r="M141" s="12" t="n"/>
      <c r="N141" s="10" t="n"/>
    </row>
    <row r="142">
      <c r="A142" s="12" t="n"/>
      <c r="B142" s="10" t="n"/>
      <c r="C142" s="10" t="n"/>
      <c r="D142" s="10" t="n"/>
      <c r="E142" s="13" t="n"/>
      <c r="F142" s="11" t="n"/>
      <c r="G142" s="11" t="n"/>
      <c r="H142" s="11">
        <f>IFERROR(SQRT(F142^2+G142^2),"")</f>
        <v/>
      </c>
      <c r="I142" s="11">
        <f>IFERROR((E142*12)/PlumbRatio,"")</f>
        <v/>
      </c>
      <c r="J142" s="10">
        <f>IF(OR(H142="",I142=""),"",IF(H142&lt;=I142,"OK","OUT"))</f>
        <v/>
      </c>
      <c r="K142" s="10" t="n"/>
      <c r="L142" s="10" t="n"/>
      <c r="M142" s="12" t="n"/>
      <c r="N142" s="10" t="n"/>
    </row>
    <row r="143">
      <c r="A143" s="12" t="n"/>
      <c r="B143" s="10" t="n"/>
      <c r="C143" s="10" t="n"/>
      <c r="D143" s="10" t="n"/>
      <c r="E143" s="13" t="n"/>
      <c r="F143" s="11" t="n"/>
      <c r="G143" s="11" t="n"/>
      <c r="H143" s="11">
        <f>IFERROR(SQRT(F143^2+G143^2),"")</f>
        <v/>
      </c>
      <c r="I143" s="11">
        <f>IFERROR((E143*12)/PlumbRatio,"")</f>
        <v/>
      </c>
      <c r="J143" s="10">
        <f>IF(OR(H143="",I143=""),"",IF(H143&lt;=I143,"OK","OUT"))</f>
        <v/>
      </c>
      <c r="K143" s="10" t="n"/>
      <c r="L143" s="10" t="n"/>
      <c r="M143" s="12" t="n"/>
      <c r="N143" s="10" t="n"/>
    </row>
    <row r="144">
      <c r="A144" s="12" t="n"/>
      <c r="B144" s="10" t="n"/>
      <c r="C144" s="10" t="n"/>
      <c r="D144" s="10" t="n"/>
      <c r="E144" s="13" t="n"/>
      <c r="F144" s="11" t="n"/>
      <c r="G144" s="11" t="n"/>
      <c r="H144" s="11">
        <f>IFERROR(SQRT(F144^2+G144^2),"")</f>
        <v/>
      </c>
      <c r="I144" s="11">
        <f>IFERROR((E144*12)/PlumbRatio,"")</f>
        <v/>
      </c>
      <c r="J144" s="10">
        <f>IF(OR(H144="",I144=""),"",IF(H144&lt;=I144,"OK","OUT"))</f>
        <v/>
      </c>
      <c r="K144" s="10" t="n"/>
      <c r="L144" s="10" t="n"/>
      <c r="M144" s="12" t="n"/>
      <c r="N144" s="10" t="n"/>
    </row>
    <row r="145">
      <c r="A145" s="12" t="n"/>
      <c r="B145" s="10" t="n"/>
      <c r="C145" s="10" t="n"/>
      <c r="D145" s="10" t="n"/>
      <c r="E145" s="13" t="n"/>
      <c r="F145" s="11" t="n"/>
      <c r="G145" s="11" t="n"/>
      <c r="H145" s="11">
        <f>IFERROR(SQRT(F145^2+G145^2),"")</f>
        <v/>
      </c>
      <c r="I145" s="11">
        <f>IFERROR((E145*12)/PlumbRatio,"")</f>
        <v/>
      </c>
      <c r="J145" s="10">
        <f>IF(OR(H145="",I145=""),"",IF(H145&lt;=I145,"OK","OUT"))</f>
        <v/>
      </c>
      <c r="K145" s="10" t="n"/>
      <c r="L145" s="10" t="n"/>
      <c r="M145" s="12" t="n"/>
      <c r="N145" s="10" t="n"/>
    </row>
    <row r="146">
      <c r="A146" s="12" t="n"/>
      <c r="B146" s="10" t="n"/>
      <c r="C146" s="10" t="n"/>
      <c r="D146" s="10" t="n"/>
      <c r="E146" s="13" t="n"/>
      <c r="F146" s="11" t="n"/>
      <c r="G146" s="11" t="n"/>
      <c r="H146" s="11">
        <f>IFERROR(SQRT(F146^2+G146^2),"")</f>
        <v/>
      </c>
      <c r="I146" s="11">
        <f>IFERROR((E146*12)/PlumbRatio,"")</f>
        <v/>
      </c>
      <c r="J146" s="10">
        <f>IF(OR(H146="",I146=""),"",IF(H146&lt;=I146,"OK","OUT"))</f>
        <v/>
      </c>
      <c r="K146" s="10" t="n"/>
      <c r="L146" s="10" t="n"/>
      <c r="M146" s="12" t="n"/>
      <c r="N146" s="10" t="n"/>
    </row>
    <row r="147">
      <c r="A147" s="12" t="n"/>
      <c r="B147" s="10" t="n"/>
      <c r="C147" s="10" t="n"/>
      <c r="D147" s="10" t="n"/>
      <c r="E147" s="13" t="n"/>
      <c r="F147" s="11" t="n"/>
      <c r="G147" s="11" t="n"/>
      <c r="H147" s="11">
        <f>IFERROR(SQRT(F147^2+G147^2),"")</f>
        <v/>
      </c>
      <c r="I147" s="11">
        <f>IFERROR((E147*12)/PlumbRatio,"")</f>
        <v/>
      </c>
      <c r="J147" s="10">
        <f>IF(OR(H147="",I147=""),"",IF(H147&lt;=I147,"OK","OUT"))</f>
        <v/>
      </c>
      <c r="K147" s="10" t="n"/>
      <c r="L147" s="10" t="n"/>
      <c r="M147" s="12" t="n"/>
      <c r="N147" s="10" t="n"/>
    </row>
    <row r="148">
      <c r="A148" s="12" t="n"/>
      <c r="B148" s="10" t="n"/>
      <c r="C148" s="10" t="n"/>
      <c r="D148" s="10" t="n"/>
      <c r="E148" s="13" t="n"/>
      <c r="F148" s="11" t="n"/>
      <c r="G148" s="11" t="n"/>
      <c r="H148" s="11">
        <f>IFERROR(SQRT(F148^2+G148^2),"")</f>
        <v/>
      </c>
      <c r="I148" s="11">
        <f>IFERROR((E148*12)/PlumbRatio,"")</f>
        <v/>
      </c>
      <c r="J148" s="10">
        <f>IF(OR(H148="",I148=""),"",IF(H148&lt;=I148,"OK","OUT"))</f>
        <v/>
      </c>
      <c r="K148" s="10" t="n"/>
      <c r="L148" s="10" t="n"/>
      <c r="M148" s="12" t="n"/>
      <c r="N148" s="10" t="n"/>
    </row>
    <row r="149">
      <c r="A149" s="12" t="n"/>
      <c r="B149" s="10" t="n"/>
      <c r="C149" s="10" t="n"/>
      <c r="D149" s="10" t="n"/>
      <c r="E149" s="13" t="n"/>
      <c r="F149" s="11" t="n"/>
      <c r="G149" s="11" t="n"/>
      <c r="H149" s="11">
        <f>IFERROR(SQRT(F149^2+G149^2),"")</f>
        <v/>
      </c>
      <c r="I149" s="11">
        <f>IFERROR((E149*12)/PlumbRatio,"")</f>
        <v/>
      </c>
      <c r="J149" s="10">
        <f>IF(OR(H149="",I149=""),"",IF(H149&lt;=I149,"OK","OUT"))</f>
        <v/>
      </c>
      <c r="K149" s="10" t="n"/>
      <c r="L149" s="10" t="n"/>
      <c r="M149" s="12" t="n"/>
      <c r="N149" s="10" t="n"/>
    </row>
    <row r="150">
      <c r="A150" s="12" t="n"/>
      <c r="B150" s="10" t="n"/>
      <c r="C150" s="10" t="n"/>
      <c r="D150" s="10" t="n"/>
      <c r="E150" s="13" t="n"/>
      <c r="F150" s="11" t="n"/>
      <c r="G150" s="11" t="n"/>
      <c r="H150" s="11">
        <f>IFERROR(SQRT(F150^2+G150^2),"")</f>
        <v/>
      </c>
      <c r="I150" s="11">
        <f>IFERROR((E150*12)/PlumbRatio,"")</f>
        <v/>
      </c>
      <c r="J150" s="10">
        <f>IF(OR(H150="",I150=""),"",IF(H150&lt;=I150,"OK","OUT"))</f>
        <v/>
      </c>
      <c r="K150" s="10" t="n"/>
      <c r="L150" s="10" t="n"/>
      <c r="M150" s="12" t="n"/>
      <c r="N150" s="10" t="n"/>
    </row>
    <row r="151">
      <c r="A151" s="12" t="n"/>
      <c r="B151" s="10" t="n"/>
      <c r="C151" s="10" t="n"/>
      <c r="D151" s="10" t="n"/>
      <c r="E151" s="13" t="n"/>
      <c r="F151" s="11" t="n"/>
      <c r="G151" s="11" t="n"/>
      <c r="H151" s="11">
        <f>IFERROR(SQRT(F151^2+G151^2),"")</f>
        <v/>
      </c>
      <c r="I151" s="11">
        <f>IFERROR((E151*12)/PlumbRatio,"")</f>
        <v/>
      </c>
      <c r="J151" s="10">
        <f>IF(OR(H151="",I151=""),"",IF(H151&lt;=I151,"OK","OUT"))</f>
        <v/>
      </c>
      <c r="K151" s="10" t="n"/>
      <c r="L151" s="10" t="n"/>
      <c r="M151" s="12" t="n"/>
      <c r="N151" s="10" t="n"/>
    </row>
    <row r="152">
      <c r="A152" s="12" t="n"/>
      <c r="B152" s="10" t="n"/>
      <c r="C152" s="10" t="n"/>
      <c r="D152" s="10" t="n"/>
      <c r="E152" s="13" t="n"/>
      <c r="F152" s="11" t="n"/>
      <c r="G152" s="11" t="n"/>
      <c r="H152" s="11">
        <f>IFERROR(SQRT(F152^2+G152^2),"")</f>
        <v/>
      </c>
      <c r="I152" s="11">
        <f>IFERROR((E152*12)/PlumbRatio,"")</f>
        <v/>
      </c>
      <c r="J152" s="10">
        <f>IF(OR(H152="",I152=""),"",IF(H152&lt;=I152,"OK","OUT"))</f>
        <v/>
      </c>
      <c r="K152" s="10" t="n"/>
      <c r="L152" s="10" t="n"/>
      <c r="M152" s="12" t="n"/>
      <c r="N152" s="10" t="n"/>
    </row>
    <row r="153">
      <c r="A153" s="12" t="n"/>
      <c r="B153" s="10" t="n"/>
      <c r="C153" s="10" t="n"/>
      <c r="D153" s="10" t="n"/>
      <c r="E153" s="13" t="n"/>
      <c r="F153" s="11" t="n"/>
      <c r="G153" s="11" t="n"/>
      <c r="H153" s="11">
        <f>IFERROR(SQRT(F153^2+G153^2),"")</f>
        <v/>
      </c>
      <c r="I153" s="11">
        <f>IFERROR((E153*12)/PlumbRatio,"")</f>
        <v/>
      </c>
      <c r="J153" s="10">
        <f>IF(OR(H153="",I153=""),"",IF(H153&lt;=I153,"OK","OUT"))</f>
        <v/>
      </c>
      <c r="K153" s="10" t="n"/>
      <c r="L153" s="10" t="n"/>
      <c r="M153" s="12" t="n"/>
      <c r="N153" s="10" t="n"/>
    </row>
    <row r="154">
      <c r="A154" s="12" t="n"/>
      <c r="B154" s="10" t="n"/>
      <c r="C154" s="10" t="n"/>
      <c r="D154" s="10" t="n"/>
      <c r="E154" s="13" t="n"/>
      <c r="F154" s="11" t="n"/>
      <c r="G154" s="11" t="n"/>
      <c r="H154" s="11">
        <f>IFERROR(SQRT(F154^2+G154^2),"")</f>
        <v/>
      </c>
      <c r="I154" s="11">
        <f>IFERROR((E154*12)/PlumbRatio,"")</f>
        <v/>
      </c>
      <c r="J154" s="10">
        <f>IF(OR(H154="",I154=""),"",IF(H154&lt;=I154,"OK","OUT"))</f>
        <v/>
      </c>
      <c r="K154" s="10" t="n"/>
      <c r="L154" s="10" t="n"/>
      <c r="M154" s="12" t="n"/>
      <c r="N154" s="10" t="n"/>
    </row>
    <row r="155">
      <c r="A155" s="12" t="n"/>
      <c r="B155" s="10" t="n"/>
      <c r="C155" s="10" t="n"/>
      <c r="D155" s="10" t="n"/>
      <c r="E155" s="13" t="n"/>
      <c r="F155" s="11" t="n"/>
      <c r="G155" s="11" t="n"/>
      <c r="H155" s="11">
        <f>IFERROR(SQRT(F155^2+G155^2),"")</f>
        <v/>
      </c>
      <c r="I155" s="11">
        <f>IFERROR((E155*12)/PlumbRatio,"")</f>
        <v/>
      </c>
      <c r="J155" s="10">
        <f>IF(OR(H155="",I155=""),"",IF(H155&lt;=I155,"OK","OUT"))</f>
        <v/>
      </c>
      <c r="K155" s="10" t="n"/>
      <c r="L155" s="10" t="n"/>
      <c r="M155" s="12" t="n"/>
      <c r="N155" s="10" t="n"/>
    </row>
    <row r="156">
      <c r="A156" s="12" t="n"/>
      <c r="B156" s="10" t="n"/>
      <c r="C156" s="10" t="n"/>
      <c r="D156" s="10" t="n"/>
      <c r="E156" s="13" t="n"/>
      <c r="F156" s="11" t="n"/>
      <c r="G156" s="11" t="n"/>
      <c r="H156" s="11">
        <f>IFERROR(SQRT(F156^2+G156^2),"")</f>
        <v/>
      </c>
      <c r="I156" s="11">
        <f>IFERROR((E156*12)/PlumbRatio,"")</f>
        <v/>
      </c>
      <c r="J156" s="10">
        <f>IF(OR(H156="",I156=""),"",IF(H156&lt;=I156,"OK","OUT"))</f>
        <v/>
      </c>
      <c r="K156" s="10" t="n"/>
      <c r="L156" s="10" t="n"/>
      <c r="M156" s="12" t="n"/>
      <c r="N156" s="10" t="n"/>
    </row>
    <row r="157">
      <c r="A157" s="12" t="n"/>
      <c r="B157" s="10" t="n"/>
      <c r="C157" s="10" t="n"/>
      <c r="D157" s="10" t="n"/>
      <c r="E157" s="13" t="n"/>
      <c r="F157" s="11" t="n"/>
      <c r="G157" s="11" t="n"/>
      <c r="H157" s="11">
        <f>IFERROR(SQRT(F157^2+G157^2),"")</f>
        <v/>
      </c>
      <c r="I157" s="11">
        <f>IFERROR((E157*12)/PlumbRatio,"")</f>
        <v/>
      </c>
      <c r="J157" s="10">
        <f>IF(OR(H157="",I157=""),"",IF(H157&lt;=I157,"OK","OUT"))</f>
        <v/>
      </c>
      <c r="K157" s="10" t="n"/>
      <c r="L157" s="10" t="n"/>
      <c r="M157" s="12" t="n"/>
      <c r="N157" s="10" t="n"/>
    </row>
    <row r="158">
      <c r="A158" s="12" t="n"/>
      <c r="B158" s="10" t="n"/>
      <c r="C158" s="10" t="n"/>
      <c r="D158" s="10" t="n"/>
      <c r="E158" s="13" t="n"/>
      <c r="F158" s="11" t="n"/>
      <c r="G158" s="11" t="n"/>
      <c r="H158" s="11">
        <f>IFERROR(SQRT(F158^2+G158^2),"")</f>
        <v/>
      </c>
      <c r="I158" s="11">
        <f>IFERROR((E158*12)/PlumbRatio,"")</f>
        <v/>
      </c>
      <c r="J158" s="10">
        <f>IF(OR(H158="",I158=""),"",IF(H158&lt;=I158,"OK","OUT"))</f>
        <v/>
      </c>
      <c r="K158" s="10" t="n"/>
      <c r="L158" s="10" t="n"/>
      <c r="M158" s="12" t="n"/>
      <c r="N158" s="10" t="n"/>
    </row>
    <row r="159">
      <c r="A159" s="12" t="n"/>
      <c r="B159" s="10" t="n"/>
      <c r="C159" s="10" t="n"/>
      <c r="D159" s="10" t="n"/>
      <c r="E159" s="13" t="n"/>
      <c r="F159" s="11" t="n"/>
      <c r="G159" s="11" t="n"/>
      <c r="H159" s="11">
        <f>IFERROR(SQRT(F159^2+G159^2),"")</f>
        <v/>
      </c>
      <c r="I159" s="11">
        <f>IFERROR((E159*12)/PlumbRatio,"")</f>
        <v/>
      </c>
      <c r="J159" s="10">
        <f>IF(OR(H159="",I159=""),"",IF(H159&lt;=I159,"OK","OUT"))</f>
        <v/>
      </c>
      <c r="K159" s="10" t="n"/>
      <c r="L159" s="10" t="n"/>
      <c r="M159" s="12" t="n"/>
      <c r="N159" s="10" t="n"/>
    </row>
    <row r="160">
      <c r="A160" s="12" t="n"/>
      <c r="B160" s="10" t="n"/>
      <c r="C160" s="10" t="n"/>
      <c r="D160" s="10" t="n"/>
      <c r="E160" s="13" t="n"/>
      <c r="F160" s="11" t="n"/>
      <c r="G160" s="11" t="n"/>
      <c r="H160" s="11">
        <f>IFERROR(SQRT(F160^2+G160^2),"")</f>
        <v/>
      </c>
      <c r="I160" s="11">
        <f>IFERROR((E160*12)/PlumbRatio,"")</f>
        <v/>
      </c>
      <c r="J160" s="10">
        <f>IF(OR(H160="",I160=""),"",IF(H160&lt;=I160,"OK","OUT"))</f>
        <v/>
      </c>
      <c r="K160" s="10" t="n"/>
      <c r="L160" s="10" t="n"/>
      <c r="M160" s="12" t="n"/>
      <c r="N160" s="10" t="n"/>
    </row>
    <row r="161">
      <c r="A161" s="12" t="n"/>
      <c r="B161" s="10" t="n"/>
      <c r="C161" s="10" t="n"/>
      <c r="D161" s="10" t="n"/>
      <c r="E161" s="13" t="n"/>
      <c r="F161" s="11" t="n"/>
      <c r="G161" s="11" t="n"/>
      <c r="H161" s="11">
        <f>IFERROR(SQRT(F161^2+G161^2),"")</f>
        <v/>
      </c>
      <c r="I161" s="11">
        <f>IFERROR((E161*12)/PlumbRatio,"")</f>
        <v/>
      </c>
      <c r="J161" s="10">
        <f>IF(OR(H161="",I161=""),"",IF(H161&lt;=I161,"OK","OUT"))</f>
        <v/>
      </c>
      <c r="K161" s="10" t="n"/>
      <c r="L161" s="10" t="n"/>
      <c r="M161" s="12" t="n"/>
      <c r="N161" s="10" t="n"/>
    </row>
    <row r="162">
      <c r="A162" s="12" t="n"/>
      <c r="B162" s="10" t="n"/>
      <c r="C162" s="10" t="n"/>
      <c r="D162" s="10" t="n"/>
      <c r="E162" s="13" t="n"/>
      <c r="F162" s="11" t="n"/>
      <c r="G162" s="11" t="n"/>
      <c r="H162" s="11">
        <f>IFERROR(SQRT(F162^2+G162^2),"")</f>
        <v/>
      </c>
      <c r="I162" s="11">
        <f>IFERROR((E162*12)/PlumbRatio,"")</f>
        <v/>
      </c>
      <c r="J162" s="10">
        <f>IF(OR(H162="",I162=""),"",IF(H162&lt;=I162,"OK","OUT"))</f>
        <v/>
      </c>
      <c r="K162" s="10" t="n"/>
      <c r="L162" s="10" t="n"/>
      <c r="M162" s="12" t="n"/>
      <c r="N162" s="10" t="n"/>
    </row>
    <row r="163">
      <c r="A163" s="12" t="n"/>
      <c r="B163" s="10" t="n"/>
      <c r="C163" s="10" t="n"/>
      <c r="D163" s="10" t="n"/>
      <c r="E163" s="13" t="n"/>
      <c r="F163" s="11" t="n"/>
      <c r="G163" s="11" t="n"/>
      <c r="H163" s="11">
        <f>IFERROR(SQRT(F163^2+G163^2),"")</f>
        <v/>
      </c>
      <c r="I163" s="11">
        <f>IFERROR((E163*12)/PlumbRatio,"")</f>
        <v/>
      </c>
      <c r="J163" s="10">
        <f>IF(OR(H163="",I163=""),"",IF(H163&lt;=I163,"OK","OUT"))</f>
        <v/>
      </c>
      <c r="K163" s="10" t="n"/>
      <c r="L163" s="10" t="n"/>
      <c r="M163" s="12" t="n"/>
      <c r="N163" s="10" t="n"/>
    </row>
    <row r="164">
      <c r="A164" s="12" t="n"/>
      <c r="B164" s="10" t="n"/>
      <c r="C164" s="10" t="n"/>
      <c r="D164" s="10" t="n"/>
      <c r="E164" s="13" t="n"/>
      <c r="F164" s="11" t="n"/>
      <c r="G164" s="11" t="n"/>
      <c r="H164" s="11">
        <f>IFERROR(SQRT(F164^2+G164^2),"")</f>
        <v/>
      </c>
      <c r="I164" s="11">
        <f>IFERROR((E164*12)/PlumbRatio,"")</f>
        <v/>
      </c>
      <c r="J164" s="10">
        <f>IF(OR(H164="",I164=""),"",IF(H164&lt;=I164,"OK","OUT"))</f>
        <v/>
      </c>
      <c r="K164" s="10" t="n"/>
      <c r="L164" s="10" t="n"/>
      <c r="M164" s="12" t="n"/>
      <c r="N164" s="10" t="n"/>
    </row>
    <row r="165">
      <c r="A165" s="12" t="n"/>
      <c r="B165" s="10" t="n"/>
      <c r="C165" s="10" t="n"/>
      <c r="D165" s="10" t="n"/>
      <c r="E165" s="13" t="n"/>
      <c r="F165" s="11" t="n"/>
      <c r="G165" s="11" t="n"/>
      <c r="H165" s="11">
        <f>IFERROR(SQRT(F165^2+G165^2),"")</f>
        <v/>
      </c>
      <c r="I165" s="11">
        <f>IFERROR((E165*12)/PlumbRatio,"")</f>
        <v/>
      </c>
      <c r="J165" s="10">
        <f>IF(OR(H165="",I165=""),"",IF(H165&lt;=I165,"OK","OUT"))</f>
        <v/>
      </c>
      <c r="K165" s="10" t="n"/>
      <c r="L165" s="10" t="n"/>
      <c r="M165" s="12" t="n"/>
      <c r="N165" s="10" t="n"/>
    </row>
    <row r="166">
      <c r="A166" s="12" t="n"/>
      <c r="B166" s="10" t="n"/>
      <c r="C166" s="10" t="n"/>
      <c r="D166" s="10" t="n"/>
      <c r="E166" s="13" t="n"/>
      <c r="F166" s="11" t="n"/>
      <c r="G166" s="11" t="n"/>
      <c r="H166" s="11">
        <f>IFERROR(SQRT(F166^2+G166^2),"")</f>
        <v/>
      </c>
      <c r="I166" s="11">
        <f>IFERROR((E166*12)/PlumbRatio,"")</f>
        <v/>
      </c>
      <c r="J166" s="10">
        <f>IF(OR(H166="",I166=""),"",IF(H166&lt;=I166,"OK","OUT"))</f>
        <v/>
      </c>
      <c r="K166" s="10" t="n"/>
      <c r="L166" s="10" t="n"/>
      <c r="M166" s="12" t="n"/>
      <c r="N166" s="10" t="n"/>
    </row>
    <row r="167">
      <c r="A167" s="12" t="n"/>
      <c r="B167" s="10" t="n"/>
      <c r="C167" s="10" t="n"/>
      <c r="D167" s="10" t="n"/>
      <c r="E167" s="13" t="n"/>
      <c r="F167" s="11" t="n"/>
      <c r="G167" s="11" t="n"/>
      <c r="H167" s="11">
        <f>IFERROR(SQRT(F167^2+G167^2),"")</f>
        <v/>
      </c>
      <c r="I167" s="11">
        <f>IFERROR((E167*12)/PlumbRatio,"")</f>
        <v/>
      </c>
      <c r="J167" s="10">
        <f>IF(OR(H167="",I167=""),"",IF(H167&lt;=I167,"OK","OUT"))</f>
        <v/>
      </c>
      <c r="K167" s="10" t="n"/>
      <c r="L167" s="10" t="n"/>
      <c r="M167" s="12" t="n"/>
      <c r="N167" s="10" t="n"/>
    </row>
    <row r="168">
      <c r="A168" s="12" t="n"/>
      <c r="B168" s="10" t="n"/>
      <c r="C168" s="10" t="n"/>
      <c r="D168" s="10" t="n"/>
      <c r="E168" s="13" t="n"/>
      <c r="F168" s="11" t="n"/>
      <c r="G168" s="11" t="n"/>
      <c r="H168" s="11">
        <f>IFERROR(SQRT(F168^2+G168^2),"")</f>
        <v/>
      </c>
      <c r="I168" s="11">
        <f>IFERROR((E168*12)/PlumbRatio,"")</f>
        <v/>
      </c>
      <c r="J168" s="10">
        <f>IF(OR(H168="",I168=""),"",IF(H168&lt;=I168,"OK","OUT"))</f>
        <v/>
      </c>
      <c r="K168" s="10" t="n"/>
      <c r="L168" s="10" t="n"/>
      <c r="M168" s="12" t="n"/>
      <c r="N168" s="10" t="n"/>
    </row>
    <row r="169">
      <c r="A169" s="12" t="n"/>
      <c r="B169" s="10" t="n"/>
      <c r="C169" s="10" t="n"/>
      <c r="D169" s="10" t="n"/>
      <c r="E169" s="13" t="n"/>
      <c r="F169" s="11" t="n"/>
      <c r="G169" s="11" t="n"/>
      <c r="H169" s="11">
        <f>IFERROR(SQRT(F169^2+G169^2),"")</f>
        <v/>
      </c>
      <c r="I169" s="11">
        <f>IFERROR((E169*12)/PlumbRatio,"")</f>
        <v/>
      </c>
      <c r="J169" s="10">
        <f>IF(OR(H169="",I169=""),"",IF(H169&lt;=I169,"OK","OUT"))</f>
        <v/>
      </c>
      <c r="K169" s="10" t="n"/>
      <c r="L169" s="10" t="n"/>
      <c r="M169" s="12" t="n"/>
      <c r="N169" s="10" t="n"/>
    </row>
    <row r="170">
      <c r="A170" s="12" t="n"/>
      <c r="B170" s="10" t="n"/>
      <c r="C170" s="10" t="n"/>
      <c r="D170" s="10" t="n"/>
      <c r="E170" s="13" t="n"/>
      <c r="F170" s="11" t="n"/>
      <c r="G170" s="11" t="n"/>
      <c r="H170" s="11">
        <f>IFERROR(SQRT(F170^2+G170^2),"")</f>
        <v/>
      </c>
      <c r="I170" s="11">
        <f>IFERROR((E170*12)/PlumbRatio,"")</f>
        <v/>
      </c>
      <c r="J170" s="10">
        <f>IF(OR(H170="",I170=""),"",IF(H170&lt;=I170,"OK","OUT"))</f>
        <v/>
      </c>
      <c r="K170" s="10" t="n"/>
      <c r="L170" s="10" t="n"/>
      <c r="M170" s="12" t="n"/>
      <c r="N170" s="10" t="n"/>
    </row>
    <row r="171">
      <c r="A171" s="12" t="n"/>
      <c r="B171" s="10" t="n"/>
      <c r="C171" s="10" t="n"/>
      <c r="D171" s="10" t="n"/>
      <c r="E171" s="13" t="n"/>
      <c r="F171" s="11" t="n"/>
      <c r="G171" s="11" t="n"/>
      <c r="H171" s="11">
        <f>IFERROR(SQRT(F171^2+G171^2),"")</f>
        <v/>
      </c>
      <c r="I171" s="11">
        <f>IFERROR((E171*12)/PlumbRatio,"")</f>
        <v/>
      </c>
      <c r="J171" s="10">
        <f>IF(OR(H171="",I171=""),"",IF(H171&lt;=I171,"OK","OUT"))</f>
        <v/>
      </c>
      <c r="K171" s="10" t="n"/>
      <c r="L171" s="10" t="n"/>
      <c r="M171" s="12" t="n"/>
      <c r="N171" s="10" t="n"/>
    </row>
    <row r="172">
      <c r="A172" s="12" t="n"/>
      <c r="B172" s="10" t="n"/>
      <c r="C172" s="10" t="n"/>
      <c r="D172" s="10" t="n"/>
      <c r="E172" s="13" t="n"/>
      <c r="F172" s="11" t="n"/>
      <c r="G172" s="11" t="n"/>
      <c r="H172" s="11">
        <f>IFERROR(SQRT(F172^2+G172^2),"")</f>
        <v/>
      </c>
      <c r="I172" s="11">
        <f>IFERROR((E172*12)/PlumbRatio,"")</f>
        <v/>
      </c>
      <c r="J172" s="10">
        <f>IF(OR(H172="",I172=""),"",IF(H172&lt;=I172,"OK","OUT"))</f>
        <v/>
      </c>
      <c r="K172" s="10" t="n"/>
      <c r="L172" s="10" t="n"/>
      <c r="M172" s="12" t="n"/>
      <c r="N172" s="10" t="n"/>
    </row>
    <row r="173">
      <c r="A173" s="12" t="n"/>
      <c r="B173" s="10" t="n"/>
      <c r="C173" s="10" t="n"/>
      <c r="D173" s="10" t="n"/>
      <c r="E173" s="13" t="n"/>
      <c r="F173" s="11" t="n"/>
      <c r="G173" s="11" t="n"/>
      <c r="H173" s="11">
        <f>IFERROR(SQRT(F173^2+G173^2),"")</f>
        <v/>
      </c>
      <c r="I173" s="11">
        <f>IFERROR((E173*12)/PlumbRatio,"")</f>
        <v/>
      </c>
      <c r="J173" s="10">
        <f>IF(OR(H173="",I173=""),"",IF(H173&lt;=I173,"OK","OUT"))</f>
        <v/>
      </c>
      <c r="K173" s="10" t="n"/>
      <c r="L173" s="10" t="n"/>
      <c r="M173" s="12" t="n"/>
      <c r="N173" s="10" t="n"/>
    </row>
    <row r="174">
      <c r="A174" s="12" t="n"/>
      <c r="B174" s="10" t="n"/>
      <c r="C174" s="10" t="n"/>
      <c r="D174" s="10" t="n"/>
      <c r="E174" s="13" t="n"/>
      <c r="F174" s="11" t="n"/>
      <c r="G174" s="11" t="n"/>
      <c r="H174" s="11">
        <f>IFERROR(SQRT(F174^2+G174^2),"")</f>
        <v/>
      </c>
      <c r="I174" s="11">
        <f>IFERROR((E174*12)/PlumbRatio,"")</f>
        <v/>
      </c>
      <c r="J174" s="10">
        <f>IF(OR(H174="",I174=""),"",IF(H174&lt;=I174,"OK","OUT"))</f>
        <v/>
      </c>
      <c r="K174" s="10" t="n"/>
      <c r="L174" s="10" t="n"/>
      <c r="M174" s="12" t="n"/>
      <c r="N174" s="10" t="n"/>
    </row>
    <row r="175">
      <c r="A175" s="12" t="n"/>
      <c r="B175" s="10" t="n"/>
      <c r="C175" s="10" t="n"/>
      <c r="D175" s="10" t="n"/>
      <c r="E175" s="13" t="n"/>
      <c r="F175" s="11" t="n"/>
      <c r="G175" s="11" t="n"/>
      <c r="H175" s="11">
        <f>IFERROR(SQRT(F175^2+G175^2),"")</f>
        <v/>
      </c>
      <c r="I175" s="11">
        <f>IFERROR((E175*12)/PlumbRatio,"")</f>
        <v/>
      </c>
      <c r="J175" s="10">
        <f>IF(OR(H175="",I175=""),"",IF(H175&lt;=I175,"OK","OUT"))</f>
        <v/>
      </c>
      <c r="K175" s="10" t="n"/>
      <c r="L175" s="10" t="n"/>
      <c r="M175" s="12" t="n"/>
      <c r="N175" s="10" t="n"/>
    </row>
    <row r="176">
      <c r="A176" s="12" t="n"/>
      <c r="B176" s="10" t="n"/>
      <c r="C176" s="10" t="n"/>
      <c r="D176" s="10" t="n"/>
      <c r="E176" s="13" t="n"/>
      <c r="F176" s="11" t="n"/>
      <c r="G176" s="11" t="n"/>
      <c r="H176" s="11">
        <f>IFERROR(SQRT(F176^2+G176^2),"")</f>
        <v/>
      </c>
      <c r="I176" s="11">
        <f>IFERROR((E176*12)/PlumbRatio,"")</f>
        <v/>
      </c>
      <c r="J176" s="10">
        <f>IF(OR(H176="",I176=""),"",IF(H176&lt;=I176,"OK","OUT"))</f>
        <v/>
      </c>
      <c r="K176" s="10" t="n"/>
      <c r="L176" s="10" t="n"/>
      <c r="M176" s="12" t="n"/>
      <c r="N176" s="10" t="n"/>
    </row>
    <row r="177">
      <c r="A177" s="12" t="n"/>
      <c r="B177" s="10" t="n"/>
      <c r="C177" s="10" t="n"/>
      <c r="D177" s="10" t="n"/>
      <c r="E177" s="13" t="n"/>
      <c r="F177" s="11" t="n"/>
      <c r="G177" s="11" t="n"/>
      <c r="H177" s="11">
        <f>IFERROR(SQRT(F177^2+G177^2),"")</f>
        <v/>
      </c>
      <c r="I177" s="11">
        <f>IFERROR((E177*12)/PlumbRatio,"")</f>
        <v/>
      </c>
      <c r="J177" s="10">
        <f>IF(OR(H177="",I177=""),"",IF(H177&lt;=I177,"OK","OUT"))</f>
        <v/>
      </c>
      <c r="K177" s="10" t="n"/>
      <c r="L177" s="10" t="n"/>
      <c r="M177" s="12" t="n"/>
      <c r="N177" s="10" t="n"/>
    </row>
    <row r="178">
      <c r="A178" s="12" t="n"/>
      <c r="B178" s="10" t="n"/>
      <c r="C178" s="10" t="n"/>
      <c r="D178" s="10" t="n"/>
      <c r="E178" s="13" t="n"/>
      <c r="F178" s="11" t="n"/>
      <c r="G178" s="11" t="n"/>
      <c r="H178" s="11">
        <f>IFERROR(SQRT(F178^2+G178^2),"")</f>
        <v/>
      </c>
      <c r="I178" s="11">
        <f>IFERROR((E178*12)/PlumbRatio,"")</f>
        <v/>
      </c>
      <c r="J178" s="10">
        <f>IF(OR(H178="",I178=""),"",IF(H178&lt;=I178,"OK","OUT"))</f>
        <v/>
      </c>
      <c r="K178" s="10" t="n"/>
      <c r="L178" s="10" t="n"/>
      <c r="M178" s="12" t="n"/>
      <c r="N178" s="10" t="n"/>
    </row>
    <row r="179">
      <c r="A179" s="12" t="n"/>
      <c r="B179" s="10" t="n"/>
      <c r="C179" s="10" t="n"/>
      <c r="D179" s="10" t="n"/>
      <c r="E179" s="13" t="n"/>
      <c r="F179" s="11" t="n"/>
      <c r="G179" s="11" t="n"/>
      <c r="H179" s="11">
        <f>IFERROR(SQRT(F179^2+G179^2),"")</f>
        <v/>
      </c>
      <c r="I179" s="11">
        <f>IFERROR((E179*12)/PlumbRatio,"")</f>
        <v/>
      </c>
      <c r="J179" s="10">
        <f>IF(OR(H179="",I179=""),"",IF(H179&lt;=I179,"OK","OUT"))</f>
        <v/>
      </c>
      <c r="K179" s="10" t="n"/>
      <c r="L179" s="10" t="n"/>
      <c r="M179" s="12" t="n"/>
      <c r="N179" s="10" t="n"/>
    </row>
    <row r="180">
      <c r="A180" s="12" t="n"/>
      <c r="B180" s="10" t="n"/>
      <c r="C180" s="10" t="n"/>
      <c r="D180" s="10" t="n"/>
      <c r="E180" s="13" t="n"/>
      <c r="F180" s="11" t="n"/>
      <c r="G180" s="11" t="n"/>
      <c r="H180" s="11">
        <f>IFERROR(SQRT(F180^2+G180^2),"")</f>
        <v/>
      </c>
      <c r="I180" s="11">
        <f>IFERROR((E180*12)/PlumbRatio,"")</f>
        <v/>
      </c>
      <c r="J180" s="10">
        <f>IF(OR(H180="",I180=""),"",IF(H180&lt;=I180,"OK","OUT"))</f>
        <v/>
      </c>
      <c r="K180" s="10" t="n"/>
      <c r="L180" s="10" t="n"/>
      <c r="M180" s="12" t="n"/>
      <c r="N180" s="10" t="n"/>
    </row>
    <row r="181">
      <c r="A181" s="12" t="n"/>
      <c r="B181" s="10" t="n"/>
      <c r="C181" s="10" t="n"/>
      <c r="D181" s="10" t="n"/>
      <c r="E181" s="13" t="n"/>
      <c r="F181" s="11" t="n"/>
      <c r="G181" s="11" t="n"/>
      <c r="H181" s="11">
        <f>IFERROR(SQRT(F181^2+G181^2),"")</f>
        <v/>
      </c>
      <c r="I181" s="11">
        <f>IFERROR((E181*12)/PlumbRatio,"")</f>
        <v/>
      </c>
      <c r="J181" s="10">
        <f>IF(OR(H181="",I181=""),"",IF(H181&lt;=I181,"OK","OUT"))</f>
        <v/>
      </c>
      <c r="K181" s="10" t="n"/>
      <c r="L181" s="10" t="n"/>
      <c r="M181" s="12" t="n"/>
      <c r="N181" s="10" t="n"/>
    </row>
    <row r="182">
      <c r="A182" s="12" t="n"/>
      <c r="B182" s="10" t="n"/>
      <c r="C182" s="10" t="n"/>
      <c r="D182" s="10" t="n"/>
      <c r="E182" s="13" t="n"/>
      <c r="F182" s="11" t="n"/>
      <c r="G182" s="11" t="n"/>
      <c r="H182" s="11">
        <f>IFERROR(SQRT(F182^2+G182^2),"")</f>
        <v/>
      </c>
      <c r="I182" s="11">
        <f>IFERROR((E182*12)/PlumbRatio,"")</f>
        <v/>
      </c>
      <c r="J182" s="10">
        <f>IF(OR(H182="",I182=""),"",IF(H182&lt;=I182,"OK","OUT"))</f>
        <v/>
      </c>
      <c r="K182" s="10" t="n"/>
      <c r="L182" s="10" t="n"/>
      <c r="M182" s="12" t="n"/>
      <c r="N182" s="10" t="n"/>
    </row>
    <row r="183">
      <c r="A183" s="12" t="n"/>
      <c r="B183" s="10" t="n"/>
      <c r="C183" s="10" t="n"/>
      <c r="D183" s="10" t="n"/>
      <c r="E183" s="13" t="n"/>
      <c r="F183" s="11" t="n"/>
      <c r="G183" s="11" t="n"/>
      <c r="H183" s="11">
        <f>IFERROR(SQRT(F183^2+G183^2),"")</f>
        <v/>
      </c>
      <c r="I183" s="11">
        <f>IFERROR((E183*12)/PlumbRatio,"")</f>
        <v/>
      </c>
      <c r="J183" s="10">
        <f>IF(OR(H183="",I183=""),"",IF(H183&lt;=I183,"OK","OUT"))</f>
        <v/>
      </c>
      <c r="K183" s="10" t="n"/>
      <c r="L183" s="10" t="n"/>
      <c r="M183" s="12" t="n"/>
      <c r="N183" s="10" t="n"/>
    </row>
    <row r="184">
      <c r="A184" s="12" t="n"/>
      <c r="B184" s="10" t="n"/>
      <c r="C184" s="10" t="n"/>
      <c r="D184" s="10" t="n"/>
      <c r="E184" s="13" t="n"/>
      <c r="F184" s="11" t="n"/>
      <c r="G184" s="11" t="n"/>
      <c r="H184" s="11">
        <f>IFERROR(SQRT(F184^2+G184^2),"")</f>
        <v/>
      </c>
      <c r="I184" s="11">
        <f>IFERROR((E184*12)/PlumbRatio,"")</f>
        <v/>
      </c>
      <c r="J184" s="10">
        <f>IF(OR(H184="",I184=""),"",IF(H184&lt;=I184,"OK","OUT"))</f>
        <v/>
      </c>
      <c r="K184" s="10" t="n"/>
      <c r="L184" s="10" t="n"/>
      <c r="M184" s="12" t="n"/>
      <c r="N184" s="10" t="n"/>
    </row>
    <row r="185">
      <c r="A185" s="12" t="n"/>
      <c r="B185" s="10" t="n"/>
      <c r="C185" s="10" t="n"/>
      <c r="D185" s="10" t="n"/>
      <c r="E185" s="13" t="n"/>
      <c r="F185" s="11" t="n"/>
      <c r="G185" s="11" t="n"/>
      <c r="H185" s="11">
        <f>IFERROR(SQRT(F185^2+G185^2),"")</f>
        <v/>
      </c>
      <c r="I185" s="11">
        <f>IFERROR((E185*12)/PlumbRatio,"")</f>
        <v/>
      </c>
      <c r="J185" s="10">
        <f>IF(OR(H185="",I185=""),"",IF(H185&lt;=I185,"OK","OUT"))</f>
        <v/>
      </c>
      <c r="K185" s="10" t="n"/>
      <c r="L185" s="10" t="n"/>
      <c r="M185" s="12" t="n"/>
      <c r="N185" s="10" t="n"/>
    </row>
    <row r="186">
      <c r="A186" s="12" t="n"/>
      <c r="B186" s="10" t="n"/>
      <c r="C186" s="10" t="n"/>
      <c r="D186" s="10" t="n"/>
      <c r="E186" s="13" t="n"/>
      <c r="F186" s="11" t="n"/>
      <c r="G186" s="11" t="n"/>
      <c r="H186" s="11">
        <f>IFERROR(SQRT(F186^2+G186^2),"")</f>
        <v/>
      </c>
      <c r="I186" s="11">
        <f>IFERROR((E186*12)/PlumbRatio,"")</f>
        <v/>
      </c>
      <c r="J186" s="10">
        <f>IF(OR(H186="",I186=""),"",IF(H186&lt;=I186,"OK","OUT"))</f>
        <v/>
      </c>
      <c r="K186" s="10" t="n"/>
      <c r="L186" s="10" t="n"/>
      <c r="M186" s="12" t="n"/>
      <c r="N186" s="10" t="n"/>
    </row>
    <row r="187">
      <c r="A187" s="12" t="n"/>
      <c r="B187" s="10" t="n"/>
      <c r="C187" s="10" t="n"/>
      <c r="D187" s="10" t="n"/>
      <c r="E187" s="13" t="n"/>
      <c r="F187" s="11" t="n"/>
      <c r="G187" s="11" t="n"/>
      <c r="H187" s="11">
        <f>IFERROR(SQRT(F187^2+G187^2),"")</f>
        <v/>
      </c>
      <c r="I187" s="11">
        <f>IFERROR((E187*12)/PlumbRatio,"")</f>
        <v/>
      </c>
      <c r="J187" s="10">
        <f>IF(OR(H187="",I187=""),"",IF(H187&lt;=I187,"OK","OUT"))</f>
        <v/>
      </c>
      <c r="K187" s="10" t="n"/>
      <c r="L187" s="10" t="n"/>
      <c r="M187" s="12" t="n"/>
      <c r="N187" s="10" t="n"/>
    </row>
    <row r="188">
      <c r="A188" s="12" t="n"/>
      <c r="B188" s="10" t="n"/>
      <c r="C188" s="10" t="n"/>
      <c r="D188" s="10" t="n"/>
      <c r="E188" s="13" t="n"/>
      <c r="F188" s="11" t="n"/>
      <c r="G188" s="11" t="n"/>
      <c r="H188" s="11">
        <f>IFERROR(SQRT(F188^2+G188^2),"")</f>
        <v/>
      </c>
      <c r="I188" s="11">
        <f>IFERROR((E188*12)/PlumbRatio,"")</f>
        <v/>
      </c>
      <c r="J188" s="10">
        <f>IF(OR(H188="",I188=""),"",IF(H188&lt;=I188,"OK","OUT"))</f>
        <v/>
      </c>
      <c r="K188" s="10" t="n"/>
      <c r="L188" s="10" t="n"/>
      <c r="M188" s="12" t="n"/>
      <c r="N188" s="10" t="n"/>
    </row>
    <row r="189">
      <c r="A189" s="12" t="n"/>
      <c r="B189" s="10" t="n"/>
      <c r="C189" s="10" t="n"/>
      <c r="D189" s="10" t="n"/>
      <c r="E189" s="13" t="n"/>
      <c r="F189" s="11" t="n"/>
      <c r="G189" s="11" t="n"/>
      <c r="H189" s="11">
        <f>IFERROR(SQRT(F189^2+G189^2),"")</f>
        <v/>
      </c>
      <c r="I189" s="11">
        <f>IFERROR((E189*12)/PlumbRatio,"")</f>
        <v/>
      </c>
      <c r="J189" s="10">
        <f>IF(OR(H189="",I189=""),"",IF(H189&lt;=I189,"OK","OUT"))</f>
        <v/>
      </c>
      <c r="K189" s="10" t="n"/>
      <c r="L189" s="10" t="n"/>
      <c r="M189" s="12" t="n"/>
      <c r="N189" s="10" t="n"/>
    </row>
    <row r="190">
      <c r="A190" s="12" t="n"/>
      <c r="B190" s="10" t="n"/>
      <c r="C190" s="10" t="n"/>
      <c r="D190" s="10" t="n"/>
      <c r="E190" s="13" t="n"/>
      <c r="F190" s="11" t="n"/>
      <c r="G190" s="11" t="n"/>
      <c r="H190" s="11">
        <f>IFERROR(SQRT(F190^2+G190^2),"")</f>
        <v/>
      </c>
      <c r="I190" s="11">
        <f>IFERROR((E190*12)/PlumbRatio,"")</f>
        <v/>
      </c>
      <c r="J190" s="10">
        <f>IF(OR(H190="",I190=""),"",IF(H190&lt;=I190,"OK","OUT"))</f>
        <v/>
      </c>
      <c r="K190" s="10" t="n"/>
      <c r="L190" s="10" t="n"/>
      <c r="M190" s="12" t="n"/>
      <c r="N190" s="10" t="n"/>
    </row>
    <row r="191">
      <c r="A191" s="12" t="n"/>
      <c r="B191" s="10" t="n"/>
      <c r="C191" s="10" t="n"/>
      <c r="D191" s="10" t="n"/>
      <c r="E191" s="13" t="n"/>
      <c r="F191" s="11" t="n"/>
      <c r="G191" s="11" t="n"/>
      <c r="H191" s="11">
        <f>IFERROR(SQRT(F191^2+G191^2),"")</f>
        <v/>
      </c>
      <c r="I191" s="11">
        <f>IFERROR((E191*12)/PlumbRatio,"")</f>
        <v/>
      </c>
      <c r="J191" s="10">
        <f>IF(OR(H191="",I191=""),"",IF(H191&lt;=I191,"OK","OUT"))</f>
        <v/>
      </c>
      <c r="K191" s="10" t="n"/>
      <c r="L191" s="10" t="n"/>
      <c r="M191" s="12" t="n"/>
      <c r="N191" s="10" t="n"/>
    </row>
    <row r="192">
      <c r="A192" s="12" t="n"/>
      <c r="B192" s="10" t="n"/>
      <c r="C192" s="10" t="n"/>
      <c r="D192" s="10" t="n"/>
      <c r="E192" s="13" t="n"/>
      <c r="F192" s="11" t="n"/>
      <c r="G192" s="11" t="n"/>
      <c r="H192" s="11">
        <f>IFERROR(SQRT(F192^2+G192^2),"")</f>
        <v/>
      </c>
      <c r="I192" s="11">
        <f>IFERROR((E192*12)/PlumbRatio,"")</f>
        <v/>
      </c>
      <c r="J192" s="10">
        <f>IF(OR(H192="",I192=""),"",IF(H192&lt;=I192,"OK","OUT"))</f>
        <v/>
      </c>
      <c r="K192" s="10" t="n"/>
      <c r="L192" s="10" t="n"/>
      <c r="M192" s="12" t="n"/>
      <c r="N192" s="10" t="n"/>
    </row>
    <row r="193">
      <c r="A193" s="12" t="n"/>
      <c r="B193" s="10" t="n"/>
      <c r="C193" s="10" t="n"/>
      <c r="D193" s="10" t="n"/>
      <c r="E193" s="13" t="n"/>
      <c r="F193" s="11" t="n"/>
      <c r="G193" s="11" t="n"/>
      <c r="H193" s="11">
        <f>IFERROR(SQRT(F193^2+G193^2),"")</f>
        <v/>
      </c>
      <c r="I193" s="11">
        <f>IFERROR((E193*12)/PlumbRatio,"")</f>
        <v/>
      </c>
      <c r="J193" s="10">
        <f>IF(OR(H193="",I193=""),"",IF(H193&lt;=I193,"OK","OUT"))</f>
        <v/>
      </c>
      <c r="K193" s="10" t="n"/>
      <c r="L193" s="10" t="n"/>
      <c r="M193" s="12" t="n"/>
      <c r="N193" s="10" t="n"/>
    </row>
    <row r="194">
      <c r="A194" s="12" t="n"/>
      <c r="B194" s="10" t="n"/>
      <c r="C194" s="10" t="n"/>
      <c r="D194" s="10" t="n"/>
      <c r="E194" s="13" t="n"/>
      <c r="F194" s="11" t="n"/>
      <c r="G194" s="11" t="n"/>
      <c r="H194" s="11">
        <f>IFERROR(SQRT(F194^2+G194^2),"")</f>
        <v/>
      </c>
      <c r="I194" s="11">
        <f>IFERROR((E194*12)/PlumbRatio,"")</f>
        <v/>
      </c>
      <c r="J194" s="10">
        <f>IF(OR(H194="",I194=""),"",IF(H194&lt;=I194,"OK","OUT"))</f>
        <v/>
      </c>
      <c r="K194" s="10" t="n"/>
      <c r="L194" s="10" t="n"/>
      <c r="M194" s="12" t="n"/>
      <c r="N194" s="10" t="n"/>
    </row>
    <row r="195">
      <c r="A195" s="12" t="n"/>
      <c r="B195" s="10" t="n"/>
      <c r="C195" s="10" t="n"/>
      <c r="D195" s="10" t="n"/>
      <c r="E195" s="13" t="n"/>
      <c r="F195" s="11" t="n"/>
      <c r="G195" s="11" t="n"/>
      <c r="H195" s="11">
        <f>IFERROR(SQRT(F195^2+G195^2),"")</f>
        <v/>
      </c>
      <c r="I195" s="11">
        <f>IFERROR((E195*12)/PlumbRatio,"")</f>
        <v/>
      </c>
      <c r="J195" s="10">
        <f>IF(OR(H195="",I195=""),"",IF(H195&lt;=I195,"OK","OUT"))</f>
        <v/>
      </c>
      <c r="K195" s="10" t="n"/>
      <c r="L195" s="10" t="n"/>
      <c r="M195" s="12" t="n"/>
      <c r="N195" s="10" t="n"/>
    </row>
    <row r="196">
      <c r="A196" s="12" t="n"/>
      <c r="B196" s="10" t="n"/>
      <c r="C196" s="10" t="n"/>
      <c r="D196" s="10" t="n"/>
      <c r="E196" s="13" t="n"/>
      <c r="F196" s="11" t="n"/>
      <c r="G196" s="11" t="n"/>
      <c r="H196" s="11">
        <f>IFERROR(SQRT(F196^2+G196^2),"")</f>
        <v/>
      </c>
      <c r="I196" s="11">
        <f>IFERROR((E196*12)/PlumbRatio,"")</f>
        <v/>
      </c>
      <c r="J196" s="10">
        <f>IF(OR(H196="",I196=""),"",IF(H196&lt;=I196,"OK","OUT"))</f>
        <v/>
      </c>
      <c r="K196" s="10" t="n"/>
      <c r="L196" s="10" t="n"/>
      <c r="M196" s="12" t="n"/>
      <c r="N196" s="10" t="n"/>
    </row>
    <row r="197">
      <c r="A197" s="12" t="n"/>
      <c r="B197" s="10" t="n"/>
      <c r="C197" s="10" t="n"/>
      <c r="D197" s="10" t="n"/>
      <c r="E197" s="13" t="n"/>
      <c r="F197" s="11" t="n"/>
      <c r="G197" s="11" t="n"/>
      <c r="H197" s="11">
        <f>IFERROR(SQRT(F197^2+G197^2),"")</f>
        <v/>
      </c>
      <c r="I197" s="11">
        <f>IFERROR((E197*12)/PlumbRatio,"")</f>
        <v/>
      </c>
      <c r="J197" s="10">
        <f>IF(OR(H197="",I197=""),"",IF(H197&lt;=I197,"OK","OUT"))</f>
        <v/>
      </c>
      <c r="K197" s="10" t="n"/>
      <c r="L197" s="10" t="n"/>
      <c r="M197" s="12" t="n"/>
      <c r="N197" s="10" t="n"/>
    </row>
    <row r="198">
      <c r="A198" s="12" t="n"/>
      <c r="B198" s="10" t="n"/>
      <c r="C198" s="10" t="n"/>
      <c r="D198" s="10" t="n"/>
      <c r="E198" s="13" t="n"/>
      <c r="F198" s="11" t="n"/>
      <c r="G198" s="11" t="n"/>
      <c r="H198" s="11">
        <f>IFERROR(SQRT(F198^2+G198^2),"")</f>
        <v/>
      </c>
      <c r="I198" s="11">
        <f>IFERROR((E198*12)/PlumbRatio,"")</f>
        <v/>
      </c>
      <c r="J198" s="10">
        <f>IF(OR(H198="",I198=""),"",IF(H198&lt;=I198,"OK","OUT"))</f>
        <v/>
      </c>
      <c r="K198" s="10" t="n"/>
      <c r="L198" s="10" t="n"/>
      <c r="M198" s="12" t="n"/>
      <c r="N198" s="10" t="n"/>
    </row>
    <row r="199">
      <c r="A199" s="12" t="n"/>
      <c r="B199" s="10" t="n"/>
      <c r="C199" s="10" t="n"/>
      <c r="D199" s="10" t="n"/>
      <c r="E199" s="13" t="n"/>
      <c r="F199" s="11" t="n"/>
      <c r="G199" s="11" t="n"/>
      <c r="H199" s="11">
        <f>IFERROR(SQRT(F199^2+G199^2),"")</f>
        <v/>
      </c>
      <c r="I199" s="11">
        <f>IFERROR((E199*12)/PlumbRatio,"")</f>
        <v/>
      </c>
      <c r="J199" s="10">
        <f>IF(OR(H199="",I199=""),"",IF(H199&lt;=I199,"OK","OUT"))</f>
        <v/>
      </c>
      <c r="K199" s="10" t="n"/>
      <c r="L199" s="10" t="n"/>
      <c r="M199" s="12" t="n"/>
      <c r="N199" s="10" t="n"/>
    </row>
    <row r="200">
      <c r="A200" s="12" t="n"/>
      <c r="B200" s="10" t="n"/>
      <c r="C200" s="10" t="n"/>
      <c r="D200" s="10" t="n"/>
      <c r="E200" s="13" t="n"/>
      <c r="F200" s="11" t="n"/>
      <c r="G200" s="11" t="n"/>
      <c r="H200" s="11">
        <f>IFERROR(SQRT(F200^2+G200^2),"")</f>
        <v/>
      </c>
      <c r="I200" s="11">
        <f>IFERROR((E200*12)/PlumbRatio,"")</f>
        <v/>
      </c>
      <c r="J200" s="10">
        <f>IF(OR(H200="",I200=""),"",IF(H200&lt;=I200,"OK","OUT"))</f>
        <v/>
      </c>
      <c r="K200" s="10" t="n"/>
      <c r="L200" s="10" t="n"/>
      <c r="M200" s="12" t="n"/>
      <c r="N200" s="10" t="n"/>
    </row>
    <row r="201">
      <c r="A201" s="12" t="n"/>
      <c r="B201" s="10" t="n"/>
      <c r="C201" s="10" t="n"/>
      <c r="D201" s="10" t="n"/>
      <c r="E201" s="13" t="n"/>
      <c r="F201" s="11" t="n"/>
      <c r="G201" s="11" t="n"/>
      <c r="H201" s="11">
        <f>IFERROR(SQRT(F201^2+G201^2),"")</f>
        <v/>
      </c>
      <c r="I201" s="11">
        <f>IFERROR((E201*12)/PlumbRatio,"")</f>
        <v/>
      </c>
      <c r="J201" s="10">
        <f>IF(OR(H201="",I201=""),"",IF(H201&lt;=I201,"OK","OUT"))</f>
        <v/>
      </c>
      <c r="K201" s="10" t="n"/>
      <c r="L201" s="10" t="n"/>
      <c r="M201" s="12" t="n"/>
      <c r="N201" s="10" t="n"/>
    </row>
    <row r="202">
      <c r="A202" s="12" t="n"/>
      <c r="B202" s="10" t="n"/>
      <c r="C202" s="10" t="n"/>
      <c r="D202" s="10" t="n"/>
      <c r="E202" s="13" t="n"/>
      <c r="F202" s="11" t="n"/>
      <c r="G202" s="11" t="n"/>
      <c r="H202" s="11">
        <f>IFERROR(SQRT(F202^2+G202^2),"")</f>
        <v/>
      </c>
      <c r="I202" s="11">
        <f>IFERROR((E202*12)/PlumbRatio,"")</f>
        <v/>
      </c>
      <c r="J202" s="10">
        <f>IF(OR(H202="",I202=""),"",IF(H202&lt;=I202,"OK","OUT"))</f>
        <v/>
      </c>
      <c r="K202" s="10" t="n"/>
      <c r="L202" s="10" t="n"/>
      <c r="M202" s="12" t="n"/>
      <c r="N202" s="10" t="n"/>
    </row>
    <row r="203">
      <c r="A203" s="12" t="n"/>
      <c r="B203" s="10" t="n"/>
      <c r="C203" s="10" t="n"/>
      <c r="D203" s="10" t="n"/>
      <c r="E203" s="13" t="n"/>
      <c r="F203" s="11" t="n"/>
      <c r="G203" s="11" t="n"/>
      <c r="H203" s="11">
        <f>IFERROR(SQRT(F203^2+G203^2),"")</f>
        <v/>
      </c>
      <c r="I203" s="11">
        <f>IFERROR((E203*12)/PlumbRatio,"")</f>
        <v/>
      </c>
      <c r="J203" s="10">
        <f>IF(OR(H203="",I203=""),"",IF(H203&lt;=I203,"OK","OUT"))</f>
        <v/>
      </c>
      <c r="K203" s="10" t="n"/>
      <c r="L203" s="10" t="n"/>
      <c r="M203" s="12" t="n"/>
      <c r="N203" s="10" t="n"/>
    </row>
    <row r="204">
      <c r="A204" s="12" t="n"/>
      <c r="B204" s="10" t="n"/>
      <c r="C204" s="10" t="n"/>
      <c r="D204" s="10" t="n"/>
      <c r="E204" s="13" t="n"/>
      <c r="F204" s="11" t="n"/>
      <c r="G204" s="11" t="n"/>
      <c r="H204" s="11">
        <f>IFERROR(SQRT(F204^2+G204^2),"")</f>
        <v/>
      </c>
      <c r="I204" s="11">
        <f>IFERROR((E204*12)/PlumbRatio,"")</f>
        <v/>
      </c>
      <c r="J204" s="10">
        <f>IF(OR(H204="",I204=""),"",IF(H204&lt;=I204,"OK","OUT"))</f>
        <v/>
      </c>
      <c r="K204" s="10" t="n"/>
      <c r="L204" s="10" t="n"/>
      <c r="M204" s="12" t="n"/>
      <c r="N204" s="10" t="n"/>
    </row>
  </sheetData>
  <mergeCells count="2">
    <mergeCell ref="A2:N2"/>
    <mergeCell ref="A1:N1"/>
  </mergeCells>
  <conditionalFormatting sqref="J5:J204">
    <cfRule type="expression" priority="1" dxfId="0">
      <formula>J5="OK"</formula>
    </cfRule>
    <cfRule type="expression" priority="2" dxfId="1">
      <formula>J5="OUT"</formula>
    </cfRule>
  </conditionalFormatting>
  <dataValidations count="2">
    <dataValidation sqref="B5:B204" showDropDown="0" showInputMessage="0" showErrorMessage="0" allowBlank="1" type="list">
      <formula1>"Initial,Bay Plumb-Up,Top-Out,Pre-Cladding,Final / Substantial Completion"</formula1>
    </dataValidation>
    <dataValidation sqref="L5:L204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4" customWidth="1" min="5" max="5"/>
    <col width="16" customWidth="1" min="6" max="6"/>
    <col width="12" customWidth="1" min="7" max="7"/>
    <col width="13" customWidth="1" min="8" max="8"/>
    <col width="16" customWidth="1" min="9" max="9"/>
    <col width="13" customWidth="1" min="10" max="10"/>
    <col width="16" customWidth="1" min="11" max="11"/>
    <col width="22" customWidth="1" min="12" max="12"/>
  </cols>
  <sheetData>
    <row r="1" ht="32" customHeight="1">
      <c r="A1" s="1" t="inlineStr">
        <is>
          <t>FLOOR / BEAM ELEVATION LOG</t>
        </is>
      </c>
    </row>
    <row r="2">
      <c r="A2" s="8" t="inlineStr">
        <is>
          <t>Beam-top elevations per floor. Recommended survey points: each corner + center. Theoretical from S-series drawings. Deviation auto-flags against ±1/8" beam-top tolerance (default §7.13.1.4).</t>
        </is>
      </c>
    </row>
    <row r="4" ht="30" customHeight="1">
      <c r="A4" s="9" t="inlineStr">
        <is>
          <t>Survey Date</t>
        </is>
      </c>
      <c r="B4" s="9" t="inlineStr">
        <is>
          <t>Floor Level</t>
        </is>
      </c>
      <c r="C4" s="9" t="inlineStr">
        <is>
          <t>Survey Point ID</t>
        </is>
      </c>
      <c r="D4" s="9" t="inlineStr">
        <is>
          <t>Location</t>
        </is>
      </c>
      <c r="E4" s="9" t="inlineStr">
        <is>
          <t>Theo Elevation (ft)</t>
        </is>
      </c>
      <c r="F4" s="9" t="inlineStr">
        <is>
          <t>As-Found Elevation (ft)</t>
        </is>
      </c>
      <c r="G4" s="9" t="inlineStr">
        <is>
          <t>Deviation (in)</t>
        </is>
      </c>
      <c r="H4" s="9" t="inlineStr">
        <is>
          <t>Beam Top OK?</t>
        </is>
      </c>
      <c r="I4" s="9" t="inlineStr">
        <is>
          <t>Adjacent Beam Match (in)</t>
        </is>
      </c>
      <c r="J4" s="9" t="inlineStr">
        <is>
          <t>Beam Match OK?</t>
        </is>
      </c>
      <c r="K4" s="9" t="inlineStr">
        <is>
          <t>Surveyor</t>
        </is>
      </c>
      <c r="L4" s="9" t="inlineStr">
        <is>
          <t>Notes / RFI</t>
        </is>
      </c>
    </row>
    <row r="5">
      <c r="A5" s="12" t="n"/>
      <c r="B5" s="10" t="n"/>
      <c r="C5" s="10" t="n"/>
      <c r="D5" s="10" t="n"/>
      <c r="E5" s="11" t="n"/>
      <c r="F5" s="11" t="n"/>
      <c r="G5" s="11">
        <f>IFERROR((F5-E5)*12,"")</f>
        <v/>
      </c>
      <c r="H5" s="10">
        <f>IF(G5="","",IF(ABS(G5)&lt;=BeamElevTol,"OK","OUT"))</f>
        <v/>
      </c>
      <c r="I5" s="11" t="n"/>
      <c r="J5" s="10">
        <f>IF(I5="","",IF(ABS(I5)&lt;=BeamElevTol,"OK","OUT"))</f>
        <v/>
      </c>
      <c r="K5" s="10" t="n"/>
      <c r="L5" s="10" t="n"/>
    </row>
    <row r="6">
      <c r="A6" s="12" t="n"/>
      <c r="B6" s="10" t="n"/>
      <c r="C6" s="10" t="n"/>
      <c r="D6" s="10" t="n"/>
      <c r="E6" s="11" t="n"/>
      <c r="F6" s="11" t="n"/>
      <c r="G6" s="11">
        <f>IFERROR((F6-E6)*12,"")</f>
        <v/>
      </c>
      <c r="H6" s="10">
        <f>IF(G6="","",IF(ABS(G6)&lt;=BeamElevTol,"OK","OUT"))</f>
        <v/>
      </c>
      <c r="I6" s="11" t="n"/>
      <c r="J6" s="10">
        <f>IF(I6="","",IF(ABS(I6)&lt;=BeamElevTol,"OK","OUT"))</f>
        <v/>
      </c>
      <c r="K6" s="10" t="n"/>
      <c r="L6" s="10" t="n"/>
    </row>
    <row r="7">
      <c r="A7" s="12" t="n"/>
      <c r="B7" s="10" t="n"/>
      <c r="C7" s="10" t="n"/>
      <c r="D7" s="10" t="n"/>
      <c r="E7" s="11" t="n"/>
      <c r="F7" s="11" t="n"/>
      <c r="G7" s="11">
        <f>IFERROR((F7-E7)*12,"")</f>
        <v/>
      </c>
      <c r="H7" s="10">
        <f>IF(G7="","",IF(ABS(G7)&lt;=BeamElevTol,"OK","OUT"))</f>
        <v/>
      </c>
      <c r="I7" s="11" t="n"/>
      <c r="J7" s="10">
        <f>IF(I7="","",IF(ABS(I7)&lt;=BeamElevTol,"OK","OUT"))</f>
        <v/>
      </c>
      <c r="K7" s="10" t="n"/>
      <c r="L7" s="10" t="n"/>
    </row>
    <row r="8">
      <c r="A8" s="12" t="n"/>
      <c r="B8" s="10" t="n"/>
      <c r="C8" s="10" t="n"/>
      <c r="D8" s="10" t="n"/>
      <c r="E8" s="11" t="n"/>
      <c r="F8" s="11" t="n"/>
      <c r="G8" s="11">
        <f>IFERROR((F8-E8)*12,"")</f>
        <v/>
      </c>
      <c r="H8" s="10">
        <f>IF(G8="","",IF(ABS(G8)&lt;=BeamElevTol,"OK","OUT"))</f>
        <v/>
      </c>
      <c r="I8" s="11" t="n"/>
      <c r="J8" s="10">
        <f>IF(I8="","",IF(ABS(I8)&lt;=BeamElevTol,"OK","OUT"))</f>
        <v/>
      </c>
      <c r="K8" s="10" t="n"/>
      <c r="L8" s="10" t="n"/>
    </row>
    <row r="9">
      <c r="A9" s="12" t="n"/>
      <c r="B9" s="10" t="n"/>
      <c r="C9" s="10" t="n"/>
      <c r="D9" s="10" t="n"/>
      <c r="E9" s="11" t="n"/>
      <c r="F9" s="11" t="n"/>
      <c r="G9" s="11">
        <f>IFERROR((F9-E9)*12,"")</f>
        <v/>
      </c>
      <c r="H9" s="10">
        <f>IF(G9="","",IF(ABS(G9)&lt;=BeamElevTol,"OK","OUT"))</f>
        <v/>
      </c>
      <c r="I9" s="11" t="n"/>
      <c r="J9" s="10">
        <f>IF(I9="","",IF(ABS(I9)&lt;=BeamElevTol,"OK","OUT"))</f>
        <v/>
      </c>
      <c r="K9" s="10" t="n"/>
      <c r="L9" s="10" t="n"/>
    </row>
    <row r="10">
      <c r="A10" s="12" t="n"/>
      <c r="B10" s="10" t="n"/>
      <c r="C10" s="10" t="n"/>
      <c r="D10" s="10" t="n"/>
      <c r="E10" s="11" t="n"/>
      <c r="F10" s="11" t="n"/>
      <c r="G10" s="11">
        <f>IFERROR((F10-E10)*12,"")</f>
        <v/>
      </c>
      <c r="H10" s="10">
        <f>IF(G10="","",IF(ABS(G10)&lt;=BeamElevTol,"OK","OUT"))</f>
        <v/>
      </c>
      <c r="I10" s="11" t="n"/>
      <c r="J10" s="10">
        <f>IF(I10="","",IF(ABS(I10)&lt;=BeamElevTol,"OK","OUT"))</f>
        <v/>
      </c>
      <c r="K10" s="10" t="n"/>
      <c r="L10" s="10" t="n"/>
    </row>
    <row r="11">
      <c r="A11" s="12" t="n"/>
      <c r="B11" s="10" t="n"/>
      <c r="C11" s="10" t="n"/>
      <c r="D11" s="10" t="n"/>
      <c r="E11" s="11" t="n"/>
      <c r="F11" s="11" t="n"/>
      <c r="G11" s="11">
        <f>IFERROR((F11-E11)*12,"")</f>
        <v/>
      </c>
      <c r="H11" s="10">
        <f>IF(G11="","",IF(ABS(G11)&lt;=BeamElevTol,"OK","OUT"))</f>
        <v/>
      </c>
      <c r="I11" s="11" t="n"/>
      <c r="J11" s="10">
        <f>IF(I11="","",IF(ABS(I11)&lt;=BeamElevTol,"OK","OUT"))</f>
        <v/>
      </c>
      <c r="K11" s="10" t="n"/>
      <c r="L11" s="10" t="n"/>
    </row>
    <row r="12">
      <c r="A12" s="12" t="n"/>
      <c r="B12" s="10" t="n"/>
      <c r="C12" s="10" t="n"/>
      <c r="D12" s="10" t="n"/>
      <c r="E12" s="11" t="n"/>
      <c r="F12" s="11" t="n"/>
      <c r="G12" s="11">
        <f>IFERROR((F12-E12)*12,"")</f>
        <v/>
      </c>
      <c r="H12" s="10">
        <f>IF(G12="","",IF(ABS(G12)&lt;=BeamElevTol,"OK","OUT"))</f>
        <v/>
      </c>
      <c r="I12" s="11" t="n"/>
      <c r="J12" s="10">
        <f>IF(I12="","",IF(ABS(I12)&lt;=BeamElevTol,"OK","OUT"))</f>
        <v/>
      </c>
      <c r="K12" s="10" t="n"/>
      <c r="L12" s="10" t="n"/>
    </row>
    <row r="13">
      <c r="A13" s="12" t="n"/>
      <c r="B13" s="10" t="n"/>
      <c r="C13" s="10" t="n"/>
      <c r="D13" s="10" t="n"/>
      <c r="E13" s="11" t="n"/>
      <c r="F13" s="11" t="n"/>
      <c r="G13" s="11">
        <f>IFERROR((F13-E13)*12,"")</f>
        <v/>
      </c>
      <c r="H13" s="10">
        <f>IF(G13="","",IF(ABS(G13)&lt;=BeamElevTol,"OK","OUT"))</f>
        <v/>
      </c>
      <c r="I13" s="11" t="n"/>
      <c r="J13" s="10">
        <f>IF(I13="","",IF(ABS(I13)&lt;=BeamElevTol,"OK","OUT"))</f>
        <v/>
      </c>
      <c r="K13" s="10" t="n"/>
      <c r="L13" s="10" t="n"/>
    </row>
    <row r="14">
      <c r="A14" s="12" t="n"/>
      <c r="B14" s="10" t="n"/>
      <c r="C14" s="10" t="n"/>
      <c r="D14" s="10" t="n"/>
      <c r="E14" s="11" t="n"/>
      <c r="F14" s="11" t="n"/>
      <c r="G14" s="11">
        <f>IFERROR((F14-E14)*12,"")</f>
        <v/>
      </c>
      <c r="H14" s="10">
        <f>IF(G14="","",IF(ABS(G14)&lt;=BeamElevTol,"OK","OUT"))</f>
        <v/>
      </c>
      <c r="I14" s="11" t="n"/>
      <c r="J14" s="10">
        <f>IF(I14="","",IF(ABS(I14)&lt;=BeamElevTol,"OK","OUT"))</f>
        <v/>
      </c>
      <c r="K14" s="10" t="n"/>
      <c r="L14" s="10" t="n"/>
    </row>
    <row r="15">
      <c r="A15" s="12" t="n"/>
      <c r="B15" s="10" t="n"/>
      <c r="C15" s="10" t="n"/>
      <c r="D15" s="10" t="n"/>
      <c r="E15" s="11" t="n"/>
      <c r="F15" s="11" t="n"/>
      <c r="G15" s="11">
        <f>IFERROR((F15-E15)*12,"")</f>
        <v/>
      </c>
      <c r="H15" s="10">
        <f>IF(G15="","",IF(ABS(G15)&lt;=BeamElevTol,"OK","OUT"))</f>
        <v/>
      </c>
      <c r="I15" s="11" t="n"/>
      <c r="J15" s="10">
        <f>IF(I15="","",IF(ABS(I15)&lt;=BeamElevTol,"OK","OUT"))</f>
        <v/>
      </c>
      <c r="K15" s="10" t="n"/>
      <c r="L15" s="10" t="n"/>
    </row>
    <row r="16">
      <c r="A16" s="12" t="n"/>
      <c r="B16" s="10" t="n"/>
      <c r="C16" s="10" t="n"/>
      <c r="D16" s="10" t="n"/>
      <c r="E16" s="11" t="n"/>
      <c r="F16" s="11" t="n"/>
      <c r="G16" s="11">
        <f>IFERROR((F16-E16)*12,"")</f>
        <v/>
      </c>
      <c r="H16" s="10">
        <f>IF(G16="","",IF(ABS(G16)&lt;=BeamElevTol,"OK","OUT"))</f>
        <v/>
      </c>
      <c r="I16" s="11" t="n"/>
      <c r="J16" s="10">
        <f>IF(I16="","",IF(ABS(I16)&lt;=BeamElevTol,"OK","OUT"))</f>
        <v/>
      </c>
      <c r="K16" s="10" t="n"/>
      <c r="L16" s="10" t="n"/>
    </row>
    <row r="17">
      <c r="A17" s="12" t="n"/>
      <c r="B17" s="10" t="n"/>
      <c r="C17" s="10" t="n"/>
      <c r="D17" s="10" t="n"/>
      <c r="E17" s="11" t="n"/>
      <c r="F17" s="11" t="n"/>
      <c r="G17" s="11">
        <f>IFERROR((F17-E17)*12,"")</f>
        <v/>
      </c>
      <c r="H17" s="10">
        <f>IF(G17="","",IF(ABS(G17)&lt;=BeamElevTol,"OK","OUT"))</f>
        <v/>
      </c>
      <c r="I17" s="11" t="n"/>
      <c r="J17" s="10">
        <f>IF(I17="","",IF(ABS(I17)&lt;=BeamElevTol,"OK","OUT"))</f>
        <v/>
      </c>
      <c r="K17" s="10" t="n"/>
      <c r="L17" s="10" t="n"/>
    </row>
    <row r="18">
      <c r="A18" s="12" t="n"/>
      <c r="B18" s="10" t="n"/>
      <c r="C18" s="10" t="n"/>
      <c r="D18" s="10" t="n"/>
      <c r="E18" s="11" t="n"/>
      <c r="F18" s="11" t="n"/>
      <c r="G18" s="11">
        <f>IFERROR((F18-E18)*12,"")</f>
        <v/>
      </c>
      <c r="H18" s="10">
        <f>IF(G18="","",IF(ABS(G18)&lt;=BeamElevTol,"OK","OUT"))</f>
        <v/>
      </c>
      <c r="I18" s="11" t="n"/>
      <c r="J18" s="10">
        <f>IF(I18="","",IF(ABS(I18)&lt;=BeamElevTol,"OK","OUT"))</f>
        <v/>
      </c>
      <c r="K18" s="10" t="n"/>
      <c r="L18" s="10" t="n"/>
    </row>
    <row r="19">
      <c r="A19" s="12" t="n"/>
      <c r="B19" s="10" t="n"/>
      <c r="C19" s="10" t="n"/>
      <c r="D19" s="10" t="n"/>
      <c r="E19" s="11" t="n"/>
      <c r="F19" s="11" t="n"/>
      <c r="G19" s="11">
        <f>IFERROR((F19-E19)*12,"")</f>
        <v/>
      </c>
      <c r="H19" s="10">
        <f>IF(G19="","",IF(ABS(G19)&lt;=BeamElevTol,"OK","OUT"))</f>
        <v/>
      </c>
      <c r="I19" s="11" t="n"/>
      <c r="J19" s="10">
        <f>IF(I19="","",IF(ABS(I19)&lt;=BeamElevTol,"OK","OUT"))</f>
        <v/>
      </c>
      <c r="K19" s="10" t="n"/>
      <c r="L19" s="10" t="n"/>
    </row>
    <row r="20">
      <c r="A20" s="12" t="n"/>
      <c r="B20" s="10" t="n"/>
      <c r="C20" s="10" t="n"/>
      <c r="D20" s="10" t="n"/>
      <c r="E20" s="11" t="n"/>
      <c r="F20" s="11" t="n"/>
      <c r="G20" s="11">
        <f>IFERROR((F20-E20)*12,"")</f>
        <v/>
      </c>
      <c r="H20" s="10">
        <f>IF(G20="","",IF(ABS(G20)&lt;=BeamElevTol,"OK","OUT"))</f>
        <v/>
      </c>
      <c r="I20" s="11" t="n"/>
      <c r="J20" s="10">
        <f>IF(I20="","",IF(ABS(I20)&lt;=BeamElevTol,"OK","OUT"))</f>
        <v/>
      </c>
      <c r="K20" s="10" t="n"/>
      <c r="L20" s="10" t="n"/>
    </row>
    <row r="21">
      <c r="A21" s="12" t="n"/>
      <c r="B21" s="10" t="n"/>
      <c r="C21" s="10" t="n"/>
      <c r="D21" s="10" t="n"/>
      <c r="E21" s="11" t="n"/>
      <c r="F21" s="11" t="n"/>
      <c r="G21" s="11">
        <f>IFERROR((F21-E21)*12,"")</f>
        <v/>
      </c>
      <c r="H21" s="10">
        <f>IF(G21="","",IF(ABS(G21)&lt;=BeamElevTol,"OK","OUT"))</f>
        <v/>
      </c>
      <c r="I21" s="11" t="n"/>
      <c r="J21" s="10">
        <f>IF(I21="","",IF(ABS(I21)&lt;=BeamElevTol,"OK","OUT"))</f>
        <v/>
      </c>
      <c r="K21" s="10" t="n"/>
      <c r="L21" s="10" t="n"/>
    </row>
    <row r="22">
      <c r="A22" s="12" t="n"/>
      <c r="B22" s="10" t="n"/>
      <c r="C22" s="10" t="n"/>
      <c r="D22" s="10" t="n"/>
      <c r="E22" s="11" t="n"/>
      <c r="F22" s="11" t="n"/>
      <c r="G22" s="11">
        <f>IFERROR((F22-E22)*12,"")</f>
        <v/>
      </c>
      <c r="H22" s="10">
        <f>IF(G22="","",IF(ABS(G22)&lt;=BeamElevTol,"OK","OUT"))</f>
        <v/>
      </c>
      <c r="I22" s="11" t="n"/>
      <c r="J22" s="10">
        <f>IF(I22="","",IF(ABS(I22)&lt;=BeamElevTol,"OK","OUT"))</f>
        <v/>
      </c>
      <c r="K22" s="10" t="n"/>
      <c r="L22" s="10" t="n"/>
    </row>
    <row r="23">
      <c r="A23" s="12" t="n"/>
      <c r="B23" s="10" t="n"/>
      <c r="C23" s="10" t="n"/>
      <c r="D23" s="10" t="n"/>
      <c r="E23" s="11" t="n"/>
      <c r="F23" s="11" t="n"/>
      <c r="G23" s="11">
        <f>IFERROR((F23-E23)*12,"")</f>
        <v/>
      </c>
      <c r="H23" s="10">
        <f>IF(G23="","",IF(ABS(G23)&lt;=BeamElevTol,"OK","OUT"))</f>
        <v/>
      </c>
      <c r="I23" s="11" t="n"/>
      <c r="J23" s="10">
        <f>IF(I23="","",IF(ABS(I23)&lt;=BeamElevTol,"OK","OUT"))</f>
        <v/>
      </c>
      <c r="K23" s="10" t="n"/>
      <c r="L23" s="10" t="n"/>
    </row>
    <row r="24">
      <c r="A24" s="12" t="n"/>
      <c r="B24" s="10" t="n"/>
      <c r="C24" s="10" t="n"/>
      <c r="D24" s="10" t="n"/>
      <c r="E24" s="11" t="n"/>
      <c r="F24" s="11" t="n"/>
      <c r="G24" s="11">
        <f>IFERROR((F24-E24)*12,"")</f>
        <v/>
      </c>
      <c r="H24" s="10">
        <f>IF(G24="","",IF(ABS(G24)&lt;=BeamElevTol,"OK","OUT"))</f>
        <v/>
      </c>
      <c r="I24" s="11" t="n"/>
      <c r="J24" s="10">
        <f>IF(I24="","",IF(ABS(I24)&lt;=BeamElevTol,"OK","OUT"))</f>
        <v/>
      </c>
      <c r="K24" s="10" t="n"/>
      <c r="L24" s="10" t="n"/>
    </row>
    <row r="25">
      <c r="A25" s="12" t="n"/>
      <c r="B25" s="10" t="n"/>
      <c r="C25" s="10" t="n"/>
      <c r="D25" s="10" t="n"/>
      <c r="E25" s="11" t="n"/>
      <c r="F25" s="11" t="n"/>
      <c r="G25" s="11">
        <f>IFERROR((F25-E25)*12,"")</f>
        <v/>
      </c>
      <c r="H25" s="10">
        <f>IF(G25="","",IF(ABS(G25)&lt;=BeamElevTol,"OK","OUT"))</f>
        <v/>
      </c>
      <c r="I25" s="11" t="n"/>
      <c r="J25" s="10">
        <f>IF(I25="","",IF(ABS(I25)&lt;=BeamElevTol,"OK","OUT"))</f>
        <v/>
      </c>
      <c r="K25" s="10" t="n"/>
      <c r="L25" s="10" t="n"/>
    </row>
    <row r="26">
      <c r="A26" s="12" t="n"/>
      <c r="B26" s="10" t="n"/>
      <c r="C26" s="10" t="n"/>
      <c r="D26" s="10" t="n"/>
      <c r="E26" s="11" t="n"/>
      <c r="F26" s="11" t="n"/>
      <c r="G26" s="11">
        <f>IFERROR((F26-E26)*12,"")</f>
        <v/>
      </c>
      <c r="H26" s="10">
        <f>IF(G26="","",IF(ABS(G26)&lt;=BeamElevTol,"OK","OUT"))</f>
        <v/>
      </c>
      <c r="I26" s="11" t="n"/>
      <c r="J26" s="10">
        <f>IF(I26="","",IF(ABS(I26)&lt;=BeamElevTol,"OK","OUT"))</f>
        <v/>
      </c>
      <c r="K26" s="10" t="n"/>
      <c r="L26" s="10" t="n"/>
    </row>
    <row r="27">
      <c r="A27" s="12" t="n"/>
      <c r="B27" s="10" t="n"/>
      <c r="C27" s="10" t="n"/>
      <c r="D27" s="10" t="n"/>
      <c r="E27" s="11" t="n"/>
      <c r="F27" s="11" t="n"/>
      <c r="G27" s="11">
        <f>IFERROR((F27-E27)*12,"")</f>
        <v/>
      </c>
      <c r="H27" s="10">
        <f>IF(G27="","",IF(ABS(G27)&lt;=BeamElevTol,"OK","OUT"))</f>
        <v/>
      </c>
      <c r="I27" s="11" t="n"/>
      <c r="J27" s="10">
        <f>IF(I27="","",IF(ABS(I27)&lt;=BeamElevTol,"OK","OUT"))</f>
        <v/>
      </c>
      <c r="K27" s="10" t="n"/>
      <c r="L27" s="10" t="n"/>
    </row>
    <row r="28">
      <c r="A28" s="12" t="n"/>
      <c r="B28" s="10" t="n"/>
      <c r="C28" s="10" t="n"/>
      <c r="D28" s="10" t="n"/>
      <c r="E28" s="11" t="n"/>
      <c r="F28" s="11" t="n"/>
      <c r="G28" s="11">
        <f>IFERROR((F28-E28)*12,"")</f>
        <v/>
      </c>
      <c r="H28" s="10">
        <f>IF(G28="","",IF(ABS(G28)&lt;=BeamElevTol,"OK","OUT"))</f>
        <v/>
      </c>
      <c r="I28" s="11" t="n"/>
      <c r="J28" s="10">
        <f>IF(I28="","",IF(ABS(I28)&lt;=BeamElevTol,"OK","OUT"))</f>
        <v/>
      </c>
      <c r="K28" s="10" t="n"/>
      <c r="L28" s="10" t="n"/>
    </row>
    <row r="29">
      <c r="A29" s="12" t="n"/>
      <c r="B29" s="10" t="n"/>
      <c r="C29" s="10" t="n"/>
      <c r="D29" s="10" t="n"/>
      <c r="E29" s="11" t="n"/>
      <c r="F29" s="11" t="n"/>
      <c r="G29" s="11">
        <f>IFERROR((F29-E29)*12,"")</f>
        <v/>
      </c>
      <c r="H29" s="10">
        <f>IF(G29="","",IF(ABS(G29)&lt;=BeamElevTol,"OK","OUT"))</f>
        <v/>
      </c>
      <c r="I29" s="11" t="n"/>
      <c r="J29" s="10">
        <f>IF(I29="","",IF(ABS(I29)&lt;=BeamElevTol,"OK","OUT"))</f>
        <v/>
      </c>
      <c r="K29" s="10" t="n"/>
      <c r="L29" s="10" t="n"/>
    </row>
    <row r="30">
      <c r="A30" s="12" t="n"/>
      <c r="B30" s="10" t="n"/>
      <c r="C30" s="10" t="n"/>
      <c r="D30" s="10" t="n"/>
      <c r="E30" s="11" t="n"/>
      <c r="F30" s="11" t="n"/>
      <c r="G30" s="11">
        <f>IFERROR((F30-E30)*12,"")</f>
        <v/>
      </c>
      <c r="H30" s="10">
        <f>IF(G30="","",IF(ABS(G30)&lt;=BeamElevTol,"OK","OUT"))</f>
        <v/>
      </c>
      <c r="I30" s="11" t="n"/>
      <c r="J30" s="10">
        <f>IF(I30="","",IF(ABS(I30)&lt;=BeamElevTol,"OK","OUT"))</f>
        <v/>
      </c>
      <c r="K30" s="10" t="n"/>
      <c r="L30" s="10" t="n"/>
    </row>
    <row r="31">
      <c r="A31" s="12" t="n"/>
      <c r="B31" s="10" t="n"/>
      <c r="C31" s="10" t="n"/>
      <c r="D31" s="10" t="n"/>
      <c r="E31" s="11" t="n"/>
      <c r="F31" s="11" t="n"/>
      <c r="G31" s="11">
        <f>IFERROR((F31-E31)*12,"")</f>
        <v/>
      </c>
      <c r="H31" s="10">
        <f>IF(G31="","",IF(ABS(G31)&lt;=BeamElevTol,"OK","OUT"))</f>
        <v/>
      </c>
      <c r="I31" s="11" t="n"/>
      <c r="J31" s="10">
        <f>IF(I31="","",IF(ABS(I31)&lt;=BeamElevTol,"OK","OUT"))</f>
        <v/>
      </c>
      <c r="K31" s="10" t="n"/>
      <c r="L31" s="10" t="n"/>
    </row>
    <row r="32">
      <c r="A32" s="12" t="n"/>
      <c r="B32" s="10" t="n"/>
      <c r="C32" s="10" t="n"/>
      <c r="D32" s="10" t="n"/>
      <c r="E32" s="11" t="n"/>
      <c r="F32" s="11" t="n"/>
      <c r="G32" s="11">
        <f>IFERROR((F32-E32)*12,"")</f>
        <v/>
      </c>
      <c r="H32" s="10">
        <f>IF(G32="","",IF(ABS(G32)&lt;=BeamElevTol,"OK","OUT"))</f>
        <v/>
      </c>
      <c r="I32" s="11" t="n"/>
      <c r="J32" s="10">
        <f>IF(I32="","",IF(ABS(I32)&lt;=BeamElevTol,"OK","OUT"))</f>
        <v/>
      </c>
      <c r="K32" s="10" t="n"/>
      <c r="L32" s="10" t="n"/>
    </row>
    <row r="33">
      <c r="A33" s="12" t="n"/>
      <c r="B33" s="10" t="n"/>
      <c r="C33" s="10" t="n"/>
      <c r="D33" s="10" t="n"/>
      <c r="E33" s="11" t="n"/>
      <c r="F33" s="11" t="n"/>
      <c r="G33" s="11">
        <f>IFERROR((F33-E33)*12,"")</f>
        <v/>
      </c>
      <c r="H33" s="10">
        <f>IF(G33="","",IF(ABS(G33)&lt;=BeamElevTol,"OK","OUT"))</f>
        <v/>
      </c>
      <c r="I33" s="11" t="n"/>
      <c r="J33" s="10">
        <f>IF(I33="","",IF(ABS(I33)&lt;=BeamElevTol,"OK","OUT"))</f>
        <v/>
      </c>
      <c r="K33" s="10" t="n"/>
      <c r="L33" s="10" t="n"/>
    </row>
    <row r="34">
      <c r="A34" s="12" t="n"/>
      <c r="B34" s="10" t="n"/>
      <c r="C34" s="10" t="n"/>
      <c r="D34" s="10" t="n"/>
      <c r="E34" s="11" t="n"/>
      <c r="F34" s="11" t="n"/>
      <c r="G34" s="11">
        <f>IFERROR((F34-E34)*12,"")</f>
        <v/>
      </c>
      <c r="H34" s="10">
        <f>IF(G34="","",IF(ABS(G34)&lt;=BeamElevTol,"OK","OUT"))</f>
        <v/>
      </c>
      <c r="I34" s="11" t="n"/>
      <c r="J34" s="10">
        <f>IF(I34="","",IF(ABS(I34)&lt;=BeamElevTol,"OK","OUT"))</f>
        <v/>
      </c>
      <c r="K34" s="10" t="n"/>
      <c r="L34" s="10" t="n"/>
    </row>
    <row r="35">
      <c r="A35" s="12" t="n"/>
      <c r="B35" s="10" t="n"/>
      <c r="C35" s="10" t="n"/>
      <c r="D35" s="10" t="n"/>
      <c r="E35" s="11" t="n"/>
      <c r="F35" s="11" t="n"/>
      <c r="G35" s="11">
        <f>IFERROR((F35-E35)*12,"")</f>
        <v/>
      </c>
      <c r="H35" s="10">
        <f>IF(G35="","",IF(ABS(G35)&lt;=BeamElevTol,"OK","OUT"))</f>
        <v/>
      </c>
      <c r="I35" s="11" t="n"/>
      <c r="J35" s="10">
        <f>IF(I35="","",IF(ABS(I35)&lt;=BeamElevTol,"OK","OUT"))</f>
        <v/>
      </c>
      <c r="K35" s="10" t="n"/>
      <c r="L35" s="10" t="n"/>
    </row>
    <row r="36">
      <c r="A36" s="12" t="n"/>
      <c r="B36" s="10" t="n"/>
      <c r="C36" s="10" t="n"/>
      <c r="D36" s="10" t="n"/>
      <c r="E36" s="11" t="n"/>
      <c r="F36" s="11" t="n"/>
      <c r="G36" s="11">
        <f>IFERROR((F36-E36)*12,"")</f>
        <v/>
      </c>
      <c r="H36" s="10">
        <f>IF(G36="","",IF(ABS(G36)&lt;=BeamElevTol,"OK","OUT"))</f>
        <v/>
      </c>
      <c r="I36" s="11" t="n"/>
      <c r="J36" s="10">
        <f>IF(I36="","",IF(ABS(I36)&lt;=BeamElevTol,"OK","OUT"))</f>
        <v/>
      </c>
      <c r="K36" s="10" t="n"/>
      <c r="L36" s="10" t="n"/>
    </row>
    <row r="37">
      <c r="A37" s="12" t="n"/>
      <c r="B37" s="10" t="n"/>
      <c r="C37" s="10" t="n"/>
      <c r="D37" s="10" t="n"/>
      <c r="E37" s="11" t="n"/>
      <c r="F37" s="11" t="n"/>
      <c r="G37" s="11">
        <f>IFERROR((F37-E37)*12,"")</f>
        <v/>
      </c>
      <c r="H37" s="10">
        <f>IF(G37="","",IF(ABS(G37)&lt;=BeamElevTol,"OK","OUT"))</f>
        <v/>
      </c>
      <c r="I37" s="11" t="n"/>
      <c r="J37" s="10">
        <f>IF(I37="","",IF(ABS(I37)&lt;=BeamElevTol,"OK","OUT"))</f>
        <v/>
      </c>
      <c r="K37" s="10" t="n"/>
      <c r="L37" s="10" t="n"/>
    </row>
    <row r="38">
      <c r="A38" s="12" t="n"/>
      <c r="B38" s="10" t="n"/>
      <c r="C38" s="10" t="n"/>
      <c r="D38" s="10" t="n"/>
      <c r="E38" s="11" t="n"/>
      <c r="F38" s="11" t="n"/>
      <c r="G38" s="11">
        <f>IFERROR((F38-E38)*12,"")</f>
        <v/>
      </c>
      <c r="H38" s="10">
        <f>IF(G38="","",IF(ABS(G38)&lt;=BeamElevTol,"OK","OUT"))</f>
        <v/>
      </c>
      <c r="I38" s="11" t="n"/>
      <c r="J38" s="10">
        <f>IF(I38="","",IF(ABS(I38)&lt;=BeamElevTol,"OK","OUT"))</f>
        <v/>
      </c>
      <c r="K38" s="10" t="n"/>
      <c r="L38" s="10" t="n"/>
    </row>
    <row r="39">
      <c r="A39" s="12" t="n"/>
      <c r="B39" s="10" t="n"/>
      <c r="C39" s="10" t="n"/>
      <c r="D39" s="10" t="n"/>
      <c r="E39" s="11" t="n"/>
      <c r="F39" s="11" t="n"/>
      <c r="G39" s="11">
        <f>IFERROR((F39-E39)*12,"")</f>
        <v/>
      </c>
      <c r="H39" s="10">
        <f>IF(G39="","",IF(ABS(G39)&lt;=BeamElevTol,"OK","OUT"))</f>
        <v/>
      </c>
      <c r="I39" s="11" t="n"/>
      <c r="J39" s="10">
        <f>IF(I39="","",IF(ABS(I39)&lt;=BeamElevTol,"OK","OUT"))</f>
        <v/>
      </c>
      <c r="K39" s="10" t="n"/>
      <c r="L39" s="10" t="n"/>
    </row>
    <row r="40">
      <c r="A40" s="12" t="n"/>
      <c r="B40" s="10" t="n"/>
      <c r="C40" s="10" t="n"/>
      <c r="D40" s="10" t="n"/>
      <c r="E40" s="11" t="n"/>
      <c r="F40" s="11" t="n"/>
      <c r="G40" s="11">
        <f>IFERROR((F40-E40)*12,"")</f>
        <v/>
      </c>
      <c r="H40" s="10">
        <f>IF(G40="","",IF(ABS(G40)&lt;=BeamElevTol,"OK","OUT"))</f>
        <v/>
      </c>
      <c r="I40" s="11" t="n"/>
      <c r="J40" s="10">
        <f>IF(I40="","",IF(ABS(I40)&lt;=BeamElevTol,"OK","OUT"))</f>
        <v/>
      </c>
      <c r="K40" s="10" t="n"/>
      <c r="L40" s="10" t="n"/>
    </row>
    <row r="41">
      <c r="A41" s="12" t="n"/>
      <c r="B41" s="10" t="n"/>
      <c r="C41" s="10" t="n"/>
      <c r="D41" s="10" t="n"/>
      <c r="E41" s="11" t="n"/>
      <c r="F41" s="11" t="n"/>
      <c r="G41" s="11">
        <f>IFERROR((F41-E41)*12,"")</f>
        <v/>
      </c>
      <c r="H41" s="10">
        <f>IF(G41="","",IF(ABS(G41)&lt;=BeamElevTol,"OK","OUT"))</f>
        <v/>
      </c>
      <c r="I41" s="11" t="n"/>
      <c r="J41" s="10">
        <f>IF(I41="","",IF(ABS(I41)&lt;=BeamElevTol,"OK","OUT"))</f>
        <v/>
      </c>
      <c r="K41" s="10" t="n"/>
      <c r="L41" s="10" t="n"/>
    </row>
    <row r="42">
      <c r="A42" s="12" t="n"/>
      <c r="B42" s="10" t="n"/>
      <c r="C42" s="10" t="n"/>
      <c r="D42" s="10" t="n"/>
      <c r="E42" s="11" t="n"/>
      <c r="F42" s="11" t="n"/>
      <c r="G42" s="11">
        <f>IFERROR((F42-E42)*12,"")</f>
        <v/>
      </c>
      <c r="H42" s="10">
        <f>IF(G42="","",IF(ABS(G42)&lt;=BeamElevTol,"OK","OUT"))</f>
        <v/>
      </c>
      <c r="I42" s="11" t="n"/>
      <c r="J42" s="10">
        <f>IF(I42="","",IF(ABS(I42)&lt;=BeamElevTol,"OK","OUT"))</f>
        <v/>
      </c>
      <c r="K42" s="10" t="n"/>
      <c r="L42" s="10" t="n"/>
    </row>
    <row r="43">
      <c r="A43" s="12" t="n"/>
      <c r="B43" s="10" t="n"/>
      <c r="C43" s="10" t="n"/>
      <c r="D43" s="10" t="n"/>
      <c r="E43" s="11" t="n"/>
      <c r="F43" s="11" t="n"/>
      <c r="G43" s="11">
        <f>IFERROR((F43-E43)*12,"")</f>
        <v/>
      </c>
      <c r="H43" s="10">
        <f>IF(G43="","",IF(ABS(G43)&lt;=BeamElevTol,"OK","OUT"))</f>
        <v/>
      </c>
      <c r="I43" s="11" t="n"/>
      <c r="J43" s="10">
        <f>IF(I43="","",IF(ABS(I43)&lt;=BeamElevTol,"OK","OUT"))</f>
        <v/>
      </c>
      <c r="K43" s="10" t="n"/>
      <c r="L43" s="10" t="n"/>
    </row>
    <row r="44">
      <c r="A44" s="12" t="n"/>
      <c r="B44" s="10" t="n"/>
      <c r="C44" s="10" t="n"/>
      <c r="D44" s="10" t="n"/>
      <c r="E44" s="11" t="n"/>
      <c r="F44" s="11" t="n"/>
      <c r="G44" s="11">
        <f>IFERROR((F44-E44)*12,"")</f>
        <v/>
      </c>
      <c r="H44" s="10">
        <f>IF(G44="","",IF(ABS(G44)&lt;=BeamElevTol,"OK","OUT"))</f>
        <v/>
      </c>
      <c r="I44" s="11" t="n"/>
      <c r="J44" s="10">
        <f>IF(I44="","",IF(ABS(I44)&lt;=BeamElevTol,"OK","OUT"))</f>
        <v/>
      </c>
      <c r="K44" s="10" t="n"/>
      <c r="L44" s="10" t="n"/>
    </row>
    <row r="45">
      <c r="A45" s="12" t="n"/>
      <c r="B45" s="10" t="n"/>
      <c r="C45" s="10" t="n"/>
      <c r="D45" s="10" t="n"/>
      <c r="E45" s="11" t="n"/>
      <c r="F45" s="11" t="n"/>
      <c r="G45" s="11">
        <f>IFERROR((F45-E45)*12,"")</f>
        <v/>
      </c>
      <c r="H45" s="10">
        <f>IF(G45="","",IF(ABS(G45)&lt;=BeamElevTol,"OK","OUT"))</f>
        <v/>
      </c>
      <c r="I45" s="11" t="n"/>
      <c r="J45" s="10">
        <f>IF(I45="","",IF(ABS(I45)&lt;=BeamElevTol,"OK","OUT"))</f>
        <v/>
      </c>
      <c r="K45" s="10" t="n"/>
      <c r="L45" s="10" t="n"/>
    </row>
    <row r="46">
      <c r="A46" s="12" t="n"/>
      <c r="B46" s="10" t="n"/>
      <c r="C46" s="10" t="n"/>
      <c r="D46" s="10" t="n"/>
      <c r="E46" s="11" t="n"/>
      <c r="F46" s="11" t="n"/>
      <c r="G46" s="11">
        <f>IFERROR((F46-E46)*12,"")</f>
        <v/>
      </c>
      <c r="H46" s="10">
        <f>IF(G46="","",IF(ABS(G46)&lt;=BeamElevTol,"OK","OUT"))</f>
        <v/>
      </c>
      <c r="I46" s="11" t="n"/>
      <c r="J46" s="10">
        <f>IF(I46="","",IF(ABS(I46)&lt;=BeamElevTol,"OK","OUT"))</f>
        <v/>
      </c>
      <c r="K46" s="10" t="n"/>
      <c r="L46" s="10" t="n"/>
    </row>
    <row r="47">
      <c r="A47" s="12" t="n"/>
      <c r="B47" s="10" t="n"/>
      <c r="C47" s="10" t="n"/>
      <c r="D47" s="10" t="n"/>
      <c r="E47" s="11" t="n"/>
      <c r="F47" s="11" t="n"/>
      <c r="G47" s="11">
        <f>IFERROR((F47-E47)*12,"")</f>
        <v/>
      </c>
      <c r="H47" s="10">
        <f>IF(G47="","",IF(ABS(G47)&lt;=BeamElevTol,"OK","OUT"))</f>
        <v/>
      </c>
      <c r="I47" s="11" t="n"/>
      <c r="J47" s="10">
        <f>IF(I47="","",IF(ABS(I47)&lt;=BeamElevTol,"OK","OUT"))</f>
        <v/>
      </c>
      <c r="K47" s="10" t="n"/>
      <c r="L47" s="10" t="n"/>
    </row>
    <row r="48">
      <c r="A48" s="12" t="n"/>
      <c r="B48" s="10" t="n"/>
      <c r="C48" s="10" t="n"/>
      <c r="D48" s="10" t="n"/>
      <c r="E48" s="11" t="n"/>
      <c r="F48" s="11" t="n"/>
      <c r="G48" s="11">
        <f>IFERROR((F48-E48)*12,"")</f>
        <v/>
      </c>
      <c r="H48" s="10">
        <f>IF(G48="","",IF(ABS(G48)&lt;=BeamElevTol,"OK","OUT"))</f>
        <v/>
      </c>
      <c r="I48" s="11" t="n"/>
      <c r="J48" s="10">
        <f>IF(I48="","",IF(ABS(I48)&lt;=BeamElevTol,"OK","OUT"))</f>
        <v/>
      </c>
      <c r="K48" s="10" t="n"/>
      <c r="L48" s="10" t="n"/>
    </row>
    <row r="49">
      <c r="A49" s="12" t="n"/>
      <c r="B49" s="10" t="n"/>
      <c r="C49" s="10" t="n"/>
      <c r="D49" s="10" t="n"/>
      <c r="E49" s="11" t="n"/>
      <c r="F49" s="11" t="n"/>
      <c r="G49" s="11">
        <f>IFERROR((F49-E49)*12,"")</f>
        <v/>
      </c>
      <c r="H49" s="10">
        <f>IF(G49="","",IF(ABS(G49)&lt;=BeamElevTol,"OK","OUT"))</f>
        <v/>
      </c>
      <c r="I49" s="11" t="n"/>
      <c r="J49" s="10">
        <f>IF(I49="","",IF(ABS(I49)&lt;=BeamElevTol,"OK","OUT"))</f>
        <v/>
      </c>
      <c r="K49" s="10" t="n"/>
      <c r="L49" s="10" t="n"/>
    </row>
    <row r="50">
      <c r="A50" s="12" t="n"/>
      <c r="B50" s="10" t="n"/>
      <c r="C50" s="10" t="n"/>
      <c r="D50" s="10" t="n"/>
      <c r="E50" s="11" t="n"/>
      <c r="F50" s="11" t="n"/>
      <c r="G50" s="11">
        <f>IFERROR((F50-E50)*12,"")</f>
        <v/>
      </c>
      <c r="H50" s="10">
        <f>IF(G50="","",IF(ABS(G50)&lt;=BeamElevTol,"OK","OUT"))</f>
        <v/>
      </c>
      <c r="I50" s="11" t="n"/>
      <c r="J50" s="10">
        <f>IF(I50="","",IF(ABS(I50)&lt;=BeamElevTol,"OK","OUT"))</f>
        <v/>
      </c>
      <c r="K50" s="10" t="n"/>
      <c r="L50" s="10" t="n"/>
    </row>
    <row r="51">
      <c r="A51" s="12" t="n"/>
      <c r="B51" s="10" t="n"/>
      <c r="C51" s="10" t="n"/>
      <c r="D51" s="10" t="n"/>
      <c r="E51" s="11" t="n"/>
      <c r="F51" s="11" t="n"/>
      <c r="G51" s="11">
        <f>IFERROR((F51-E51)*12,"")</f>
        <v/>
      </c>
      <c r="H51" s="10">
        <f>IF(G51="","",IF(ABS(G51)&lt;=BeamElevTol,"OK","OUT"))</f>
        <v/>
      </c>
      <c r="I51" s="11" t="n"/>
      <c r="J51" s="10">
        <f>IF(I51="","",IF(ABS(I51)&lt;=BeamElevTol,"OK","OUT"))</f>
        <v/>
      </c>
      <c r="K51" s="10" t="n"/>
      <c r="L51" s="10" t="n"/>
    </row>
    <row r="52">
      <c r="A52" s="12" t="n"/>
      <c r="B52" s="10" t="n"/>
      <c r="C52" s="10" t="n"/>
      <c r="D52" s="10" t="n"/>
      <c r="E52" s="11" t="n"/>
      <c r="F52" s="11" t="n"/>
      <c r="G52" s="11">
        <f>IFERROR((F52-E52)*12,"")</f>
        <v/>
      </c>
      <c r="H52" s="10">
        <f>IF(G52="","",IF(ABS(G52)&lt;=BeamElevTol,"OK","OUT"))</f>
        <v/>
      </c>
      <c r="I52" s="11" t="n"/>
      <c r="J52" s="10">
        <f>IF(I52="","",IF(ABS(I52)&lt;=BeamElevTol,"OK","OUT"))</f>
        <v/>
      </c>
      <c r="K52" s="10" t="n"/>
      <c r="L52" s="10" t="n"/>
    </row>
    <row r="53">
      <c r="A53" s="12" t="n"/>
      <c r="B53" s="10" t="n"/>
      <c r="C53" s="10" t="n"/>
      <c r="D53" s="10" t="n"/>
      <c r="E53" s="11" t="n"/>
      <c r="F53" s="11" t="n"/>
      <c r="G53" s="11">
        <f>IFERROR((F53-E53)*12,"")</f>
        <v/>
      </c>
      <c r="H53" s="10">
        <f>IF(G53="","",IF(ABS(G53)&lt;=BeamElevTol,"OK","OUT"))</f>
        <v/>
      </c>
      <c r="I53" s="11" t="n"/>
      <c r="J53" s="10">
        <f>IF(I53="","",IF(ABS(I53)&lt;=BeamElevTol,"OK","OUT"))</f>
        <v/>
      </c>
      <c r="K53" s="10" t="n"/>
      <c r="L53" s="10" t="n"/>
    </row>
    <row r="54">
      <c r="A54" s="12" t="n"/>
      <c r="B54" s="10" t="n"/>
      <c r="C54" s="10" t="n"/>
      <c r="D54" s="10" t="n"/>
      <c r="E54" s="11" t="n"/>
      <c r="F54" s="11" t="n"/>
      <c r="G54" s="11">
        <f>IFERROR((F54-E54)*12,"")</f>
        <v/>
      </c>
      <c r="H54" s="10">
        <f>IF(G54="","",IF(ABS(G54)&lt;=BeamElevTol,"OK","OUT"))</f>
        <v/>
      </c>
      <c r="I54" s="11" t="n"/>
      <c r="J54" s="10">
        <f>IF(I54="","",IF(ABS(I54)&lt;=BeamElevTol,"OK","OUT"))</f>
        <v/>
      </c>
      <c r="K54" s="10" t="n"/>
      <c r="L54" s="10" t="n"/>
    </row>
    <row r="55">
      <c r="A55" s="12" t="n"/>
      <c r="B55" s="10" t="n"/>
      <c r="C55" s="10" t="n"/>
      <c r="D55" s="10" t="n"/>
      <c r="E55" s="11" t="n"/>
      <c r="F55" s="11" t="n"/>
      <c r="G55" s="11">
        <f>IFERROR((F55-E55)*12,"")</f>
        <v/>
      </c>
      <c r="H55" s="10">
        <f>IF(G55="","",IF(ABS(G55)&lt;=BeamElevTol,"OK","OUT"))</f>
        <v/>
      </c>
      <c r="I55" s="11" t="n"/>
      <c r="J55" s="10">
        <f>IF(I55="","",IF(ABS(I55)&lt;=BeamElevTol,"OK","OUT"))</f>
        <v/>
      </c>
      <c r="K55" s="10" t="n"/>
      <c r="L55" s="10" t="n"/>
    </row>
    <row r="56">
      <c r="A56" s="12" t="n"/>
      <c r="B56" s="10" t="n"/>
      <c r="C56" s="10" t="n"/>
      <c r="D56" s="10" t="n"/>
      <c r="E56" s="11" t="n"/>
      <c r="F56" s="11" t="n"/>
      <c r="G56" s="11">
        <f>IFERROR((F56-E56)*12,"")</f>
        <v/>
      </c>
      <c r="H56" s="10">
        <f>IF(G56="","",IF(ABS(G56)&lt;=BeamElevTol,"OK","OUT"))</f>
        <v/>
      </c>
      <c r="I56" s="11" t="n"/>
      <c r="J56" s="10">
        <f>IF(I56="","",IF(ABS(I56)&lt;=BeamElevTol,"OK","OUT"))</f>
        <v/>
      </c>
      <c r="K56" s="10" t="n"/>
      <c r="L56" s="10" t="n"/>
    </row>
    <row r="57">
      <c r="A57" s="12" t="n"/>
      <c r="B57" s="10" t="n"/>
      <c r="C57" s="10" t="n"/>
      <c r="D57" s="10" t="n"/>
      <c r="E57" s="11" t="n"/>
      <c r="F57" s="11" t="n"/>
      <c r="G57" s="11">
        <f>IFERROR((F57-E57)*12,"")</f>
        <v/>
      </c>
      <c r="H57" s="10">
        <f>IF(G57="","",IF(ABS(G57)&lt;=BeamElevTol,"OK","OUT"))</f>
        <v/>
      </c>
      <c r="I57" s="11" t="n"/>
      <c r="J57" s="10">
        <f>IF(I57="","",IF(ABS(I57)&lt;=BeamElevTol,"OK","OUT"))</f>
        <v/>
      </c>
      <c r="K57" s="10" t="n"/>
      <c r="L57" s="10" t="n"/>
    </row>
    <row r="58">
      <c r="A58" s="12" t="n"/>
      <c r="B58" s="10" t="n"/>
      <c r="C58" s="10" t="n"/>
      <c r="D58" s="10" t="n"/>
      <c r="E58" s="11" t="n"/>
      <c r="F58" s="11" t="n"/>
      <c r="G58" s="11">
        <f>IFERROR((F58-E58)*12,"")</f>
        <v/>
      </c>
      <c r="H58" s="10">
        <f>IF(G58="","",IF(ABS(G58)&lt;=BeamElevTol,"OK","OUT"))</f>
        <v/>
      </c>
      <c r="I58" s="11" t="n"/>
      <c r="J58" s="10">
        <f>IF(I58="","",IF(ABS(I58)&lt;=BeamElevTol,"OK","OUT"))</f>
        <v/>
      </c>
      <c r="K58" s="10" t="n"/>
      <c r="L58" s="10" t="n"/>
    </row>
    <row r="59">
      <c r="A59" s="12" t="n"/>
      <c r="B59" s="10" t="n"/>
      <c r="C59" s="10" t="n"/>
      <c r="D59" s="10" t="n"/>
      <c r="E59" s="11" t="n"/>
      <c r="F59" s="11" t="n"/>
      <c r="G59" s="11">
        <f>IFERROR((F59-E59)*12,"")</f>
        <v/>
      </c>
      <c r="H59" s="10">
        <f>IF(G59="","",IF(ABS(G59)&lt;=BeamElevTol,"OK","OUT"))</f>
        <v/>
      </c>
      <c r="I59" s="11" t="n"/>
      <c r="J59" s="10">
        <f>IF(I59="","",IF(ABS(I59)&lt;=BeamElevTol,"OK","OUT"))</f>
        <v/>
      </c>
      <c r="K59" s="10" t="n"/>
      <c r="L59" s="10" t="n"/>
    </row>
    <row r="60">
      <c r="A60" s="12" t="n"/>
      <c r="B60" s="10" t="n"/>
      <c r="C60" s="10" t="n"/>
      <c r="D60" s="10" t="n"/>
      <c r="E60" s="11" t="n"/>
      <c r="F60" s="11" t="n"/>
      <c r="G60" s="11">
        <f>IFERROR((F60-E60)*12,"")</f>
        <v/>
      </c>
      <c r="H60" s="10">
        <f>IF(G60="","",IF(ABS(G60)&lt;=BeamElevTol,"OK","OUT"))</f>
        <v/>
      </c>
      <c r="I60" s="11" t="n"/>
      <c r="J60" s="10">
        <f>IF(I60="","",IF(ABS(I60)&lt;=BeamElevTol,"OK","OUT"))</f>
        <v/>
      </c>
      <c r="K60" s="10" t="n"/>
      <c r="L60" s="10" t="n"/>
    </row>
    <row r="61">
      <c r="A61" s="12" t="n"/>
      <c r="B61" s="10" t="n"/>
      <c r="C61" s="10" t="n"/>
      <c r="D61" s="10" t="n"/>
      <c r="E61" s="11" t="n"/>
      <c r="F61" s="11" t="n"/>
      <c r="G61" s="11">
        <f>IFERROR((F61-E61)*12,"")</f>
        <v/>
      </c>
      <c r="H61" s="10">
        <f>IF(G61="","",IF(ABS(G61)&lt;=BeamElevTol,"OK","OUT"))</f>
        <v/>
      </c>
      <c r="I61" s="11" t="n"/>
      <c r="J61" s="10">
        <f>IF(I61="","",IF(ABS(I61)&lt;=BeamElevTol,"OK","OUT"))</f>
        <v/>
      </c>
      <c r="K61" s="10" t="n"/>
      <c r="L61" s="10" t="n"/>
    </row>
    <row r="62">
      <c r="A62" s="12" t="n"/>
      <c r="B62" s="10" t="n"/>
      <c r="C62" s="10" t="n"/>
      <c r="D62" s="10" t="n"/>
      <c r="E62" s="11" t="n"/>
      <c r="F62" s="11" t="n"/>
      <c r="G62" s="11">
        <f>IFERROR((F62-E62)*12,"")</f>
        <v/>
      </c>
      <c r="H62" s="10">
        <f>IF(G62="","",IF(ABS(G62)&lt;=BeamElevTol,"OK","OUT"))</f>
        <v/>
      </c>
      <c r="I62" s="11" t="n"/>
      <c r="J62" s="10">
        <f>IF(I62="","",IF(ABS(I62)&lt;=BeamElevTol,"OK","OUT"))</f>
        <v/>
      </c>
      <c r="K62" s="10" t="n"/>
      <c r="L62" s="10" t="n"/>
    </row>
    <row r="63">
      <c r="A63" s="12" t="n"/>
      <c r="B63" s="10" t="n"/>
      <c r="C63" s="10" t="n"/>
      <c r="D63" s="10" t="n"/>
      <c r="E63" s="11" t="n"/>
      <c r="F63" s="11" t="n"/>
      <c r="G63" s="11">
        <f>IFERROR((F63-E63)*12,"")</f>
        <v/>
      </c>
      <c r="H63" s="10">
        <f>IF(G63="","",IF(ABS(G63)&lt;=BeamElevTol,"OK","OUT"))</f>
        <v/>
      </c>
      <c r="I63" s="11" t="n"/>
      <c r="J63" s="10">
        <f>IF(I63="","",IF(ABS(I63)&lt;=BeamElevTol,"OK","OUT"))</f>
        <v/>
      </c>
      <c r="K63" s="10" t="n"/>
      <c r="L63" s="10" t="n"/>
    </row>
    <row r="64">
      <c r="A64" s="12" t="n"/>
      <c r="B64" s="10" t="n"/>
      <c r="C64" s="10" t="n"/>
      <c r="D64" s="10" t="n"/>
      <c r="E64" s="11" t="n"/>
      <c r="F64" s="11" t="n"/>
      <c r="G64" s="11">
        <f>IFERROR((F64-E64)*12,"")</f>
        <v/>
      </c>
      <c r="H64" s="10">
        <f>IF(G64="","",IF(ABS(G64)&lt;=BeamElevTol,"OK","OUT"))</f>
        <v/>
      </c>
      <c r="I64" s="11" t="n"/>
      <c r="J64" s="10">
        <f>IF(I64="","",IF(ABS(I64)&lt;=BeamElevTol,"OK","OUT"))</f>
        <v/>
      </c>
      <c r="K64" s="10" t="n"/>
      <c r="L64" s="10" t="n"/>
    </row>
    <row r="65">
      <c r="A65" s="12" t="n"/>
      <c r="B65" s="10" t="n"/>
      <c r="C65" s="10" t="n"/>
      <c r="D65" s="10" t="n"/>
      <c r="E65" s="11" t="n"/>
      <c r="F65" s="11" t="n"/>
      <c r="G65" s="11">
        <f>IFERROR((F65-E65)*12,"")</f>
        <v/>
      </c>
      <c r="H65" s="10">
        <f>IF(G65="","",IF(ABS(G65)&lt;=BeamElevTol,"OK","OUT"))</f>
        <v/>
      </c>
      <c r="I65" s="11" t="n"/>
      <c r="J65" s="10">
        <f>IF(I65="","",IF(ABS(I65)&lt;=BeamElevTol,"OK","OUT"))</f>
        <v/>
      </c>
      <c r="K65" s="10" t="n"/>
      <c r="L65" s="10" t="n"/>
    </row>
    <row r="66">
      <c r="A66" s="12" t="n"/>
      <c r="B66" s="10" t="n"/>
      <c r="C66" s="10" t="n"/>
      <c r="D66" s="10" t="n"/>
      <c r="E66" s="11" t="n"/>
      <c r="F66" s="11" t="n"/>
      <c r="G66" s="11">
        <f>IFERROR((F66-E66)*12,"")</f>
        <v/>
      </c>
      <c r="H66" s="10">
        <f>IF(G66="","",IF(ABS(G66)&lt;=BeamElevTol,"OK","OUT"))</f>
        <v/>
      </c>
      <c r="I66" s="11" t="n"/>
      <c r="J66" s="10">
        <f>IF(I66="","",IF(ABS(I66)&lt;=BeamElevTol,"OK","OUT"))</f>
        <v/>
      </c>
      <c r="K66" s="10" t="n"/>
      <c r="L66" s="10" t="n"/>
    </row>
    <row r="67">
      <c r="A67" s="12" t="n"/>
      <c r="B67" s="10" t="n"/>
      <c r="C67" s="10" t="n"/>
      <c r="D67" s="10" t="n"/>
      <c r="E67" s="11" t="n"/>
      <c r="F67" s="11" t="n"/>
      <c r="G67" s="11">
        <f>IFERROR((F67-E67)*12,"")</f>
        <v/>
      </c>
      <c r="H67" s="10">
        <f>IF(G67="","",IF(ABS(G67)&lt;=BeamElevTol,"OK","OUT"))</f>
        <v/>
      </c>
      <c r="I67" s="11" t="n"/>
      <c r="J67" s="10">
        <f>IF(I67="","",IF(ABS(I67)&lt;=BeamElevTol,"OK","OUT"))</f>
        <v/>
      </c>
      <c r="K67" s="10" t="n"/>
      <c r="L67" s="10" t="n"/>
    </row>
    <row r="68">
      <c r="A68" s="12" t="n"/>
      <c r="B68" s="10" t="n"/>
      <c r="C68" s="10" t="n"/>
      <c r="D68" s="10" t="n"/>
      <c r="E68" s="11" t="n"/>
      <c r="F68" s="11" t="n"/>
      <c r="G68" s="11">
        <f>IFERROR((F68-E68)*12,"")</f>
        <v/>
      </c>
      <c r="H68" s="10">
        <f>IF(G68="","",IF(ABS(G68)&lt;=BeamElevTol,"OK","OUT"))</f>
        <v/>
      </c>
      <c r="I68" s="11" t="n"/>
      <c r="J68" s="10">
        <f>IF(I68="","",IF(ABS(I68)&lt;=BeamElevTol,"OK","OUT"))</f>
        <v/>
      </c>
      <c r="K68" s="10" t="n"/>
      <c r="L68" s="10" t="n"/>
    </row>
    <row r="69">
      <c r="A69" s="12" t="n"/>
      <c r="B69" s="10" t="n"/>
      <c r="C69" s="10" t="n"/>
      <c r="D69" s="10" t="n"/>
      <c r="E69" s="11" t="n"/>
      <c r="F69" s="11" t="n"/>
      <c r="G69" s="11">
        <f>IFERROR((F69-E69)*12,"")</f>
        <v/>
      </c>
      <c r="H69" s="10">
        <f>IF(G69="","",IF(ABS(G69)&lt;=BeamElevTol,"OK","OUT"))</f>
        <v/>
      </c>
      <c r="I69" s="11" t="n"/>
      <c r="J69" s="10">
        <f>IF(I69="","",IF(ABS(I69)&lt;=BeamElevTol,"OK","OUT"))</f>
        <v/>
      </c>
      <c r="K69" s="10" t="n"/>
      <c r="L69" s="10" t="n"/>
    </row>
    <row r="70">
      <c r="A70" s="12" t="n"/>
      <c r="B70" s="10" t="n"/>
      <c r="C70" s="10" t="n"/>
      <c r="D70" s="10" t="n"/>
      <c r="E70" s="11" t="n"/>
      <c r="F70" s="11" t="n"/>
      <c r="G70" s="11">
        <f>IFERROR((F70-E70)*12,"")</f>
        <v/>
      </c>
      <c r="H70" s="10">
        <f>IF(G70="","",IF(ABS(G70)&lt;=BeamElevTol,"OK","OUT"))</f>
        <v/>
      </c>
      <c r="I70" s="11" t="n"/>
      <c r="J70" s="10">
        <f>IF(I70="","",IF(ABS(I70)&lt;=BeamElevTol,"OK","OUT"))</f>
        <v/>
      </c>
      <c r="K70" s="10" t="n"/>
      <c r="L70" s="10" t="n"/>
    </row>
    <row r="71">
      <c r="A71" s="12" t="n"/>
      <c r="B71" s="10" t="n"/>
      <c r="C71" s="10" t="n"/>
      <c r="D71" s="10" t="n"/>
      <c r="E71" s="11" t="n"/>
      <c r="F71" s="11" t="n"/>
      <c r="G71" s="11">
        <f>IFERROR((F71-E71)*12,"")</f>
        <v/>
      </c>
      <c r="H71" s="10">
        <f>IF(G71="","",IF(ABS(G71)&lt;=BeamElevTol,"OK","OUT"))</f>
        <v/>
      </c>
      <c r="I71" s="11" t="n"/>
      <c r="J71" s="10">
        <f>IF(I71="","",IF(ABS(I71)&lt;=BeamElevTol,"OK","OUT"))</f>
        <v/>
      </c>
      <c r="K71" s="10" t="n"/>
      <c r="L71" s="10" t="n"/>
    </row>
    <row r="72">
      <c r="A72" s="12" t="n"/>
      <c r="B72" s="10" t="n"/>
      <c r="C72" s="10" t="n"/>
      <c r="D72" s="10" t="n"/>
      <c r="E72" s="11" t="n"/>
      <c r="F72" s="11" t="n"/>
      <c r="G72" s="11">
        <f>IFERROR((F72-E72)*12,"")</f>
        <v/>
      </c>
      <c r="H72" s="10">
        <f>IF(G72="","",IF(ABS(G72)&lt;=BeamElevTol,"OK","OUT"))</f>
        <v/>
      </c>
      <c r="I72" s="11" t="n"/>
      <c r="J72" s="10">
        <f>IF(I72="","",IF(ABS(I72)&lt;=BeamElevTol,"OK","OUT"))</f>
        <v/>
      </c>
      <c r="K72" s="10" t="n"/>
      <c r="L72" s="10" t="n"/>
    </row>
    <row r="73">
      <c r="A73" s="12" t="n"/>
      <c r="B73" s="10" t="n"/>
      <c r="C73" s="10" t="n"/>
      <c r="D73" s="10" t="n"/>
      <c r="E73" s="11" t="n"/>
      <c r="F73" s="11" t="n"/>
      <c r="G73" s="11">
        <f>IFERROR((F73-E73)*12,"")</f>
        <v/>
      </c>
      <c r="H73" s="10">
        <f>IF(G73="","",IF(ABS(G73)&lt;=BeamElevTol,"OK","OUT"))</f>
        <v/>
      </c>
      <c r="I73" s="11" t="n"/>
      <c r="J73" s="10">
        <f>IF(I73="","",IF(ABS(I73)&lt;=BeamElevTol,"OK","OUT"))</f>
        <v/>
      </c>
      <c r="K73" s="10" t="n"/>
      <c r="L73" s="10" t="n"/>
    </row>
    <row r="74">
      <c r="A74" s="12" t="n"/>
      <c r="B74" s="10" t="n"/>
      <c r="C74" s="10" t="n"/>
      <c r="D74" s="10" t="n"/>
      <c r="E74" s="11" t="n"/>
      <c r="F74" s="11" t="n"/>
      <c r="G74" s="11">
        <f>IFERROR((F74-E74)*12,"")</f>
        <v/>
      </c>
      <c r="H74" s="10">
        <f>IF(G74="","",IF(ABS(G74)&lt;=BeamElevTol,"OK","OUT"))</f>
        <v/>
      </c>
      <c r="I74" s="11" t="n"/>
      <c r="J74" s="10">
        <f>IF(I74="","",IF(ABS(I74)&lt;=BeamElevTol,"OK","OUT"))</f>
        <v/>
      </c>
      <c r="K74" s="10" t="n"/>
      <c r="L74" s="10" t="n"/>
    </row>
    <row r="75">
      <c r="A75" s="12" t="n"/>
      <c r="B75" s="10" t="n"/>
      <c r="C75" s="10" t="n"/>
      <c r="D75" s="10" t="n"/>
      <c r="E75" s="11" t="n"/>
      <c r="F75" s="11" t="n"/>
      <c r="G75" s="11">
        <f>IFERROR((F75-E75)*12,"")</f>
        <v/>
      </c>
      <c r="H75" s="10">
        <f>IF(G75="","",IF(ABS(G75)&lt;=BeamElevTol,"OK","OUT"))</f>
        <v/>
      </c>
      <c r="I75" s="11" t="n"/>
      <c r="J75" s="10">
        <f>IF(I75="","",IF(ABS(I75)&lt;=BeamElevTol,"OK","OUT"))</f>
        <v/>
      </c>
      <c r="K75" s="10" t="n"/>
      <c r="L75" s="10" t="n"/>
    </row>
    <row r="76">
      <c r="A76" s="12" t="n"/>
      <c r="B76" s="10" t="n"/>
      <c r="C76" s="10" t="n"/>
      <c r="D76" s="10" t="n"/>
      <c r="E76" s="11" t="n"/>
      <c r="F76" s="11" t="n"/>
      <c r="G76" s="11">
        <f>IFERROR((F76-E76)*12,"")</f>
        <v/>
      </c>
      <c r="H76" s="10">
        <f>IF(G76="","",IF(ABS(G76)&lt;=BeamElevTol,"OK","OUT"))</f>
        <v/>
      </c>
      <c r="I76" s="11" t="n"/>
      <c r="J76" s="10">
        <f>IF(I76="","",IF(ABS(I76)&lt;=BeamElevTol,"OK","OUT"))</f>
        <v/>
      </c>
      <c r="K76" s="10" t="n"/>
      <c r="L76" s="10" t="n"/>
    </row>
    <row r="77">
      <c r="A77" s="12" t="n"/>
      <c r="B77" s="10" t="n"/>
      <c r="C77" s="10" t="n"/>
      <c r="D77" s="10" t="n"/>
      <c r="E77" s="11" t="n"/>
      <c r="F77" s="11" t="n"/>
      <c r="G77" s="11">
        <f>IFERROR((F77-E77)*12,"")</f>
        <v/>
      </c>
      <c r="H77" s="10">
        <f>IF(G77="","",IF(ABS(G77)&lt;=BeamElevTol,"OK","OUT"))</f>
        <v/>
      </c>
      <c r="I77" s="11" t="n"/>
      <c r="J77" s="10">
        <f>IF(I77="","",IF(ABS(I77)&lt;=BeamElevTol,"OK","OUT"))</f>
        <v/>
      </c>
      <c r="K77" s="10" t="n"/>
      <c r="L77" s="10" t="n"/>
    </row>
    <row r="78">
      <c r="A78" s="12" t="n"/>
      <c r="B78" s="10" t="n"/>
      <c r="C78" s="10" t="n"/>
      <c r="D78" s="10" t="n"/>
      <c r="E78" s="11" t="n"/>
      <c r="F78" s="11" t="n"/>
      <c r="G78" s="11">
        <f>IFERROR((F78-E78)*12,"")</f>
        <v/>
      </c>
      <c r="H78" s="10">
        <f>IF(G78="","",IF(ABS(G78)&lt;=BeamElevTol,"OK","OUT"))</f>
        <v/>
      </c>
      <c r="I78" s="11" t="n"/>
      <c r="J78" s="10">
        <f>IF(I78="","",IF(ABS(I78)&lt;=BeamElevTol,"OK","OUT"))</f>
        <v/>
      </c>
      <c r="K78" s="10" t="n"/>
      <c r="L78" s="10" t="n"/>
    </row>
    <row r="79">
      <c r="A79" s="12" t="n"/>
      <c r="B79" s="10" t="n"/>
      <c r="C79" s="10" t="n"/>
      <c r="D79" s="10" t="n"/>
      <c r="E79" s="11" t="n"/>
      <c r="F79" s="11" t="n"/>
      <c r="G79" s="11">
        <f>IFERROR((F79-E79)*12,"")</f>
        <v/>
      </c>
      <c r="H79" s="10">
        <f>IF(G79="","",IF(ABS(G79)&lt;=BeamElevTol,"OK","OUT"))</f>
        <v/>
      </c>
      <c r="I79" s="11" t="n"/>
      <c r="J79" s="10">
        <f>IF(I79="","",IF(ABS(I79)&lt;=BeamElevTol,"OK","OUT"))</f>
        <v/>
      </c>
      <c r="K79" s="10" t="n"/>
      <c r="L79" s="10" t="n"/>
    </row>
    <row r="80">
      <c r="A80" s="12" t="n"/>
      <c r="B80" s="10" t="n"/>
      <c r="C80" s="10" t="n"/>
      <c r="D80" s="10" t="n"/>
      <c r="E80" s="11" t="n"/>
      <c r="F80" s="11" t="n"/>
      <c r="G80" s="11">
        <f>IFERROR((F80-E80)*12,"")</f>
        <v/>
      </c>
      <c r="H80" s="10">
        <f>IF(G80="","",IF(ABS(G80)&lt;=BeamElevTol,"OK","OUT"))</f>
        <v/>
      </c>
      <c r="I80" s="11" t="n"/>
      <c r="J80" s="10">
        <f>IF(I80="","",IF(ABS(I80)&lt;=BeamElevTol,"OK","OUT"))</f>
        <v/>
      </c>
      <c r="K80" s="10" t="n"/>
      <c r="L80" s="10" t="n"/>
    </row>
    <row r="81">
      <c r="A81" s="12" t="n"/>
      <c r="B81" s="10" t="n"/>
      <c r="C81" s="10" t="n"/>
      <c r="D81" s="10" t="n"/>
      <c r="E81" s="11" t="n"/>
      <c r="F81" s="11" t="n"/>
      <c r="G81" s="11">
        <f>IFERROR((F81-E81)*12,"")</f>
        <v/>
      </c>
      <c r="H81" s="10">
        <f>IF(G81="","",IF(ABS(G81)&lt;=BeamElevTol,"OK","OUT"))</f>
        <v/>
      </c>
      <c r="I81" s="11" t="n"/>
      <c r="J81" s="10">
        <f>IF(I81="","",IF(ABS(I81)&lt;=BeamElevTol,"OK","OUT"))</f>
        <v/>
      </c>
      <c r="K81" s="10" t="n"/>
      <c r="L81" s="10" t="n"/>
    </row>
    <row r="82">
      <c r="A82" s="12" t="n"/>
      <c r="B82" s="10" t="n"/>
      <c r="C82" s="10" t="n"/>
      <c r="D82" s="10" t="n"/>
      <c r="E82" s="11" t="n"/>
      <c r="F82" s="11" t="n"/>
      <c r="G82" s="11">
        <f>IFERROR((F82-E82)*12,"")</f>
        <v/>
      </c>
      <c r="H82" s="10">
        <f>IF(G82="","",IF(ABS(G82)&lt;=BeamElevTol,"OK","OUT"))</f>
        <v/>
      </c>
      <c r="I82" s="11" t="n"/>
      <c r="J82" s="10">
        <f>IF(I82="","",IF(ABS(I82)&lt;=BeamElevTol,"OK","OUT"))</f>
        <v/>
      </c>
      <c r="K82" s="10" t="n"/>
      <c r="L82" s="10" t="n"/>
    </row>
    <row r="83">
      <c r="A83" s="12" t="n"/>
      <c r="B83" s="10" t="n"/>
      <c r="C83" s="10" t="n"/>
      <c r="D83" s="10" t="n"/>
      <c r="E83" s="11" t="n"/>
      <c r="F83" s="11" t="n"/>
      <c r="G83" s="11">
        <f>IFERROR((F83-E83)*12,"")</f>
        <v/>
      </c>
      <c r="H83" s="10">
        <f>IF(G83="","",IF(ABS(G83)&lt;=BeamElevTol,"OK","OUT"))</f>
        <v/>
      </c>
      <c r="I83" s="11" t="n"/>
      <c r="J83" s="10">
        <f>IF(I83="","",IF(ABS(I83)&lt;=BeamElevTol,"OK","OUT"))</f>
        <v/>
      </c>
      <c r="K83" s="10" t="n"/>
      <c r="L83" s="10" t="n"/>
    </row>
    <row r="84">
      <c r="A84" s="12" t="n"/>
      <c r="B84" s="10" t="n"/>
      <c r="C84" s="10" t="n"/>
      <c r="D84" s="10" t="n"/>
      <c r="E84" s="11" t="n"/>
      <c r="F84" s="11" t="n"/>
      <c r="G84" s="11">
        <f>IFERROR((F84-E84)*12,"")</f>
        <v/>
      </c>
      <c r="H84" s="10">
        <f>IF(G84="","",IF(ABS(G84)&lt;=BeamElevTol,"OK","OUT"))</f>
        <v/>
      </c>
      <c r="I84" s="11" t="n"/>
      <c r="J84" s="10">
        <f>IF(I84="","",IF(ABS(I84)&lt;=BeamElevTol,"OK","OUT"))</f>
        <v/>
      </c>
      <c r="K84" s="10" t="n"/>
      <c r="L84" s="10" t="n"/>
    </row>
    <row r="85">
      <c r="A85" s="12" t="n"/>
      <c r="B85" s="10" t="n"/>
      <c r="C85" s="10" t="n"/>
      <c r="D85" s="10" t="n"/>
      <c r="E85" s="11" t="n"/>
      <c r="F85" s="11" t="n"/>
      <c r="G85" s="11">
        <f>IFERROR((F85-E85)*12,"")</f>
        <v/>
      </c>
      <c r="H85" s="10">
        <f>IF(G85="","",IF(ABS(G85)&lt;=BeamElevTol,"OK","OUT"))</f>
        <v/>
      </c>
      <c r="I85" s="11" t="n"/>
      <c r="J85" s="10">
        <f>IF(I85="","",IF(ABS(I85)&lt;=BeamElevTol,"OK","OUT"))</f>
        <v/>
      </c>
      <c r="K85" s="10" t="n"/>
      <c r="L85" s="10" t="n"/>
    </row>
    <row r="86">
      <c r="A86" s="12" t="n"/>
      <c r="B86" s="10" t="n"/>
      <c r="C86" s="10" t="n"/>
      <c r="D86" s="10" t="n"/>
      <c r="E86" s="11" t="n"/>
      <c r="F86" s="11" t="n"/>
      <c r="G86" s="11">
        <f>IFERROR((F86-E86)*12,"")</f>
        <v/>
      </c>
      <c r="H86" s="10">
        <f>IF(G86="","",IF(ABS(G86)&lt;=BeamElevTol,"OK","OUT"))</f>
        <v/>
      </c>
      <c r="I86" s="11" t="n"/>
      <c r="J86" s="10">
        <f>IF(I86="","",IF(ABS(I86)&lt;=BeamElevTol,"OK","OUT"))</f>
        <v/>
      </c>
      <c r="K86" s="10" t="n"/>
      <c r="L86" s="10" t="n"/>
    </row>
    <row r="87">
      <c r="A87" s="12" t="n"/>
      <c r="B87" s="10" t="n"/>
      <c r="C87" s="10" t="n"/>
      <c r="D87" s="10" t="n"/>
      <c r="E87" s="11" t="n"/>
      <c r="F87" s="11" t="n"/>
      <c r="G87" s="11">
        <f>IFERROR((F87-E87)*12,"")</f>
        <v/>
      </c>
      <c r="H87" s="10">
        <f>IF(G87="","",IF(ABS(G87)&lt;=BeamElevTol,"OK","OUT"))</f>
        <v/>
      </c>
      <c r="I87" s="11" t="n"/>
      <c r="J87" s="10">
        <f>IF(I87="","",IF(ABS(I87)&lt;=BeamElevTol,"OK","OUT"))</f>
        <v/>
      </c>
      <c r="K87" s="10" t="n"/>
      <c r="L87" s="10" t="n"/>
    </row>
    <row r="88">
      <c r="A88" s="12" t="n"/>
      <c r="B88" s="10" t="n"/>
      <c r="C88" s="10" t="n"/>
      <c r="D88" s="10" t="n"/>
      <c r="E88" s="11" t="n"/>
      <c r="F88" s="11" t="n"/>
      <c r="G88" s="11">
        <f>IFERROR((F88-E88)*12,"")</f>
        <v/>
      </c>
      <c r="H88" s="10">
        <f>IF(G88="","",IF(ABS(G88)&lt;=BeamElevTol,"OK","OUT"))</f>
        <v/>
      </c>
      <c r="I88" s="11" t="n"/>
      <c r="J88" s="10">
        <f>IF(I88="","",IF(ABS(I88)&lt;=BeamElevTol,"OK","OUT"))</f>
        <v/>
      </c>
      <c r="K88" s="10" t="n"/>
      <c r="L88" s="10" t="n"/>
    </row>
    <row r="89">
      <c r="A89" s="12" t="n"/>
      <c r="B89" s="10" t="n"/>
      <c r="C89" s="10" t="n"/>
      <c r="D89" s="10" t="n"/>
      <c r="E89" s="11" t="n"/>
      <c r="F89" s="11" t="n"/>
      <c r="G89" s="11">
        <f>IFERROR((F89-E89)*12,"")</f>
        <v/>
      </c>
      <c r="H89" s="10">
        <f>IF(G89="","",IF(ABS(G89)&lt;=BeamElevTol,"OK","OUT"))</f>
        <v/>
      </c>
      <c r="I89" s="11" t="n"/>
      <c r="J89" s="10">
        <f>IF(I89="","",IF(ABS(I89)&lt;=BeamElevTol,"OK","OUT"))</f>
        <v/>
      </c>
      <c r="K89" s="10" t="n"/>
      <c r="L89" s="10" t="n"/>
    </row>
    <row r="90">
      <c r="A90" s="12" t="n"/>
      <c r="B90" s="10" t="n"/>
      <c r="C90" s="10" t="n"/>
      <c r="D90" s="10" t="n"/>
      <c r="E90" s="11" t="n"/>
      <c r="F90" s="11" t="n"/>
      <c r="G90" s="11">
        <f>IFERROR((F90-E90)*12,"")</f>
        <v/>
      </c>
      <c r="H90" s="10">
        <f>IF(G90="","",IF(ABS(G90)&lt;=BeamElevTol,"OK","OUT"))</f>
        <v/>
      </c>
      <c r="I90" s="11" t="n"/>
      <c r="J90" s="10">
        <f>IF(I90="","",IF(ABS(I90)&lt;=BeamElevTol,"OK","OUT"))</f>
        <v/>
      </c>
      <c r="K90" s="10" t="n"/>
      <c r="L90" s="10" t="n"/>
    </row>
    <row r="91">
      <c r="A91" s="12" t="n"/>
      <c r="B91" s="10" t="n"/>
      <c r="C91" s="10" t="n"/>
      <c r="D91" s="10" t="n"/>
      <c r="E91" s="11" t="n"/>
      <c r="F91" s="11" t="n"/>
      <c r="G91" s="11">
        <f>IFERROR((F91-E91)*12,"")</f>
        <v/>
      </c>
      <c r="H91" s="10">
        <f>IF(G91="","",IF(ABS(G91)&lt;=BeamElevTol,"OK","OUT"))</f>
        <v/>
      </c>
      <c r="I91" s="11" t="n"/>
      <c r="J91" s="10">
        <f>IF(I91="","",IF(ABS(I91)&lt;=BeamElevTol,"OK","OUT"))</f>
        <v/>
      </c>
      <c r="K91" s="10" t="n"/>
      <c r="L91" s="10" t="n"/>
    </row>
    <row r="92">
      <c r="A92" s="12" t="n"/>
      <c r="B92" s="10" t="n"/>
      <c r="C92" s="10" t="n"/>
      <c r="D92" s="10" t="n"/>
      <c r="E92" s="11" t="n"/>
      <c r="F92" s="11" t="n"/>
      <c r="G92" s="11">
        <f>IFERROR((F92-E92)*12,"")</f>
        <v/>
      </c>
      <c r="H92" s="10">
        <f>IF(G92="","",IF(ABS(G92)&lt;=BeamElevTol,"OK","OUT"))</f>
        <v/>
      </c>
      <c r="I92" s="11" t="n"/>
      <c r="J92" s="10">
        <f>IF(I92="","",IF(ABS(I92)&lt;=BeamElevTol,"OK","OUT"))</f>
        <v/>
      </c>
      <c r="K92" s="10" t="n"/>
      <c r="L92" s="10" t="n"/>
    </row>
    <row r="93">
      <c r="A93" s="12" t="n"/>
      <c r="B93" s="10" t="n"/>
      <c r="C93" s="10" t="n"/>
      <c r="D93" s="10" t="n"/>
      <c r="E93" s="11" t="n"/>
      <c r="F93" s="11" t="n"/>
      <c r="G93" s="11">
        <f>IFERROR((F93-E93)*12,"")</f>
        <v/>
      </c>
      <c r="H93" s="10">
        <f>IF(G93="","",IF(ABS(G93)&lt;=BeamElevTol,"OK","OUT"))</f>
        <v/>
      </c>
      <c r="I93" s="11" t="n"/>
      <c r="J93" s="10">
        <f>IF(I93="","",IF(ABS(I93)&lt;=BeamElevTol,"OK","OUT"))</f>
        <v/>
      </c>
      <c r="K93" s="10" t="n"/>
      <c r="L93" s="10" t="n"/>
    </row>
    <row r="94">
      <c r="A94" s="12" t="n"/>
      <c r="B94" s="10" t="n"/>
      <c r="C94" s="10" t="n"/>
      <c r="D94" s="10" t="n"/>
      <c r="E94" s="11" t="n"/>
      <c r="F94" s="11" t="n"/>
      <c r="G94" s="11">
        <f>IFERROR((F94-E94)*12,"")</f>
        <v/>
      </c>
      <c r="H94" s="10">
        <f>IF(G94="","",IF(ABS(G94)&lt;=BeamElevTol,"OK","OUT"))</f>
        <v/>
      </c>
      <c r="I94" s="11" t="n"/>
      <c r="J94" s="10">
        <f>IF(I94="","",IF(ABS(I94)&lt;=BeamElevTol,"OK","OUT"))</f>
        <v/>
      </c>
      <c r="K94" s="10" t="n"/>
      <c r="L94" s="10" t="n"/>
    </row>
    <row r="95">
      <c r="A95" s="12" t="n"/>
      <c r="B95" s="10" t="n"/>
      <c r="C95" s="10" t="n"/>
      <c r="D95" s="10" t="n"/>
      <c r="E95" s="11" t="n"/>
      <c r="F95" s="11" t="n"/>
      <c r="G95" s="11">
        <f>IFERROR((F95-E95)*12,"")</f>
        <v/>
      </c>
      <c r="H95" s="10">
        <f>IF(G95="","",IF(ABS(G95)&lt;=BeamElevTol,"OK","OUT"))</f>
        <v/>
      </c>
      <c r="I95" s="11" t="n"/>
      <c r="J95" s="10">
        <f>IF(I95="","",IF(ABS(I95)&lt;=BeamElevTol,"OK","OUT"))</f>
        <v/>
      </c>
      <c r="K95" s="10" t="n"/>
      <c r="L95" s="10" t="n"/>
    </row>
    <row r="96">
      <c r="A96" s="12" t="n"/>
      <c r="B96" s="10" t="n"/>
      <c r="C96" s="10" t="n"/>
      <c r="D96" s="10" t="n"/>
      <c r="E96" s="11" t="n"/>
      <c r="F96" s="11" t="n"/>
      <c r="G96" s="11">
        <f>IFERROR((F96-E96)*12,"")</f>
        <v/>
      </c>
      <c r="H96" s="10">
        <f>IF(G96="","",IF(ABS(G96)&lt;=BeamElevTol,"OK","OUT"))</f>
        <v/>
      </c>
      <c r="I96" s="11" t="n"/>
      <c r="J96" s="10">
        <f>IF(I96="","",IF(ABS(I96)&lt;=BeamElevTol,"OK","OUT"))</f>
        <v/>
      </c>
      <c r="K96" s="10" t="n"/>
      <c r="L96" s="10" t="n"/>
    </row>
    <row r="97">
      <c r="A97" s="12" t="n"/>
      <c r="B97" s="10" t="n"/>
      <c r="C97" s="10" t="n"/>
      <c r="D97" s="10" t="n"/>
      <c r="E97" s="11" t="n"/>
      <c r="F97" s="11" t="n"/>
      <c r="G97" s="11">
        <f>IFERROR((F97-E97)*12,"")</f>
        <v/>
      </c>
      <c r="H97" s="10">
        <f>IF(G97="","",IF(ABS(G97)&lt;=BeamElevTol,"OK","OUT"))</f>
        <v/>
      </c>
      <c r="I97" s="11" t="n"/>
      <c r="J97" s="10">
        <f>IF(I97="","",IF(ABS(I97)&lt;=BeamElevTol,"OK","OUT"))</f>
        <v/>
      </c>
      <c r="K97" s="10" t="n"/>
      <c r="L97" s="10" t="n"/>
    </row>
    <row r="98">
      <c r="A98" s="12" t="n"/>
      <c r="B98" s="10" t="n"/>
      <c r="C98" s="10" t="n"/>
      <c r="D98" s="10" t="n"/>
      <c r="E98" s="11" t="n"/>
      <c r="F98" s="11" t="n"/>
      <c r="G98" s="11">
        <f>IFERROR((F98-E98)*12,"")</f>
        <v/>
      </c>
      <c r="H98" s="10">
        <f>IF(G98="","",IF(ABS(G98)&lt;=BeamElevTol,"OK","OUT"))</f>
        <v/>
      </c>
      <c r="I98" s="11" t="n"/>
      <c r="J98" s="10">
        <f>IF(I98="","",IF(ABS(I98)&lt;=BeamElevTol,"OK","OUT"))</f>
        <v/>
      </c>
      <c r="K98" s="10" t="n"/>
      <c r="L98" s="10" t="n"/>
    </row>
    <row r="99">
      <c r="A99" s="12" t="n"/>
      <c r="B99" s="10" t="n"/>
      <c r="C99" s="10" t="n"/>
      <c r="D99" s="10" t="n"/>
      <c r="E99" s="11" t="n"/>
      <c r="F99" s="11" t="n"/>
      <c r="G99" s="11">
        <f>IFERROR((F99-E99)*12,"")</f>
        <v/>
      </c>
      <c r="H99" s="10">
        <f>IF(G99="","",IF(ABS(G99)&lt;=BeamElevTol,"OK","OUT"))</f>
        <v/>
      </c>
      <c r="I99" s="11" t="n"/>
      <c r="J99" s="10">
        <f>IF(I99="","",IF(ABS(I99)&lt;=BeamElevTol,"OK","OUT"))</f>
        <v/>
      </c>
      <c r="K99" s="10" t="n"/>
      <c r="L99" s="10" t="n"/>
    </row>
    <row r="100">
      <c r="A100" s="12" t="n"/>
      <c r="B100" s="10" t="n"/>
      <c r="C100" s="10" t="n"/>
      <c r="D100" s="10" t="n"/>
      <c r="E100" s="11" t="n"/>
      <c r="F100" s="11" t="n"/>
      <c r="G100" s="11">
        <f>IFERROR((F100-E100)*12,"")</f>
        <v/>
      </c>
      <c r="H100" s="10">
        <f>IF(G100="","",IF(ABS(G100)&lt;=BeamElevTol,"OK","OUT"))</f>
        <v/>
      </c>
      <c r="I100" s="11" t="n"/>
      <c r="J100" s="10">
        <f>IF(I100="","",IF(ABS(I100)&lt;=BeamElevTol,"OK","OUT"))</f>
        <v/>
      </c>
      <c r="K100" s="10" t="n"/>
      <c r="L100" s="10" t="n"/>
    </row>
    <row r="101">
      <c r="A101" s="12" t="n"/>
      <c r="B101" s="10" t="n"/>
      <c r="C101" s="10" t="n"/>
      <c r="D101" s="10" t="n"/>
      <c r="E101" s="11" t="n"/>
      <c r="F101" s="11" t="n"/>
      <c r="G101" s="11">
        <f>IFERROR((F101-E101)*12,"")</f>
        <v/>
      </c>
      <c r="H101" s="10">
        <f>IF(G101="","",IF(ABS(G101)&lt;=BeamElevTol,"OK","OUT"))</f>
        <v/>
      </c>
      <c r="I101" s="11" t="n"/>
      <c r="J101" s="10">
        <f>IF(I101="","",IF(ABS(I101)&lt;=BeamElevTol,"OK","OUT"))</f>
        <v/>
      </c>
      <c r="K101" s="10" t="n"/>
      <c r="L101" s="10" t="n"/>
    </row>
    <row r="102">
      <c r="A102" s="12" t="n"/>
      <c r="B102" s="10" t="n"/>
      <c r="C102" s="10" t="n"/>
      <c r="D102" s="10" t="n"/>
      <c r="E102" s="11" t="n"/>
      <c r="F102" s="11" t="n"/>
      <c r="G102" s="11">
        <f>IFERROR((F102-E102)*12,"")</f>
        <v/>
      </c>
      <c r="H102" s="10">
        <f>IF(G102="","",IF(ABS(G102)&lt;=BeamElevTol,"OK","OUT"))</f>
        <v/>
      </c>
      <c r="I102" s="11" t="n"/>
      <c r="J102" s="10">
        <f>IF(I102="","",IF(ABS(I102)&lt;=BeamElevTol,"OK","OUT"))</f>
        <v/>
      </c>
      <c r="K102" s="10" t="n"/>
      <c r="L102" s="10" t="n"/>
    </row>
    <row r="103">
      <c r="A103" s="12" t="n"/>
      <c r="B103" s="10" t="n"/>
      <c r="C103" s="10" t="n"/>
      <c r="D103" s="10" t="n"/>
      <c r="E103" s="11" t="n"/>
      <c r="F103" s="11" t="n"/>
      <c r="G103" s="11">
        <f>IFERROR((F103-E103)*12,"")</f>
        <v/>
      </c>
      <c r="H103" s="10">
        <f>IF(G103="","",IF(ABS(G103)&lt;=BeamElevTol,"OK","OUT"))</f>
        <v/>
      </c>
      <c r="I103" s="11" t="n"/>
      <c r="J103" s="10">
        <f>IF(I103="","",IF(ABS(I103)&lt;=BeamElevTol,"OK","OUT"))</f>
        <v/>
      </c>
      <c r="K103" s="10" t="n"/>
      <c r="L103" s="10" t="n"/>
    </row>
    <row r="104">
      <c r="A104" s="12" t="n"/>
      <c r="B104" s="10" t="n"/>
      <c r="C104" s="10" t="n"/>
      <c r="D104" s="10" t="n"/>
      <c r="E104" s="11" t="n"/>
      <c r="F104" s="11" t="n"/>
      <c r="G104" s="11">
        <f>IFERROR((F104-E104)*12,"")</f>
        <v/>
      </c>
      <c r="H104" s="10">
        <f>IF(G104="","",IF(ABS(G104)&lt;=BeamElevTol,"OK","OUT"))</f>
        <v/>
      </c>
      <c r="I104" s="11" t="n"/>
      <c r="J104" s="10">
        <f>IF(I104="","",IF(ABS(I104)&lt;=BeamElevTol,"OK","OUT"))</f>
        <v/>
      </c>
      <c r="K104" s="10" t="n"/>
      <c r="L104" s="10" t="n"/>
    </row>
    <row r="105">
      <c r="A105" s="12" t="n"/>
      <c r="B105" s="10" t="n"/>
      <c r="C105" s="10" t="n"/>
      <c r="D105" s="10" t="n"/>
      <c r="E105" s="11" t="n"/>
      <c r="F105" s="11" t="n"/>
      <c r="G105" s="11">
        <f>IFERROR((F105-E105)*12,"")</f>
        <v/>
      </c>
      <c r="H105" s="10">
        <f>IF(G105="","",IF(ABS(G105)&lt;=BeamElevTol,"OK","OUT"))</f>
        <v/>
      </c>
      <c r="I105" s="11" t="n"/>
      <c r="J105" s="10">
        <f>IF(I105="","",IF(ABS(I105)&lt;=BeamElevTol,"OK","OUT"))</f>
        <v/>
      </c>
      <c r="K105" s="10" t="n"/>
      <c r="L105" s="10" t="n"/>
    </row>
    <row r="106">
      <c r="A106" s="12" t="n"/>
      <c r="B106" s="10" t="n"/>
      <c r="C106" s="10" t="n"/>
      <c r="D106" s="10" t="n"/>
      <c r="E106" s="11" t="n"/>
      <c r="F106" s="11" t="n"/>
      <c r="G106" s="11">
        <f>IFERROR((F106-E106)*12,"")</f>
        <v/>
      </c>
      <c r="H106" s="10">
        <f>IF(G106="","",IF(ABS(G106)&lt;=BeamElevTol,"OK","OUT"))</f>
        <v/>
      </c>
      <c r="I106" s="11" t="n"/>
      <c r="J106" s="10">
        <f>IF(I106="","",IF(ABS(I106)&lt;=BeamElevTol,"OK","OUT"))</f>
        <v/>
      </c>
      <c r="K106" s="10" t="n"/>
      <c r="L106" s="10" t="n"/>
    </row>
    <row r="107">
      <c r="A107" s="12" t="n"/>
      <c r="B107" s="10" t="n"/>
      <c r="C107" s="10" t="n"/>
      <c r="D107" s="10" t="n"/>
      <c r="E107" s="11" t="n"/>
      <c r="F107" s="11" t="n"/>
      <c r="G107" s="11">
        <f>IFERROR((F107-E107)*12,"")</f>
        <v/>
      </c>
      <c r="H107" s="10">
        <f>IF(G107="","",IF(ABS(G107)&lt;=BeamElevTol,"OK","OUT"))</f>
        <v/>
      </c>
      <c r="I107" s="11" t="n"/>
      <c r="J107" s="10">
        <f>IF(I107="","",IF(ABS(I107)&lt;=BeamElevTol,"OK","OUT"))</f>
        <v/>
      </c>
      <c r="K107" s="10" t="n"/>
      <c r="L107" s="10" t="n"/>
    </row>
    <row r="108">
      <c r="A108" s="12" t="n"/>
      <c r="B108" s="10" t="n"/>
      <c r="C108" s="10" t="n"/>
      <c r="D108" s="10" t="n"/>
      <c r="E108" s="11" t="n"/>
      <c r="F108" s="11" t="n"/>
      <c r="G108" s="11">
        <f>IFERROR((F108-E108)*12,"")</f>
        <v/>
      </c>
      <c r="H108" s="10">
        <f>IF(G108="","",IF(ABS(G108)&lt;=BeamElevTol,"OK","OUT"))</f>
        <v/>
      </c>
      <c r="I108" s="11" t="n"/>
      <c r="J108" s="10">
        <f>IF(I108="","",IF(ABS(I108)&lt;=BeamElevTol,"OK","OUT"))</f>
        <v/>
      </c>
      <c r="K108" s="10" t="n"/>
      <c r="L108" s="10" t="n"/>
    </row>
    <row r="109">
      <c r="A109" s="12" t="n"/>
      <c r="B109" s="10" t="n"/>
      <c r="C109" s="10" t="n"/>
      <c r="D109" s="10" t="n"/>
      <c r="E109" s="11" t="n"/>
      <c r="F109" s="11" t="n"/>
      <c r="G109" s="11">
        <f>IFERROR((F109-E109)*12,"")</f>
        <v/>
      </c>
      <c r="H109" s="10">
        <f>IF(G109="","",IF(ABS(G109)&lt;=BeamElevTol,"OK","OUT"))</f>
        <v/>
      </c>
      <c r="I109" s="11" t="n"/>
      <c r="J109" s="10">
        <f>IF(I109="","",IF(ABS(I109)&lt;=BeamElevTol,"OK","OUT"))</f>
        <v/>
      </c>
      <c r="K109" s="10" t="n"/>
      <c r="L109" s="10" t="n"/>
    </row>
    <row r="110">
      <c r="A110" s="12" t="n"/>
      <c r="B110" s="10" t="n"/>
      <c r="C110" s="10" t="n"/>
      <c r="D110" s="10" t="n"/>
      <c r="E110" s="11" t="n"/>
      <c r="F110" s="11" t="n"/>
      <c r="G110" s="11">
        <f>IFERROR((F110-E110)*12,"")</f>
        <v/>
      </c>
      <c r="H110" s="10">
        <f>IF(G110="","",IF(ABS(G110)&lt;=BeamElevTol,"OK","OUT"))</f>
        <v/>
      </c>
      <c r="I110" s="11" t="n"/>
      <c r="J110" s="10">
        <f>IF(I110="","",IF(ABS(I110)&lt;=BeamElevTol,"OK","OUT"))</f>
        <v/>
      </c>
      <c r="K110" s="10" t="n"/>
      <c r="L110" s="10" t="n"/>
    </row>
    <row r="111">
      <c r="A111" s="12" t="n"/>
      <c r="B111" s="10" t="n"/>
      <c r="C111" s="10" t="n"/>
      <c r="D111" s="10" t="n"/>
      <c r="E111" s="11" t="n"/>
      <c r="F111" s="11" t="n"/>
      <c r="G111" s="11">
        <f>IFERROR((F111-E111)*12,"")</f>
        <v/>
      </c>
      <c r="H111" s="10">
        <f>IF(G111="","",IF(ABS(G111)&lt;=BeamElevTol,"OK","OUT"))</f>
        <v/>
      </c>
      <c r="I111" s="11" t="n"/>
      <c r="J111" s="10">
        <f>IF(I111="","",IF(ABS(I111)&lt;=BeamElevTol,"OK","OUT"))</f>
        <v/>
      </c>
      <c r="K111" s="10" t="n"/>
      <c r="L111" s="10" t="n"/>
    </row>
    <row r="112">
      <c r="A112" s="12" t="n"/>
      <c r="B112" s="10" t="n"/>
      <c r="C112" s="10" t="n"/>
      <c r="D112" s="10" t="n"/>
      <c r="E112" s="11" t="n"/>
      <c r="F112" s="11" t="n"/>
      <c r="G112" s="11">
        <f>IFERROR((F112-E112)*12,"")</f>
        <v/>
      </c>
      <c r="H112" s="10">
        <f>IF(G112="","",IF(ABS(G112)&lt;=BeamElevTol,"OK","OUT"))</f>
        <v/>
      </c>
      <c r="I112" s="11" t="n"/>
      <c r="J112" s="10">
        <f>IF(I112="","",IF(ABS(I112)&lt;=BeamElevTol,"OK","OUT"))</f>
        <v/>
      </c>
      <c r="K112" s="10" t="n"/>
      <c r="L112" s="10" t="n"/>
    </row>
    <row r="113">
      <c r="A113" s="12" t="n"/>
      <c r="B113" s="10" t="n"/>
      <c r="C113" s="10" t="n"/>
      <c r="D113" s="10" t="n"/>
      <c r="E113" s="11" t="n"/>
      <c r="F113" s="11" t="n"/>
      <c r="G113" s="11">
        <f>IFERROR((F113-E113)*12,"")</f>
        <v/>
      </c>
      <c r="H113" s="10">
        <f>IF(G113="","",IF(ABS(G113)&lt;=BeamElevTol,"OK","OUT"))</f>
        <v/>
      </c>
      <c r="I113" s="11" t="n"/>
      <c r="J113" s="10">
        <f>IF(I113="","",IF(ABS(I113)&lt;=BeamElevTol,"OK","OUT"))</f>
        <v/>
      </c>
      <c r="K113" s="10" t="n"/>
      <c r="L113" s="10" t="n"/>
    </row>
    <row r="114">
      <c r="A114" s="12" t="n"/>
      <c r="B114" s="10" t="n"/>
      <c r="C114" s="10" t="n"/>
      <c r="D114" s="10" t="n"/>
      <c r="E114" s="11" t="n"/>
      <c r="F114" s="11" t="n"/>
      <c r="G114" s="11">
        <f>IFERROR((F114-E114)*12,"")</f>
        <v/>
      </c>
      <c r="H114" s="10">
        <f>IF(G114="","",IF(ABS(G114)&lt;=BeamElevTol,"OK","OUT"))</f>
        <v/>
      </c>
      <c r="I114" s="11" t="n"/>
      <c r="J114" s="10">
        <f>IF(I114="","",IF(ABS(I114)&lt;=BeamElevTol,"OK","OUT"))</f>
        <v/>
      </c>
      <c r="K114" s="10" t="n"/>
      <c r="L114" s="10" t="n"/>
    </row>
    <row r="115">
      <c r="A115" s="12" t="n"/>
      <c r="B115" s="10" t="n"/>
      <c r="C115" s="10" t="n"/>
      <c r="D115" s="10" t="n"/>
      <c r="E115" s="11" t="n"/>
      <c r="F115" s="11" t="n"/>
      <c r="G115" s="11">
        <f>IFERROR((F115-E115)*12,"")</f>
        <v/>
      </c>
      <c r="H115" s="10">
        <f>IF(G115="","",IF(ABS(G115)&lt;=BeamElevTol,"OK","OUT"))</f>
        <v/>
      </c>
      <c r="I115" s="11" t="n"/>
      <c r="J115" s="10">
        <f>IF(I115="","",IF(ABS(I115)&lt;=BeamElevTol,"OK","OUT"))</f>
        <v/>
      </c>
      <c r="K115" s="10" t="n"/>
      <c r="L115" s="10" t="n"/>
    </row>
    <row r="116">
      <c r="A116" s="12" t="n"/>
      <c r="B116" s="10" t="n"/>
      <c r="C116" s="10" t="n"/>
      <c r="D116" s="10" t="n"/>
      <c r="E116" s="11" t="n"/>
      <c r="F116" s="11" t="n"/>
      <c r="G116" s="11">
        <f>IFERROR((F116-E116)*12,"")</f>
        <v/>
      </c>
      <c r="H116" s="10">
        <f>IF(G116="","",IF(ABS(G116)&lt;=BeamElevTol,"OK","OUT"))</f>
        <v/>
      </c>
      <c r="I116" s="11" t="n"/>
      <c r="J116" s="10">
        <f>IF(I116="","",IF(ABS(I116)&lt;=BeamElevTol,"OK","OUT"))</f>
        <v/>
      </c>
      <c r="K116" s="10" t="n"/>
      <c r="L116" s="10" t="n"/>
    </row>
    <row r="117">
      <c r="A117" s="12" t="n"/>
      <c r="B117" s="10" t="n"/>
      <c r="C117" s="10" t="n"/>
      <c r="D117" s="10" t="n"/>
      <c r="E117" s="11" t="n"/>
      <c r="F117" s="11" t="n"/>
      <c r="G117" s="11">
        <f>IFERROR((F117-E117)*12,"")</f>
        <v/>
      </c>
      <c r="H117" s="10">
        <f>IF(G117="","",IF(ABS(G117)&lt;=BeamElevTol,"OK","OUT"))</f>
        <v/>
      </c>
      <c r="I117" s="11" t="n"/>
      <c r="J117" s="10">
        <f>IF(I117="","",IF(ABS(I117)&lt;=BeamElevTol,"OK","OUT"))</f>
        <v/>
      </c>
      <c r="K117" s="10" t="n"/>
      <c r="L117" s="10" t="n"/>
    </row>
    <row r="118">
      <c r="A118" s="12" t="n"/>
      <c r="B118" s="10" t="n"/>
      <c r="C118" s="10" t="n"/>
      <c r="D118" s="10" t="n"/>
      <c r="E118" s="11" t="n"/>
      <c r="F118" s="11" t="n"/>
      <c r="G118" s="11">
        <f>IFERROR((F118-E118)*12,"")</f>
        <v/>
      </c>
      <c r="H118" s="10">
        <f>IF(G118="","",IF(ABS(G118)&lt;=BeamElevTol,"OK","OUT"))</f>
        <v/>
      </c>
      <c r="I118" s="11" t="n"/>
      <c r="J118" s="10">
        <f>IF(I118="","",IF(ABS(I118)&lt;=BeamElevTol,"OK","OUT"))</f>
        <v/>
      </c>
      <c r="K118" s="10" t="n"/>
      <c r="L118" s="10" t="n"/>
    </row>
    <row r="119">
      <c r="A119" s="12" t="n"/>
      <c r="B119" s="10" t="n"/>
      <c r="C119" s="10" t="n"/>
      <c r="D119" s="10" t="n"/>
      <c r="E119" s="11" t="n"/>
      <c r="F119" s="11" t="n"/>
      <c r="G119" s="11">
        <f>IFERROR((F119-E119)*12,"")</f>
        <v/>
      </c>
      <c r="H119" s="10">
        <f>IF(G119="","",IF(ABS(G119)&lt;=BeamElevTol,"OK","OUT"))</f>
        <v/>
      </c>
      <c r="I119" s="11" t="n"/>
      <c r="J119" s="10">
        <f>IF(I119="","",IF(ABS(I119)&lt;=BeamElevTol,"OK","OUT"))</f>
        <v/>
      </c>
      <c r="K119" s="10" t="n"/>
      <c r="L119" s="10" t="n"/>
    </row>
    <row r="120">
      <c r="A120" s="12" t="n"/>
      <c r="B120" s="10" t="n"/>
      <c r="C120" s="10" t="n"/>
      <c r="D120" s="10" t="n"/>
      <c r="E120" s="11" t="n"/>
      <c r="F120" s="11" t="n"/>
      <c r="G120" s="11">
        <f>IFERROR((F120-E120)*12,"")</f>
        <v/>
      </c>
      <c r="H120" s="10">
        <f>IF(G120="","",IF(ABS(G120)&lt;=BeamElevTol,"OK","OUT"))</f>
        <v/>
      </c>
      <c r="I120" s="11" t="n"/>
      <c r="J120" s="10">
        <f>IF(I120="","",IF(ABS(I120)&lt;=BeamElevTol,"OK","OUT"))</f>
        <v/>
      </c>
      <c r="K120" s="10" t="n"/>
      <c r="L120" s="10" t="n"/>
    </row>
    <row r="121">
      <c r="A121" s="12" t="n"/>
      <c r="B121" s="10" t="n"/>
      <c r="C121" s="10" t="n"/>
      <c r="D121" s="10" t="n"/>
      <c r="E121" s="11" t="n"/>
      <c r="F121" s="11" t="n"/>
      <c r="G121" s="11">
        <f>IFERROR((F121-E121)*12,"")</f>
        <v/>
      </c>
      <c r="H121" s="10">
        <f>IF(G121="","",IF(ABS(G121)&lt;=BeamElevTol,"OK","OUT"))</f>
        <v/>
      </c>
      <c r="I121" s="11" t="n"/>
      <c r="J121" s="10">
        <f>IF(I121="","",IF(ABS(I121)&lt;=BeamElevTol,"OK","OUT"))</f>
        <v/>
      </c>
      <c r="K121" s="10" t="n"/>
      <c r="L121" s="10" t="n"/>
    </row>
    <row r="122">
      <c r="A122" s="12" t="n"/>
      <c r="B122" s="10" t="n"/>
      <c r="C122" s="10" t="n"/>
      <c r="D122" s="10" t="n"/>
      <c r="E122" s="11" t="n"/>
      <c r="F122" s="11" t="n"/>
      <c r="G122" s="11">
        <f>IFERROR((F122-E122)*12,"")</f>
        <v/>
      </c>
      <c r="H122" s="10">
        <f>IF(G122="","",IF(ABS(G122)&lt;=BeamElevTol,"OK","OUT"))</f>
        <v/>
      </c>
      <c r="I122" s="11" t="n"/>
      <c r="J122" s="10">
        <f>IF(I122="","",IF(ABS(I122)&lt;=BeamElevTol,"OK","OUT"))</f>
        <v/>
      </c>
      <c r="K122" s="10" t="n"/>
      <c r="L122" s="10" t="n"/>
    </row>
    <row r="123">
      <c r="A123" s="12" t="n"/>
      <c r="B123" s="10" t="n"/>
      <c r="C123" s="10" t="n"/>
      <c r="D123" s="10" t="n"/>
      <c r="E123" s="11" t="n"/>
      <c r="F123" s="11" t="n"/>
      <c r="G123" s="11">
        <f>IFERROR((F123-E123)*12,"")</f>
        <v/>
      </c>
      <c r="H123" s="10">
        <f>IF(G123="","",IF(ABS(G123)&lt;=BeamElevTol,"OK","OUT"))</f>
        <v/>
      </c>
      <c r="I123" s="11" t="n"/>
      <c r="J123" s="10">
        <f>IF(I123="","",IF(ABS(I123)&lt;=BeamElevTol,"OK","OUT"))</f>
        <v/>
      </c>
      <c r="K123" s="10" t="n"/>
      <c r="L123" s="10" t="n"/>
    </row>
    <row r="124">
      <c r="A124" s="12" t="n"/>
      <c r="B124" s="10" t="n"/>
      <c r="C124" s="10" t="n"/>
      <c r="D124" s="10" t="n"/>
      <c r="E124" s="11" t="n"/>
      <c r="F124" s="11" t="n"/>
      <c r="G124" s="11">
        <f>IFERROR((F124-E124)*12,"")</f>
        <v/>
      </c>
      <c r="H124" s="10">
        <f>IF(G124="","",IF(ABS(G124)&lt;=BeamElevTol,"OK","OUT"))</f>
        <v/>
      </c>
      <c r="I124" s="11" t="n"/>
      <c r="J124" s="10">
        <f>IF(I124="","",IF(ABS(I124)&lt;=BeamElevTol,"OK","OUT"))</f>
        <v/>
      </c>
      <c r="K124" s="10" t="n"/>
      <c r="L124" s="10" t="n"/>
    </row>
    <row r="125">
      <c r="A125" s="12" t="n"/>
      <c r="B125" s="10" t="n"/>
      <c r="C125" s="10" t="n"/>
      <c r="D125" s="10" t="n"/>
      <c r="E125" s="11" t="n"/>
      <c r="F125" s="11" t="n"/>
      <c r="G125" s="11">
        <f>IFERROR((F125-E125)*12,"")</f>
        <v/>
      </c>
      <c r="H125" s="10">
        <f>IF(G125="","",IF(ABS(G125)&lt;=BeamElevTol,"OK","OUT"))</f>
        <v/>
      </c>
      <c r="I125" s="11" t="n"/>
      <c r="J125" s="10">
        <f>IF(I125="","",IF(ABS(I125)&lt;=BeamElevTol,"OK","OUT"))</f>
        <v/>
      </c>
      <c r="K125" s="10" t="n"/>
      <c r="L125" s="10" t="n"/>
    </row>
    <row r="126">
      <c r="A126" s="12" t="n"/>
      <c r="B126" s="10" t="n"/>
      <c r="C126" s="10" t="n"/>
      <c r="D126" s="10" t="n"/>
      <c r="E126" s="11" t="n"/>
      <c r="F126" s="11" t="n"/>
      <c r="G126" s="11">
        <f>IFERROR((F126-E126)*12,"")</f>
        <v/>
      </c>
      <c r="H126" s="10">
        <f>IF(G126="","",IF(ABS(G126)&lt;=BeamElevTol,"OK","OUT"))</f>
        <v/>
      </c>
      <c r="I126" s="11" t="n"/>
      <c r="J126" s="10">
        <f>IF(I126="","",IF(ABS(I126)&lt;=BeamElevTol,"OK","OUT"))</f>
        <v/>
      </c>
      <c r="K126" s="10" t="n"/>
      <c r="L126" s="10" t="n"/>
    </row>
    <row r="127">
      <c r="A127" s="12" t="n"/>
      <c r="B127" s="10" t="n"/>
      <c r="C127" s="10" t="n"/>
      <c r="D127" s="10" t="n"/>
      <c r="E127" s="11" t="n"/>
      <c r="F127" s="11" t="n"/>
      <c r="G127" s="11">
        <f>IFERROR((F127-E127)*12,"")</f>
        <v/>
      </c>
      <c r="H127" s="10">
        <f>IF(G127="","",IF(ABS(G127)&lt;=BeamElevTol,"OK","OUT"))</f>
        <v/>
      </c>
      <c r="I127" s="11" t="n"/>
      <c r="J127" s="10">
        <f>IF(I127="","",IF(ABS(I127)&lt;=BeamElevTol,"OK","OUT"))</f>
        <v/>
      </c>
      <c r="K127" s="10" t="n"/>
      <c r="L127" s="10" t="n"/>
    </row>
    <row r="128">
      <c r="A128" s="12" t="n"/>
      <c r="B128" s="10" t="n"/>
      <c r="C128" s="10" t="n"/>
      <c r="D128" s="10" t="n"/>
      <c r="E128" s="11" t="n"/>
      <c r="F128" s="11" t="n"/>
      <c r="G128" s="11">
        <f>IFERROR((F128-E128)*12,"")</f>
        <v/>
      </c>
      <c r="H128" s="10">
        <f>IF(G128="","",IF(ABS(G128)&lt;=BeamElevTol,"OK","OUT"))</f>
        <v/>
      </c>
      <c r="I128" s="11" t="n"/>
      <c r="J128" s="10">
        <f>IF(I128="","",IF(ABS(I128)&lt;=BeamElevTol,"OK","OUT"))</f>
        <v/>
      </c>
      <c r="K128" s="10" t="n"/>
      <c r="L128" s="10" t="n"/>
    </row>
    <row r="129">
      <c r="A129" s="12" t="n"/>
      <c r="B129" s="10" t="n"/>
      <c r="C129" s="10" t="n"/>
      <c r="D129" s="10" t="n"/>
      <c r="E129" s="11" t="n"/>
      <c r="F129" s="11" t="n"/>
      <c r="G129" s="11">
        <f>IFERROR((F129-E129)*12,"")</f>
        <v/>
      </c>
      <c r="H129" s="10">
        <f>IF(G129="","",IF(ABS(G129)&lt;=BeamElevTol,"OK","OUT"))</f>
        <v/>
      </c>
      <c r="I129" s="11" t="n"/>
      <c r="J129" s="10">
        <f>IF(I129="","",IF(ABS(I129)&lt;=BeamElevTol,"OK","OUT"))</f>
        <v/>
      </c>
      <c r="K129" s="10" t="n"/>
      <c r="L129" s="10" t="n"/>
    </row>
    <row r="130">
      <c r="A130" s="12" t="n"/>
      <c r="B130" s="10" t="n"/>
      <c r="C130" s="10" t="n"/>
      <c r="D130" s="10" t="n"/>
      <c r="E130" s="11" t="n"/>
      <c r="F130" s="11" t="n"/>
      <c r="G130" s="11">
        <f>IFERROR((F130-E130)*12,"")</f>
        <v/>
      </c>
      <c r="H130" s="10">
        <f>IF(G130="","",IF(ABS(G130)&lt;=BeamElevTol,"OK","OUT"))</f>
        <v/>
      </c>
      <c r="I130" s="11" t="n"/>
      <c r="J130" s="10">
        <f>IF(I130="","",IF(ABS(I130)&lt;=BeamElevTol,"OK","OUT"))</f>
        <v/>
      </c>
      <c r="K130" s="10" t="n"/>
      <c r="L130" s="10" t="n"/>
    </row>
    <row r="131">
      <c r="A131" s="12" t="n"/>
      <c r="B131" s="10" t="n"/>
      <c r="C131" s="10" t="n"/>
      <c r="D131" s="10" t="n"/>
      <c r="E131" s="11" t="n"/>
      <c r="F131" s="11" t="n"/>
      <c r="G131" s="11">
        <f>IFERROR((F131-E131)*12,"")</f>
        <v/>
      </c>
      <c r="H131" s="10">
        <f>IF(G131="","",IF(ABS(G131)&lt;=BeamElevTol,"OK","OUT"))</f>
        <v/>
      </c>
      <c r="I131" s="11" t="n"/>
      <c r="J131" s="10">
        <f>IF(I131="","",IF(ABS(I131)&lt;=BeamElevTol,"OK","OUT"))</f>
        <v/>
      </c>
      <c r="K131" s="10" t="n"/>
      <c r="L131" s="10" t="n"/>
    </row>
    <row r="132">
      <c r="A132" s="12" t="n"/>
      <c r="B132" s="10" t="n"/>
      <c r="C132" s="10" t="n"/>
      <c r="D132" s="10" t="n"/>
      <c r="E132" s="11" t="n"/>
      <c r="F132" s="11" t="n"/>
      <c r="G132" s="11">
        <f>IFERROR((F132-E132)*12,"")</f>
        <v/>
      </c>
      <c r="H132" s="10">
        <f>IF(G132="","",IF(ABS(G132)&lt;=BeamElevTol,"OK","OUT"))</f>
        <v/>
      </c>
      <c r="I132" s="11" t="n"/>
      <c r="J132" s="10">
        <f>IF(I132="","",IF(ABS(I132)&lt;=BeamElevTol,"OK","OUT"))</f>
        <v/>
      </c>
      <c r="K132" s="10" t="n"/>
      <c r="L132" s="10" t="n"/>
    </row>
    <row r="133">
      <c r="A133" s="12" t="n"/>
      <c r="B133" s="10" t="n"/>
      <c r="C133" s="10" t="n"/>
      <c r="D133" s="10" t="n"/>
      <c r="E133" s="11" t="n"/>
      <c r="F133" s="11" t="n"/>
      <c r="G133" s="11">
        <f>IFERROR((F133-E133)*12,"")</f>
        <v/>
      </c>
      <c r="H133" s="10">
        <f>IF(G133="","",IF(ABS(G133)&lt;=BeamElevTol,"OK","OUT"))</f>
        <v/>
      </c>
      <c r="I133" s="11" t="n"/>
      <c r="J133" s="10">
        <f>IF(I133="","",IF(ABS(I133)&lt;=BeamElevTol,"OK","OUT"))</f>
        <v/>
      </c>
      <c r="K133" s="10" t="n"/>
      <c r="L133" s="10" t="n"/>
    </row>
    <row r="134">
      <c r="A134" s="12" t="n"/>
      <c r="B134" s="10" t="n"/>
      <c r="C134" s="10" t="n"/>
      <c r="D134" s="10" t="n"/>
      <c r="E134" s="11" t="n"/>
      <c r="F134" s="11" t="n"/>
      <c r="G134" s="11">
        <f>IFERROR((F134-E134)*12,"")</f>
        <v/>
      </c>
      <c r="H134" s="10">
        <f>IF(G134="","",IF(ABS(G134)&lt;=BeamElevTol,"OK","OUT"))</f>
        <v/>
      </c>
      <c r="I134" s="11" t="n"/>
      <c r="J134" s="10">
        <f>IF(I134="","",IF(ABS(I134)&lt;=BeamElevTol,"OK","OUT"))</f>
        <v/>
      </c>
      <c r="K134" s="10" t="n"/>
      <c r="L134" s="10" t="n"/>
    </row>
    <row r="135">
      <c r="A135" s="12" t="n"/>
      <c r="B135" s="10" t="n"/>
      <c r="C135" s="10" t="n"/>
      <c r="D135" s="10" t="n"/>
      <c r="E135" s="11" t="n"/>
      <c r="F135" s="11" t="n"/>
      <c r="G135" s="11">
        <f>IFERROR((F135-E135)*12,"")</f>
        <v/>
      </c>
      <c r="H135" s="10">
        <f>IF(G135="","",IF(ABS(G135)&lt;=BeamElevTol,"OK","OUT"))</f>
        <v/>
      </c>
      <c r="I135" s="11" t="n"/>
      <c r="J135" s="10">
        <f>IF(I135="","",IF(ABS(I135)&lt;=BeamElevTol,"OK","OUT"))</f>
        <v/>
      </c>
      <c r="K135" s="10" t="n"/>
      <c r="L135" s="10" t="n"/>
    </row>
    <row r="136">
      <c r="A136" s="12" t="n"/>
      <c r="B136" s="10" t="n"/>
      <c r="C136" s="10" t="n"/>
      <c r="D136" s="10" t="n"/>
      <c r="E136" s="11" t="n"/>
      <c r="F136" s="11" t="n"/>
      <c r="G136" s="11">
        <f>IFERROR((F136-E136)*12,"")</f>
        <v/>
      </c>
      <c r="H136" s="10">
        <f>IF(G136="","",IF(ABS(G136)&lt;=BeamElevTol,"OK","OUT"))</f>
        <v/>
      </c>
      <c r="I136" s="11" t="n"/>
      <c r="J136" s="10">
        <f>IF(I136="","",IF(ABS(I136)&lt;=BeamElevTol,"OK","OUT"))</f>
        <v/>
      </c>
      <c r="K136" s="10" t="n"/>
      <c r="L136" s="10" t="n"/>
    </row>
    <row r="137">
      <c r="A137" s="12" t="n"/>
      <c r="B137" s="10" t="n"/>
      <c r="C137" s="10" t="n"/>
      <c r="D137" s="10" t="n"/>
      <c r="E137" s="11" t="n"/>
      <c r="F137" s="11" t="n"/>
      <c r="G137" s="11">
        <f>IFERROR((F137-E137)*12,"")</f>
        <v/>
      </c>
      <c r="H137" s="10">
        <f>IF(G137="","",IF(ABS(G137)&lt;=BeamElevTol,"OK","OUT"))</f>
        <v/>
      </c>
      <c r="I137" s="11" t="n"/>
      <c r="J137" s="10">
        <f>IF(I137="","",IF(ABS(I137)&lt;=BeamElevTol,"OK","OUT"))</f>
        <v/>
      </c>
      <c r="K137" s="10" t="n"/>
      <c r="L137" s="10" t="n"/>
    </row>
    <row r="138">
      <c r="A138" s="12" t="n"/>
      <c r="B138" s="10" t="n"/>
      <c r="C138" s="10" t="n"/>
      <c r="D138" s="10" t="n"/>
      <c r="E138" s="11" t="n"/>
      <c r="F138" s="11" t="n"/>
      <c r="G138" s="11">
        <f>IFERROR((F138-E138)*12,"")</f>
        <v/>
      </c>
      <c r="H138" s="10">
        <f>IF(G138="","",IF(ABS(G138)&lt;=BeamElevTol,"OK","OUT"))</f>
        <v/>
      </c>
      <c r="I138" s="11" t="n"/>
      <c r="J138" s="10">
        <f>IF(I138="","",IF(ABS(I138)&lt;=BeamElevTol,"OK","OUT"))</f>
        <v/>
      </c>
      <c r="K138" s="10" t="n"/>
      <c r="L138" s="10" t="n"/>
    </row>
    <row r="139">
      <c r="A139" s="12" t="n"/>
      <c r="B139" s="10" t="n"/>
      <c r="C139" s="10" t="n"/>
      <c r="D139" s="10" t="n"/>
      <c r="E139" s="11" t="n"/>
      <c r="F139" s="11" t="n"/>
      <c r="G139" s="11">
        <f>IFERROR((F139-E139)*12,"")</f>
        <v/>
      </c>
      <c r="H139" s="10">
        <f>IF(G139="","",IF(ABS(G139)&lt;=BeamElevTol,"OK","OUT"))</f>
        <v/>
      </c>
      <c r="I139" s="11" t="n"/>
      <c r="J139" s="10">
        <f>IF(I139="","",IF(ABS(I139)&lt;=BeamElevTol,"OK","OUT"))</f>
        <v/>
      </c>
      <c r="K139" s="10" t="n"/>
      <c r="L139" s="10" t="n"/>
    </row>
    <row r="140">
      <c r="A140" s="12" t="n"/>
      <c r="B140" s="10" t="n"/>
      <c r="C140" s="10" t="n"/>
      <c r="D140" s="10" t="n"/>
      <c r="E140" s="11" t="n"/>
      <c r="F140" s="11" t="n"/>
      <c r="G140" s="11">
        <f>IFERROR((F140-E140)*12,"")</f>
        <v/>
      </c>
      <c r="H140" s="10">
        <f>IF(G140="","",IF(ABS(G140)&lt;=BeamElevTol,"OK","OUT"))</f>
        <v/>
      </c>
      <c r="I140" s="11" t="n"/>
      <c r="J140" s="10">
        <f>IF(I140="","",IF(ABS(I140)&lt;=BeamElevTol,"OK","OUT"))</f>
        <v/>
      </c>
      <c r="K140" s="10" t="n"/>
      <c r="L140" s="10" t="n"/>
    </row>
    <row r="141">
      <c r="A141" s="12" t="n"/>
      <c r="B141" s="10" t="n"/>
      <c r="C141" s="10" t="n"/>
      <c r="D141" s="10" t="n"/>
      <c r="E141" s="11" t="n"/>
      <c r="F141" s="11" t="n"/>
      <c r="G141" s="11">
        <f>IFERROR((F141-E141)*12,"")</f>
        <v/>
      </c>
      <c r="H141" s="10">
        <f>IF(G141="","",IF(ABS(G141)&lt;=BeamElevTol,"OK","OUT"))</f>
        <v/>
      </c>
      <c r="I141" s="11" t="n"/>
      <c r="J141" s="10">
        <f>IF(I141="","",IF(ABS(I141)&lt;=BeamElevTol,"OK","OUT"))</f>
        <v/>
      </c>
      <c r="K141" s="10" t="n"/>
      <c r="L141" s="10" t="n"/>
    </row>
    <row r="142">
      <c r="A142" s="12" t="n"/>
      <c r="B142" s="10" t="n"/>
      <c r="C142" s="10" t="n"/>
      <c r="D142" s="10" t="n"/>
      <c r="E142" s="11" t="n"/>
      <c r="F142" s="11" t="n"/>
      <c r="G142" s="11">
        <f>IFERROR((F142-E142)*12,"")</f>
        <v/>
      </c>
      <c r="H142" s="10">
        <f>IF(G142="","",IF(ABS(G142)&lt;=BeamElevTol,"OK","OUT"))</f>
        <v/>
      </c>
      <c r="I142" s="11" t="n"/>
      <c r="J142" s="10">
        <f>IF(I142="","",IF(ABS(I142)&lt;=BeamElevTol,"OK","OUT"))</f>
        <v/>
      </c>
      <c r="K142" s="10" t="n"/>
      <c r="L142" s="10" t="n"/>
    </row>
    <row r="143">
      <c r="A143" s="12" t="n"/>
      <c r="B143" s="10" t="n"/>
      <c r="C143" s="10" t="n"/>
      <c r="D143" s="10" t="n"/>
      <c r="E143" s="11" t="n"/>
      <c r="F143" s="11" t="n"/>
      <c r="G143" s="11">
        <f>IFERROR((F143-E143)*12,"")</f>
        <v/>
      </c>
      <c r="H143" s="10">
        <f>IF(G143="","",IF(ABS(G143)&lt;=BeamElevTol,"OK","OUT"))</f>
        <v/>
      </c>
      <c r="I143" s="11" t="n"/>
      <c r="J143" s="10">
        <f>IF(I143="","",IF(ABS(I143)&lt;=BeamElevTol,"OK","OUT"))</f>
        <v/>
      </c>
      <c r="K143" s="10" t="n"/>
      <c r="L143" s="10" t="n"/>
    </row>
    <row r="144">
      <c r="A144" s="12" t="n"/>
      <c r="B144" s="10" t="n"/>
      <c r="C144" s="10" t="n"/>
      <c r="D144" s="10" t="n"/>
      <c r="E144" s="11" t="n"/>
      <c r="F144" s="11" t="n"/>
      <c r="G144" s="11">
        <f>IFERROR((F144-E144)*12,"")</f>
        <v/>
      </c>
      <c r="H144" s="10">
        <f>IF(G144="","",IF(ABS(G144)&lt;=BeamElevTol,"OK","OUT"))</f>
        <v/>
      </c>
      <c r="I144" s="11" t="n"/>
      <c r="J144" s="10">
        <f>IF(I144="","",IF(ABS(I144)&lt;=BeamElevTol,"OK","OUT"))</f>
        <v/>
      </c>
      <c r="K144" s="10" t="n"/>
      <c r="L144" s="10" t="n"/>
    </row>
    <row r="145">
      <c r="A145" s="12" t="n"/>
      <c r="B145" s="10" t="n"/>
      <c r="C145" s="10" t="n"/>
      <c r="D145" s="10" t="n"/>
      <c r="E145" s="11" t="n"/>
      <c r="F145" s="11" t="n"/>
      <c r="G145" s="11">
        <f>IFERROR((F145-E145)*12,"")</f>
        <v/>
      </c>
      <c r="H145" s="10">
        <f>IF(G145="","",IF(ABS(G145)&lt;=BeamElevTol,"OK","OUT"))</f>
        <v/>
      </c>
      <c r="I145" s="11" t="n"/>
      <c r="J145" s="10">
        <f>IF(I145="","",IF(ABS(I145)&lt;=BeamElevTol,"OK","OUT"))</f>
        <v/>
      </c>
      <c r="K145" s="10" t="n"/>
      <c r="L145" s="10" t="n"/>
    </row>
    <row r="146">
      <c r="A146" s="12" t="n"/>
      <c r="B146" s="10" t="n"/>
      <c r="C146" s="10" t="n"/>
      <c r="D146" s="10" t="n"/>
      <c r="E146" s="11" t="n"/>
      <c r="F146" s="11" t="n"/>
      <c r="G146" s="11">
        <f>IFERROR((F146-E146)*12,"")</f>
        <v/>
      </c>
      <c r="H146" s="10">
        <f>IF(G146="","",IF(ABS(G146)&lt;=BeamElevTol,"OK","OUT"))</f>
        <v/>
      </c>
      <c r="I146" s="11" t="n"/>
      <c r="J146" s="10">
        <f>IF(I146="","",IF(ABS(I146)&lt;=BeamElevTol,"OK","OUT"))</f>
        <v/>
      </c>
      <c r="K146" s="10" t="n"/>
      <c r="L146" s="10" t="n"/>
    </row>
    <row r="147">
      <c r="A147" s="12" t="n"/>
      <c r="B147" s="10" t="n"/>
      <c r="C147" s="10" t="n"/>
      <c r="D147" s="10" t="n"/>
      <c r="E147" s="11" t="n"/>
      <c r="F147" s="11" t="n"/>
      <c r="G147" s="11">
        <f>IFERROR((F147-E147)*12,"")</f>
        <v/>
      </c>
      <c r="H147" s="10">
        <f>IF(G147="","",IF(ABS(G147)&lt;=BeamElevTol,"OK","OUT"))</f>
        <v/>
      </c>
      <c r="I147" s="11" t="n"/>
      <c r="J147" s="10">
        <f>IF(I147="","",IF(ABS(I147)&lt;=BeamElevTol,"OK","OUT"))</f>
        <v/>
      </c>
      <c r="K147" s="10" t="n"/>
      <c r="L147" s="10" t="n"/>
    </row>
    <row r="148">
      <c r="A148" s="12" t="n"/>
      <c r="B148" s="10" t="n"/>
      <c r="C148" s="10" t="n"/>
      <c r="D148" s="10" t="n"/>
      <c r="E148" s="11" t="n"/>
      <c r="F148" s="11" t="n"/>
      <c r="G148" s="11">
        <f>IFERROR((F148-E148)*12,"")</f>
        <v/>
      </c>
      <c r="H148" s="10">
        <f>IF(G148="","",IF(ABS(G148)&lt;=BeamElevTol,"OK","OUT"))</f>
        <v/>
      </c>
      <c r="I148" s="11" t="n"/>
      <c r="J148" s="10">
        <f>IF(I148="","",IF(ABS(I148)&lt;=BeamElevTol,"OK","OUT"))</f>
        <v/>
      </c>
      <c r="K148" s="10" t="n"/>
      <c r="L148" s="10" t="n"/>
    </row>
    <row r="149">
      <c r="A149" s="12" t="n"/>
      <c r="B149" s="10" t="n"/>
      <c r="C149" s="10" t="n"/>
      <c r="D149" s="10" t="n"/>
      <c r="E149" s="11" t="n"/>
      <c r="F149" s="11" t="n"/>
      <c r="G149" s="11">
        <f>IFERROR((F149-E149)*12,"")</f>
        <v/>
      </c>
      <c r="H149" s="10">
        <f>IF(G149="","",IF(ABS(G149)&lt;=BeamElevTol,"OK","OUT"))</f>
        <v/>
      </c>
      <c r="I149" s="11" t="n"/>
      <c r="J149" s="10">
        <f>IF(I149="","",IF(ABS(I149)&lt;=BeamElevTol,"OK","OUT"))</f>
        <v/>
      </c>
      <c r="K149" s="10" t="n"/>
      <c r="L149" s="10" t="n"/>
    </row>
    <row r="150">
      <c r="A150" s="12" t="n"/>
      <c r="B150" s="10" t="n"/>
      <c r="C150" s="10" t="n"/>
      <c r="D150" s="10" t="n"/>
      <c r="E150" s="11" t="n"/>
      <c r="F150" s="11" t="n"/>
      <c r="G150" s="11">
        <f>IFERROR((F150-E150)*12,"")</f>
        <v/>
      </c>
      <c r="H150" s="10">
        <f>IF(G150="","",IF(ABS(G150)&lt;=BeamElevTol,"OK","OUT"))</f>
        <v/>
      </c>
      <c r="I150" s="11" t="n"/>
      <c r="J150" s="10">
        <f>IF(I150="","",IF(ABS(I150)&lt;=BeamElevTol,"OK","OUT"))</f>
        <v/>
      </c>
      <c r="K150" s="10" t="n"/>
      <c r="L150" s="10" t="n"/>
    </row>
    <row r="151">
      <c r="A151" s="12" t="n"/>
      <c r="B151" s="10" t="n"/>
      <c r="C151" s="10" t="n"/>
      <c r="D151" s="10" t="n"/>
      <c r="E151" s="11" t="n"/>
      <c r="F151" s="11" t="n"/>
      <c r="G151" s="11">
        <f>IFERROR((F151-E151)*12,"")</f>
        <v/>
      </c>
      <c r="H151" s="10">
        <f>IF(G151="","",IF(ABS(G151)&lt;=BeamElevTol,"OK","OUT"))</f>
        <v/>
      </c>
      <c r="I151" s="11" t="n"/>
      <c r="J151" s="10">
        <f>IF(I151="","",IF(ABS(I151)&lt;=BeamElevTol,"OK","OUT"))</f>
        <v/>
      </c>
      <c r="K151" s="10" t="n"/>
      <c r="L151" s="10" t="n"/>
    </row>
    <row r="152">
      <c r="A152" s="12" t="n"/>
      <c r="B152" s="10" t="n"/>
      <c r="C152" s="10" t="n"/>
      <c r="D152" s="10" t="n"/>
      <c r="E152" s="11" t="n"/>
      <c r="F152" s="11" t="n"/>
      <c r="G152" s="11">
        <f>IFERROR((F152-E152)*12,"")</f>
        <v/>
      </c>
      <c r="H152" s="10">
        <f>IF(G152="","",IF(ABS(G152)&lt;=BeamElevTol,"OK","OUT"))</f>
        <v/>
      </c>
      <c r="I152" s="11" t="n"/>
      <c r="J152" s="10">
        <f>IF(I152="","",IF(ABS(I152)&lt;=BeamElevTol,"OK","OUT"))</f>
        <v/>
      </c>
      <c r="K152" s="10" t="n"/>
      <c r="L152" s="10" t="n"/>
    </row>
    <row r="153">
      <c r="A153" s="12" t="n"/>
      <c r="B153" s="10" t="n"/>
      <c r="C153" s="10" t="n"/>
      <c r="D153" s="10" t="n"/>
      <c r="E153" s="11" t="n"/>
      <c r="F153" s="11" t="n"/>
      <c r="G153" s="11">
        <f>IFERROR((F153-E153)*12,"")</f>
        <v/>
      </c>
      <c r="H153" s="10">
        <f>IF(G153="","",IF(ABS(G153)&lt;=BeamElevTol,"OK","OUT"))</f>
        <v/>
      </c>
      <c r="I153" s="11" t="n"/>
      <c r="J153" s="10">
        <f>IF(I153="","",IF(ABS(I153)&lt;=BeamElevTol,"OK","OUT"))</f>
        <v/>
      </c>
      <c r="K153" s="10" t="n"/>
      <c r="L153" s="10" t="n"/>
    </row>
    <row r="154">
      <c r="A154" s="12" t="n"/>
      <c r="B154" s="10" t="n"/>
      <c r="C154" s="10" t="n"/>
      <c r="D154" s="10" t="n"/>
      <c r="E154" s="11" t="n"/>
      <c r="F154" s="11" t="n"/>
      <c r="G154" s="11">
        <f>IFERROR((F154-E154)*12,"")</f>
        <v/>
      </c>
      <c r="H154" s="10">
        <f>IF(G154="","",IF(ABS(G154)&lt;=BeamElevTol,"OK","OUT"))</f>
        <v/>
      </c>
      <c r="I154" s="11" t="n"/>
      <c r="J154" s="10">
        <f>IF(I154="","",IF(ABS(I154)&lt;=BeamElevTol,"OK","OUT"))</f>
        <v/>
      </c>
      <c r="K154" s="10" t="n"/>
      <c r="L154" s="10" t="n"/>
    </row>
  </sheetData>
  <mergeCells count="2">
    <mergeCell ref="A2:L2"/>
    <mergeCell ref="A1:L1"/>
  </mergeCells>
  <conditionalFormatting sqref="H5:H154">
    <cfRule type="expression" priority="1" dxfId="0">
      <formula>H5="OK"</formula>
    </cfRule>
    <cfRule type="expression" priority="2" dxfId="1">
      <formula>H5="OUT"</formula>
    </cfRule>
  </conditionalFormatting>
  <conditionalFormatting sqref="J5:J154">
    <cfRule type="expression" priority="3" dxfId="0">
      <formula>J5="OK"</formula>
    </cfRule>
    <cfRule type="expression" priority="4" dxfId="1">
      <formula>J5="OUT"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8" customWidth="1" min="3" max="3"/>
    <col width="14" customWidth="1" min="4" max="4"/>
    <col width="18" customWidth="1" min="5" max="5"/>
    <col width="32" customWidth="1" min="6" max="6"/>
    <col width="12" customWidth="1" min="7" max="7"/>
    <col width="12" customWidth="1" min="8" max="8"/>
    <col width="10" customWidth="1" min="9" max="9"/>
    <col width="14" customWidth="1" min="10" max="10"/>
    <col width="14" customWidth="1" min="11" max="11"/>
    <col width="26" customWidth="1" min="12" max="12"/>
    <col width="14" customWidth="1" min="13" max="13"/>
    <col width="14" customWidth="1" min="14" max="14"/>
    <col width="22" customWidth="1" min="15" max="15"/>
  </cols>
  <sheetData>
    <row r="1" ht="32" customHeight="1">
      <c r="A1" s="1" t="inlineStr">
        <is>
          <t>DEVIATION / RFI TRACKER</t>
        </is>
      </c>
    </row>
    <row r="2">
      <c r="A2" s="8" t="inlineStr">
        <is>
          <t>One row per out-of-tolerance item requiring EOR review. Tracks the RFI through to resolution.</t>
        </is>
      </c>
    </row>
    <row r="4" ht="30" customHeight="1">
      <c r="A4" s="9" t="inlineStr">
        <is>
          <t>Dev #</t>
        </is>
      </c>
      <c r="B4" s="9" t="inlineStr">
        <is>
          <t>Discovered Date</t>
        </is>
      </c>
      <c r="C4" s="9" t="inlineStr">
        <is>
          <t>Survey Reference</t>
        </is>
      </c>
      <c r="D4" s="9" t="inlineStr">
        <is>
          <t>Item Type</t>
        </is>
      </c>
      <c r="E4" s="9" t="inlineStr">
        <is>
          <t>Location / Column ID</t>
        </is>
      </c>
      <c r="F4" s="9" t="inlineStr">
        <is>
          <t>Description</t>
        </is>
      </c>
      <c r="G4" s="9" t="inlineStr">
        <is>
          <t>Measured</t>
        </is>
      </c>
      <c r="H4" s="9" t="inlineStr">
        <is>
          <t>Allowable</t>
        </is>
      </c>
      <c r="I4" s="9" t="inlineStr">
        <is>
          <t>RFI #</t>
        </is>
      </c>
      <c r="J4" s="9" t="inlineStr">
        <is>
          <t>Sent to EOR (Date)</t>
        </is>
      </c>
      <c r="K4" s="9" t="inlineStr">
        <is>
          <t>EOR Response Date</t>
        </is>
      </c>
      <c r="L4" s="9" t="inlineStr">
        <is>
          <t>EOR Disposition</t>
        </is>
      </c>
      <c r="M4" s="9" t="inlineStr">
        <is>
          <t>Resolution Date</t>
        </is>
      </c>
      <c r="N4" s="9" t="inlineStr">
        <is>
          <t>Resolved Status</t>
        </is>
      </c>
      <c r="O4" s="9" t="inlineStr">
        <is>
          <t>Notes</t>
        </is>
      </c>
    </row>
    <row r="5">
      <c r="A5" s="14" t="n"/>
      <c r="B5" s="12" t="n"/>
      <c r="C5" s="10" t="n"/>
      <c r="D5" s="10" t="n"/>
      <c r="E5" s="10" t="n"/>
      <c r="F5" s="10" t="n"/>
      <c r="G5" s="10" t="n"/>
      <c r="H5" s="10" t="n"/>
      <c r="I5" s="10" t="n"/>
      <c r="J5" s="12" t="n"/>
      <c r="K5" s="12" t="n"/>
      <c r="L5" s="10" t="n"/>
      <c r="M5" s="12" t="n"/>
      <c r="N5" s="10" t="n"/>
      <c r="O5" s="10" t="n"/>
    </row>
    <row r="6">
      <c r="A6" s="14" t="n"/>
      <c r="B6" s="12" t="n"/>
      <c r="C6" s="10" t="n"/>
      <c r="D6" s="10" t="n"/>
      <c r="E6" s="10" t="n"/>
      <c r="F6" s="10" t="n"/>
      <c r="G6" s="10" t="n"/>
      <c r="H6" s="10" t="n"/>
      <c r="I6" s="10" t="n"/>
      <c r="J6" s="12" t="n"/>
      <c r="K6" s="12" t="n"/>
      <c r="L6" s="10" t="n"/>
      <c r="M6" s="12" t="n"/>
      <c r="N6" s="10" t="n"/>
      <c r="O6" s="10" t="n"/>
    </row>
    <row r="7">
      <c r="A7" s="14" t="n"/>
      <c r="B7" s="12" t="n"/>
      <c r="C7" s="10" t="n"/>
      <c r="D7" s="10" t="n"/>
      <c r="E7" s="10" t="n"/>
      <c r="F7" s="10" t="n"/>
      <c r="G7" s="10" t="n"/>
      <c r="H7" s="10" t="n"/>
      <c r="I7" s="10" t="n"/>
      <c r="J7" s="12" t="n"/>
      <c r="K7" s="12" t="n"/>
      <c r="L7" s="10" t="n"/>
      <c r="M7" s="12" t="n"/>
      <c r="N7" s="10" t="n"/>
      <c r="O7" s="10" t="n"/>
    </row>
    <row r="8">
      <c r="A8" s="14" t="n"/>
      <c r="B8" s="12" t="n"/>
      <c r="C8" s="10" t="n"/>
      <c r="D8" s="10" t="n"/>
      <c r="E8" s="10" t="n"/>
      <c r="F8" s="10" t="n"/>
      <c r="G8" s="10" t="n"/>
      <c r="H8" s="10" t="n"/>
      <c r="I8" s="10" t="n"/>
      <c r="J8" s="12" t="n"/>
      <c r="K8" s="12" t="n"/>
      <c r="L8" s="10" t="n"/>
      <c r="M8" s="12" t="n"/>
      <c r="N8" s="10" t="n"/>
      <c r="O8" s="10" t="n"/>
    </row>
    <row r="9">
      <c r="A9" s="14" t="n"/>
      <c r="B9" s="12" t="n"/>
      <c r="C9" s="10" t="n"/>
      <c r="D9" s="10" t="n"/>
      <c r="E9" s="10" t="n"/>
      <c r="F9" s="10" t="n"/>
      <c r="G9" s="10" t="n"/>
      <c r="H9" s="10" t="n"/>
      <c r="I9" s="10" t="n"/>
      <c r="J9" s="12" t="n"/>
      <c r="K9" s="12" t="n"/>
      <c r="L9" s="10" t="n"/>
      <c r="M9" s="12" t="n"/>
      <c r="N9" s="10" t="n"/>
      <c r="O9" s="10" t="n"/>
    </row>
    <row r="10">
      <c r="A10" s="14" t="n"/>
      <c r="B10" s="12" t="n"/>
      <c r="C10" s="10" t="n"/>
      <c r="D10" s="10" t="n"/>
      <c r="E10" s="10" t="n"/>
      <c r="F10" s="10" t="n"/>
      <c r="G10" s="10" t="n"/>
      <c r="H10" s="10" t="n"/>
      <c r="I10" s="10" t="n"/>
      <c r="J10" s="12" t="n"/>
      <c r="K10" s="12" t="n"/>
      <c r="L10" s="10" t="n"/>
      <c r="M10" s="12" t="n"/>
      <c r="N10" s="10" t="n"/>
      <c r="O10" s="10" t="n"/>
    </row>
    <row r="11">
      <c r="A11" s="14" t="n"/>
      <c r="B11" s="12" t="n"/>
      <c r="C11" s="10" t="n"/>
      <c r="D11" s="10" t="n"/>
      <c r="E11" s="10" t="n"/>
      <c r="F11" s="10" t="n"/>
      <c r="G11" s="10" t="n"/>
      <c r="H11" s="10" t="n"/>
      <c r="I11" s="10" t="n"/>
      <c r="J11" s="12" t="n"/>
      <c r="K11" s="12" t="n"/>
      <c r="L11" s="10" t="n"/>
      <c r="M11" s="12" t="n"/>
      <c r="N11" s="10" t="n"/>
      <c r="O11" s="10" t="n"/>
    </row>
    <row r="12">
      <c r="A12" s="14" t="n"/>
      <c r="B12" s="12" t="n"/>
      <c r="C12" s="10" t="n"/>
      <c r="D12" s="10" t="n"/>
      <c r="E12" s="10" t="n"/>
      <c r="F12" s="10" t="n"/>
      <c r="G12" s="10" t="n"/>
      <c r="H12" s="10" t="n"/>
      <c r="I12" s="10" t="n"/>
      <c r="J12" s="12" t="n"/>
      <c r="K12" s="12" t="n"/>
      <c r="L12" s="10" t="n"/>
      <c r="M12" s="12" t="n"/>
      <c r="N12" s="10" t="n"/>
      <c r="O12" s="10" t="n"/>
    </row>
    <row r="13">
      <c r="A13" s="14" t="n"/>
      <c r="B13" s="12" t="n"/>
      <c r="C13" s="10" t="n"/>
      <c r="D13" s="10" t="n"/>
      <c r="E13" s="10" t="n"/>
      <c r="F13" s="10" t="n"/>
      <c r="G13" s="10" t="n"/>
      <c r="H13" s="10" t="n"/>
      <c r="I13" s="10" t="n"/>
      <c r="J13" s="12" t="n"/>
      <c r="K13" s="12" t="n"/>
      <c r="L13" s="10" t="n"/>
      <c r="M13" s="12" t="n"/>
      <c r="N13" s="10" t="n"/>
      <c r="O13" s="10" t="n"/>
    </row>
    <row r="14">
      <c r="A14" s="14" t="n"/>
      <c r="B14" s="12" t="n"/>
      <c r="C14" s="10" t="n"/>
      <c r="D14" s="10" t="n"/>
      <c r="E14" s="10" t="n"/>
      <c r="F14" s="10" t="n"/>
      <c r="G14" s="10" t="n"/>
      <c r="H14" s="10" t="n"/>
      <c r="I14" s="10" t="n"/>
      <c r="J14" s="12" t="n"/>
      <c r="K14" s="12" t="n"/>
      <c r="L14" s="10" t="n"/>
      <c r="M14" s="12" t="n"/>
      <c r="N14" s="10" t="n"/>
      <c r="O14" s="10" t="n"/>
    </row>
    <row r="15">
      <c r="A15" s="14" t="n"/>
      <c r="B15" s="12" t="n"/>
      <c r="C15" s="10" t="n"/>
      <c r="D15" s="10" t="n"/>
      <c r="E15" s="10" t="n"/>
      <c r="F15" s="10" t="n"/>
      <c r="G15" s="10" t="n"/>
      <c r="H15" s="10" t="n"/>
      <c r="I15" s="10" t="n"/>
      <c r="J15" s="12" t="n"/>
      <c r="K15" s="12" t="n"/>
      <c r="L15" s="10" t="n"/>
      <c r="M15" s="12" t="n"/>
      <c r="N15" s="10" t="n"/>
      <c r="O15" s="10" t="n"/>
    </row>
    <row r="16">
      <c r="A16" s="14" t="n"/>
      <c r="B16" s="12" t="n"/>
      <c r="C16" s="10" t="n"/>
      <c r="D16" s="10" t="n"/>
      <c r="E16" s="10" t="n"/>
      <c r="F16" s="10" t="n"/>
      <c r="G16" s="10" t="n"/>
      <c r="H16" s="10" t="n"/>
      <c r="I16" s="10" t="n"/>
      <c r="J16" s="12" t="n"/>
      <c r="K16" s="12" t="n"/>
      <c r="L16" s="10" t="n"/>
      <c r="M16" s="12" t="n"/>
      <c r="N16" s="10" t="n"/>
      <c r="O16" s="10" t="n"/>
    </row>
    <row r="17">
      <c r="A17" s="14" t="n"/>
      <c r="B17" s="12" t="n"/>
      <c r="C17" s="10" t="n"/>
      <c r="D17" s="10" t="n"/>
      <c r="E17" s="10" t="n"/>
      <c r="F17" s="10" t="n"/>
      <c r="G17" s="10" t="n"/>
      <c r="H17" s="10" t="n"/>
      <c r="I17" s="10" t="n"/>
      <c r="J17" s="12" t="n"/>
      <c r="K17" s="12" t="n"/>
      <c r="L17" s="10" t="n"/>
      <c r="M17" s="12" t="n"/>
      <c r="N17" s="10" t="n"/>
      <c r="O17" s="10" t="n"/>
    </row>
    <row r="18">
      <c r="A18" s="14" t="n"/>
      <c r="B18" s="12" t="n"/>
      <c r="C18" s="10" t="n"/>
      <c r="D18" s="10" t="n"/>
      <c r="E18" s="10" t="n"/>
      <c r="F18" s="10" t="n"/>
      <c r="G18" s="10" t="n"/>
      <c r="H18" s="10" t="n"/>
      <c r="I18" s="10" t="n"/>
      <c r="J18" s="12" t="n"/>
      <c r="K18" s="12" t="n"/>
      <c r="L18" s="10" t="n"/>
      <c r="M18" s="12" t="n"/>
      <c r="N18" s="10" t="n"/>
      <c r="O18" s="10" t="n"/>
    </row>
    <row r="19">
      <c r="A19" s="14" t="n"/>
      <c r="B19" s="12" t="n"/>
      <c r="C19" s="10" t="n"/>
      <c r="D19" s="10" t="n"/>
      <c r="E19" s="10" t="n"/>
      <c r="F19" s="10" t="n"/>
      <c r="G19" s="10" t="n"/>
      <c r="H19" s="10" t="n"/>
      <c r="I19" s="10" t="n"/>
      <c r="J19" s="12" t="n"/>
      <c r="K19" s="12" t="n"/>
      <c r="L19" s="10" t="n"/>
      <c r="M19" s="12" t="n"/>
      <c r="N19" s="10" t="n"/>
      <c r="O19" s="10" t="n"/>
    </row>
    <row r="20">
      <c r="A20" s="14" t="n"/>
      <c r="B20" s="12" t="n"/>
      <c r="C20" s="10" t="n"/>
      <c r="D20" s="10" t="n"/>
      <c r="E20" s="10" t="n"/>
      <c r="F20" s="10" t="n"/>
      <c r="G20" s="10" t="n"/>
      <c r="H20" s="10" t="n"/>
      <c r="I20" s="10" t="n"/>
      <c r="J20" s="12" t="n"/>
      <c r="K20" s="12" t="n"/>
      <c r="L20" s="10" t="n"/>
      <c r="M20" s="12" t="n"/>
      <c r="N20" s="10" t="n"/>
      <c r="O20" s="10" t="n"/>
    </row>
    <row r="21">
      <c r="A21" s="14" t="n"/>
      <c r="B21" s="12" t="n"/>
      <c r="C21" s="10" t="n"/>
      <c r="D21" s="10" t="n"/>
      <c r="E21" s="10" t="n"/>
      <c r="F21" s="10" t="n"/>
      <c r="G21" s="10" t="n"/>
      <c r="H21" s="10" t="n"/>
      <c r="I21" s="10" t="n"/>
      <c r="J21" s="12" t="n"/>
      <c r="K21" s="12" t="n"/>
      <c r="L21" s="10" t="n"/>
      <c r="M21" s="12" t="n"/>
      <c r="N21" s="10" t="n"/>
      <c r="O21" s="10" t="n"/>
    </row>
    <row r="22">
      <c r="A22" s="14" t="n"/>
      <c r="B22" s="12" t="n"/>
      <c r="C22" s="10" t="n"/>
      <c r="D22" s="10" t="n"/>
      <c r="E22" s="10" t="n"/>
      <c r="F22" s="10" t="n"/>
      <c r="G22" s="10" t="n"/>
      <c r="H22" s="10" t="n"/>
      <c r="I22" s="10" t="n"/>
      <c r="J22" s="12" t="n"/>
      <c r="K22" s="12" t="n"/>
      <c r="L22" s="10" t="n"/>
      <c r="M22" s="12" t="n"/>
      <c r="N22" s="10" t="n"/>
      <c r="O22" s="10" t="n"/>
    </row>
    <row r="23">
      <c r="A23" s="14" t="n"/>
      <c r="B23" s="12" t="n"/>
      <c r="C23" s="10" t="n"/>
      <c r="D23" s="10" t="n"/>
      <c r="E23" s="10" t="n"/>
      <c r="F23" s="10" t="n"/>
      <c r="G23" s="10" t="n"/>
      <c r="H23" s="10" t="n"/>
      <c r="I23" s="10" t="n"/>
      <c r="J23" s="12" t="n"/>
      <c r="K23" s="12" t="n"/>
      <c r="L23" s="10" t="n"/>
      <c r="M23" s="12" t="n"/>
      <c r="N23" s="10" t="n"/>
      <c r="O23" s="10" t="n"/>
    </row>
    <row r="24">
      <c r="A24" s="14" t="n"/>
      <c r="B24" s="12" t="n"/>
      <c r="C24" s="10" t="n"/>
      <c r="D24" s="10" t="n"/>
      <c r="E24" s="10" t="n"/>
      <c r="F24" s="10" t="n"/>
      <c r="G24" s="10" t="n"/>
      <c r="H24" s="10" t="n"/>
      <c r="I24" s="10" t="n"/>
      <c r="J24" s="12" t="n"/>
      <c r="K24" s="12" t="n"/>
      <c r="L24" s="10" t="n"/>
      <c r="M24" s="12" t="n"/>
      <c r="N24" s="10" t="n"/>
      <c r="O24" s="10" t="n"/>
    </row>
    <row r="25">
      <c r="A25" s="14" t="n"/>
      <c r="B25" s="12" t="n"/>
      <c r="C25" s="10" t="n"/>
      <c r="D25" s="10" t="n"/>
      <c r="E25" s="10" t="n"/>
      <c r="F25" s="10" t="n"/>
      <c r="G25" s="10" t="n"/>
      <c r="H25" s="10" t="n"/>
      <c r="I25" s="10" t="n"/>
      <c r="J25" s="12" t="n"/>
      <c r="K25" s="12" t="n"/>
      <c r="L25" s="10" t="n"/>
      <c r="M25" s="12" t="n"/>
      <c r="N25" s="10" t="n"/>
      <c r="O25" s="10" t="n"/>
    </row>
    <row r="26">
      <c r="A26" s="14" t="n"/>
      <c r="B26" s="12" t="n"/>
      <c r="C26" s="10" t="n"/>
      <c r="D26" s="10" t="n"/>
      <c r="E26" s="10" t="n"/>
      <c r="F26" s="10" t="n"/>
      <c r="G26" s="10" t="n"/>
      <c r="H26" s="10" t="n"/>
      <c r="I26" s="10" t="n"/>
      <c r="J26" s="12" t="n"/>
      <c r="K26" s="12" t="n"/>
      <c r="L26" s="10" t="n"/>
      <c r="M26" s="12" t="n"/>
      <c r="N26" s="10" t="n"/>
      <c r="O26" s="10" t="n"/>
    </row>
    <row r="27">
      <c r="A27" s="14" t="n"/>
      <c r="B27" s="12" t="n"/>
      <c r="C27" s="10" t="n"/>
      <c r="D27" s="10" t="n"/>
      <c r="E27" s="10" t="n"/>
      <c r="F27" s="10" t="n"/>
      <c r="G27" s="10" t="n"/>
      <c r="H27" s="10" t="n"/>
      <c r="I27" s="10" t="n"/>
      <c r="J27" s="12" t="n"/>
      <c r="K27" s="12" t="n"/>
      <c r="L27" s="10" t="n"/>
      <c r="M27" s="12" t="n"/>
      <c r="N27" s="10" t="n"/>
      <c r="O27" s="10" t="n"/>
    </row>
    <row r="28">
      <c r="A28" s="14" t="n"/>
      <c r="B28" s="12" t="n"/>
      <c r="C28" s="10" t="n"/>
      <c r="D28" s="10" t="n"/>
      <c r="E28" s="10" t="n"/>
      <c r="F28" s="10" t="n"/>
      <c r="G28" s="10" t="n"/>
      <c r="H28" s="10" t="n"/>
      <c r="I28" s="10" t="n"/>
      <c r="J28" s="12" t="n"/>
      <c r="K28" s="12" t="n"/>
      <c r="L28" s="10" t="n"/>
      <c r="M28" s="12" t="n"/>
      <c r="N28" s="10" t="n"/>
      <c r="O28" s="10" t="n"/>
    </row>
    <row r="29">
      <c r="A29" s="14" t="n"/>
      <c r="B29" s="12" t="n"/>
      <c r="C29" s="10" t="n"/>
      <c r="D29" s="10" t="n"/>
      <c r="E29" s="10" t="n"/>
      <c r="F29" s="10" t="n"/>
      <c r="G29" s="10" t="n"/>
      <c r="H29" s="10" t="n"/>
      <c r="I29" s="10" t="n"/>
      <c r="J29" s="12" t="n"/>
      <c r="K29" s="12" t="n"/>
      <c r="L29" s="10" t="n"/>
      <c r="M29" s="12" t="n"/>
      <c r="N29" s="10" t="n"/>
      <c r="O29" s="10" t="n"/>
    </row>
    <row r="30">
      <c r="A30" s="14" t="n"/>
      <c r="B30" s="12" t="n"/>
      <c r="C30" s="10" t="n"/>
      <c r="D30" s="10" t="n"/>
      <c r="E30" s="10" t="n"/>
      <c r="F30" s="10" t="n"/>
      <c r="G30" s="10" t="n"/>
      <c r="H30" s="10" t="n"/>
      <c r="I30" s="10" t="n"/>
      <c r="J30" s="12" t="n"/>
      <c r="K30" s="12" t="n"/>
      <c r="L30" s="10" t="n"/>
      <c r="M30" s="12" t="n"/>
      <c r="N30" s="10" t="n"/>
      <c r="O30" s="10" t="n"/>
    </row>
    <row r="31">
      <c r="A31" s="14" t="n"/>
      <c r="B31" s="12" t="n"/>
      <c r="C31" s="10" t="n"/>
      <c r="D31" s="10" t="n"/>
      <c r="E31" s="10" t="n"/>
      <c r="F31" s="10" t="n"/>
      <c r="G31" s="10" t="n"/>
      <c r="H31" s="10" t="n"/>
      <c r="I31" s="10" t="n"/>
      <c r="J31" s="12" t="n"/>
      <c r="K31" s="12" t="n"/>
      <c r="L31" s="10" t="n"/>
      <c r="M31" s="12" t="n"/>
      <c r="N31" s="10" t="n"/>
      <c r="O31" s="10" t="n"/>
    </row>
    <row r="32">
      <c r="A32" s="14" t="n"/>
      <c r="B32" s="12" t="n"/>
      <c r="C32" s="10" t="n"/>
      <c r="D32" s="10" t="n"/>
      <c r="E32" s="10" t="n"/>
      <c r="F32" s="10" t="n"/>
      <c r="G32" s="10" t="n"/>
      <c r="H32" s="10" t="n"/>
      <c r="I32" s="10" t="n"/>
      <c r="J32" s="12" t="n"/>
      <c r="K32" s="12" t="n"/>
      <c r="L32" s="10" t="n"/>
      <c r="M32" s="12" t="n"/>
      <c r="N32" s="10" t="n"/>
      <c r="O32" s="10" t="n"/>
    </row>
    <row r="33">
      <c r="A33" s="14" t="n"/>
      <c r="B33" s="12" t="n"/>
      <c r="C33" s="10" t="n"/>
      <c r="D33" s="10" t="n"/>
      <c r="E33" s="10" t="n"/>
      <c r="F33" s="10" t="n"/>
      <c r="G33" s="10" t="n"/>
      <c r="H33" s="10" t="n"/>
      <c r="I33" s="10" t="n"/>
      <c r="J33" s="12" t="n"/>
      <c r="K33" s="12" t="n"/>
      <c r="L33" s="10" t="n"/>
      <c r="M33" s="12" t="n"/>
      <c r="N33" s="10" t="n"/>
      <c r="O33" s="10" t="n"/>
    </row>
    <row r="34">
      <c r="A34" s="14" t="n"/>
      <c r="B34" s="12" t="n"/>
      <c r="C34" s="10" t="n"/>
      <c r="D34" s="10" t="n"/>
      <c r="E34" s="10" t="n"/>
      <c r="F34" s="10" t="n"/>
      <c r="G34" s="10" t="n"/>
      <c r="H34" s="10" t="n"/>
      <c r="I34" s="10" t="n"/>
      <c r="J34" s="12" t="n"/>
      <c r="K34" s="12" t="n"/>
      <c r="L34" s="10" t="n"/>
      <c r="M34" s="12" t="n"/>
      <c r="N34" s="10" t="n"/>
      <c r="O34" s="10" t="n"/>
    </row>
    <row r="35">
      <c r="A35" s="14" t="n"/>
      <c r="B35" s="12" t="n"/>
      <c r="C35" s="10" t="n"/>
      <c r="D35" s="10" t="n"/>
      <c r="E35" s="10" t="n"/>
      <c r="F35" s="10" t="n"/>
      <c r="G35" s="10" t="n"/>
      <c r="H35" s="10" t="n"/>
      <c r="I35" s="10" t="n"/>
      <c r="J35" s="12" t="n"/>
      <c r="K35" s="12" t="n"/>
      <c r="L35" s="10" t="n"/>
      <c r="M35" s="12" t="n"/>
      <c r="N35" s="10" t="n"/>
      <c r="O35" s="10" t="n"/>
    </row>
    <row r="36">
      <c r="A36" s="14" t="n"/>
      <c r="B36" s="12" t="n"/>
      <c r="C36" s="10" t="n"/>
      <c r="D36" s="10" t="n"/>
      <c r="E36" s="10" t="n"/>
      <c r="F36" s="10" t="n"/>
      <c r="G36" s="10" t="n"/>
      <c r="H36" s="10" t="n"/>
      <c r="I36" s="10" t="n"/>
      <c r="J36" s="12" t="n"/>
      <c r="K36" s="12" t="n"/>
      <c r="L36" s="10" t="n"/>
      <c r="M36" s="12" t="n"/>
      <c r="N36" s="10" t="n"/>
      <c r="O36" s="10" t="n"/>
    </row>
    <row r="37">
      <c r="A37" s="14" t="n"/>
      <c r="B37" s="12" t="n"/>
      <c r="C37" s="10" t="n"/>
      <c r="D37" s="10" t="n"/>
      <c r="E37" s="10" t="n"/>
      <c r="F37" s="10" t="n"/>
      <c r="G37" s="10" t="n"/>
      <c r="H37" s="10" t="n"/>
      <c r="I37" s="10" t="n"/>
      <c r="J37" s="12" t="n"/>
      <c r="K37" s="12" t="n"/>
      <c r="L37" s="10" t="n"/>
      <c r="M37" s="12" t="n"/>
      <c r="N37" s="10" t="n"/>
      <c r="O37" s="10" t="n"/>
    </row>
    <row r="38">
      <c r="A38" s="14" t="n"/>
      <c r="B38" s="12" t="n"/>
      <c r="C38" s="10" t="n"/>
      <c r="D38" s="10" t="n"/>
      <c r="E38" s="10" t="n"/>
      <c r="F38" s="10" t="n"/>
      <c r="G38" s="10" t="n"/>
      <c r="H38" s="10" t="n"/>
      <c r="I38" s="10" t="n"/>
      <c r="J38" s="12" t="n"/>
      <c r="K38" s="12" t="n"/>
      <c r="L38" s="10" t="n"/>
      <c r="M38" s="12" t="n"/>
      <c r="N38" s="10" t="n"/>
      <c r="O38" s="10" t="n"/>
    </row>
    <row r="39">
      <c r="A39" s="14" t="n"/>
      <c r="B39" s="12" t="n"/>
      <c r="C39" s="10" t="n"/>
      <c r="D39" s="10" t="n"/>
      <c r="E39" s="10" t="n"/>
      <c r="F39" s="10" t="n"/>
      <c r="G39" s="10" t="n"/>
      <c r="H39" s="10" t="n"/>
      <c r="I39" s="10" t="n"/>
      <c r="J39" s="12" t="n"/>
      <c r="K39" s="12" t="n"/>
      <c r="L39" s="10" t="n"/>
      <c r="M39" s="12" t="n"/>
      <c r="N39" s="10" t="n"/>
      <c r="O39" s="10" t="n"/>
    </row>
    <row r="40">
      <c r="A40" s="14" t="n"/>
      <c r="B40" s="12" t="n"/>
      <c r="C40" s="10" t="n"/>
      <c r="D40" s="10" t="n"/>
      <c r="E40" s="10" t="n"/>
      <c r="F40" s="10" t="n"/>
      <c r="G40" s="10" t="n"/>
      <c r="H40" s="10" t="n"/>
      <c r="I40" s="10" t="n"/>
      <c r="J40" s="12" t="n"/>
      <c r="K40" s="12" t="n"/>
      <c r="L40" s="10" t="n"/>
      <c r="M40" s="12" t="n"/>
      <c r="N40" s="10" t="n"/>
      <c r="O40" s="10" t="n"/>
    </row>
    <row r="41">
      <c r="A41" s="14" t="n"/>
      <c r="B41" s="12" t="n"/>
      <c r="C41" s="10" t="n"/>
      <c r="D41" s="10" t="n"/>
      <c r="E41" s="10" t="n"/>
      <c r="F41" s="10" t="n"/>
      <c r="G41" s="10" t="n"/>
      <c r="H41" s="10" t="n"/>
      <c r="I41" s="10" t="n"/>
      <c r="J41" s="12" t="n"/>
      <c r="K41" s="12" t="n"/>
      <c r="L41" s="10" t="n"/>
      <c r="M41" s="12" t="n"/>
      <c r="N41" s="10" t="n"/>
      <c r="O41" s="10" t="n"/>
    </row>
    <row r="42">
      <c r="A42" s="14" t="n"/>
      <c r="B42" s="12" t="n"/>
      <c r="C42" s="10" t="n"/>
      <c r="D42" s="10" t="n"/>
      <c r="E42" s="10" t="n"/>
      <c r="F42" s="10" t="n"/>
      <c r="G42" s="10" t="n"/>
      <c r="H42" s="10" t="n"/>
      <c r="I42" s="10" t="n"/>
      <c r="J42" s="12" t="n"/>
      <c r="K42" s="12" t="n"/>
      <c r="L42" s="10" t="n"/>
      <c r="M42" s="12" t="n"/>
      <c r="N42" s="10" t="n"/>
      <c r="O42" s="10" t="n"/>
    </row>
    <row r="43">
      <c r="A43" s="14" t="n"/>
      <c r="B43" s="12" t="n"/>
      <c r="C43" s="10" t="n"/>
      <c r="D43" s="10" t="n"/>
      <c r="E43" s="10" t="n"/>
      <c r="F43" s="10" t="n"/>
      <c r="G43" s="10" t="n"/>
      <c r="H43" s="10" t="n"/>
      <c r="I43" s="10" t="n"/>
      <c r="J43" s="12" t="n"/>
      <c r="K43" s="12" t="n"/>
      <c r="L43" s="10" t="n"/>
      <c r="M43" s="12" t="n"/>
      <c r="N43" s="10" t="n"/>
      <c r="O43" s="10" t="n"/>
    </row>
    <row r="44">
      <c r="A44" s="14" t="n"/>
      <c r="B44" s="12" t="n"/>
      <c r="C44" s="10" t="n"/>
      <c r="D44" s="10" t="n"/>
      <c r="E44" s="10" t="n"/>
      <c r="F44" s="10" t="n"/>
      <c r="G44" s="10" t="n"/>
      <c r="H44" s="10" t="n"/>
      <c r="I44" s="10" t="n"/>
      <c r="J44" s="12" t="n"/>
      <c r="K44" s="12" t="n"/>
      <c r="L44" s="10" t="n"/>
      <c r="M44" s="12" t="n"/>
      <c r="N44" s="10" t="n"/>
      <c r="O44" s="10" t="n"/>
    </row>
    <row r="45">
      <c r="A45" s="14" t="n"/>
      <c r="B45" s="12" t="n"/>
      <c r="C45" s="10" t="n"/>
      <c r="D45" s="10" t="n"/>
      <c r="E45" s="10" t="n"/>
      <c r="F45" s="10" t="n"/>
      <c r="G45" s="10" t="n"/>
      <c r="H45" s="10" t="n"/>
      <c r="I45" s="10" t="n"/>
      <c r="J45" s="12" t="n"/>
      <c r="K45" s="12" t="n"/>
      <c r="L45" s="10" t="n"/>
      <c r="M45" s="12" t="n"/>
      <c r="N45" s="10" t="n"/>
      <c r="O45" s="10" t="n"/>
    </row>
    <row r="46">
      <c r="A46" s="14" t="n"/>
      <c r="B46" s="12" t="n"/>
      <c r="C46" s="10" t="n"/>
      <c r="D46" s="10" t="n"/>
      <c r="E46" s="10" t="n"/>
      <c r="F46" s="10" t="n"/>
      <c r="G46" s="10" t="n"/>
      <c r="H46" s="10" t="n"/>
      <c r="I46" s="10" t="n"/>
      <c r="J46" s="12" t="n"/>
      <c r="K46" s="12" t="n"/>
      <c r="L46" s="10" t="n"/>
      <c r="M46" s="12" t="n"/>
      <c r="N46" s="10" t="n"/>
      <c r="O46" s="10" t="n"/>
    </row>
    <row r="47">
      <c r="A47" s="14" t="n"/>
      <c r="B47" s="12" t="n"/>
      <c r="C47" s="10" t="n"/>
      <c r="D47" s="10" t="n"/>
      <c r="E47" s="10" t="n"/>
      <c r="F47" s="10" t="n"/>
      <c r="G47" s="10" t="n"/>
      <c r="H47" s="10" t="n"/>
      <c r="I47" s="10" t="n"/>
      <c r="J47" s="12" t="n"/>
      <c r="K47" s="12" t="n"/>
      <c r="L47" s="10" t="n"/>
      <c r="M47" s="12" t="n"/>
      <c r="N47" s="10" t="n"/>
      <c r="O47" s="10" t="n"/>
    </row>
    <row r="48">
      <c r="A48" s="14" t="n"/>
      <c r="B48" s="12" t="n"/>
      <c r="C48" s="10" t="n"/>
      <c r="D48" s="10" t="n"/>
      <c r="E48" s="10" t="n"/>
      <c r="F48" s="10" t="n"/>
      <c r="G48" s="10" t="n"/>
      <c r="H48" s="10" t="n"/>
      <c r="I48" s="10" t="n"/>
      <c r="J48" s="12" t="n"/>
      <c r="K48" s="12" t="n"/>
      <c r="L48" s="10" t="n"/>
      <c r="M48" s="12" t="n"/>
      <c r="N48" s="10" t="n"/>
      <c r="O48" s="10" t="n"/>
    </row>
    <row r="49">
      <c r="A49" s="14" t="n"/>
      <c r="B49" s="12" t="n"/>
      <c r="C49" s="10" t="n"/>
      <c r="D49" s="10" t="n"/>
      <c r="E49" s="10" t="n"/>
      <c r="F49" s="10" t="n"/>
      <c r="G49" s="10" t="n"/>
      <c r="H49" s="10" t="n"/>
      <c r="I49" s="10" t="n"/>
      <c r="J49" s="12" t="n"/>
      <c r="K49" s="12" t="n"/>
      <c r="L49" s="10" t="n"/>
      <c r="M49" s="12" t="n"/>
      <c r="N49" s="10" t="n"/>
      <c r="O49" s="10" t="n"/>
    </row>
    <row r="50">
      <c r="A50" s="14" t="n"/>
      <c r="B50" s="12" t="n"/>
      <c r="C50" s="10" t="n"/>
      <c r="D50" s="10" t="n"/>
      <c r="E50" s="10" t="n"/>
      <c r="F50" s="10" t="n"/>
      <c r="G50" s="10" t="n"/>
      <c r="H50" s="10" t="n"/>
      <c r="I50" s="10" t="n"/>
      <c r="J50" s="12" t="n"/>
      <c r="K50" s="12" t="n"/>
      <c r="L50" s="10" t="n"/>
      <c r="M50" s="12" t="n"/>
      <c r="N50" s="10" t="n"/>
      <c r="O50" s="10" t="n"/>
    </row>
    <row r="51">
      <c r="A51" s="14" t="n"/>
      <c r="B51" s="12" t="n"/>
      <c r="C51" s="10" t="n"/>
      <c r="D51" s="10" t="n"/>
      <c r="E51" s="10" t="n"/>
      <c r="F51" s="10" t="n"/>
      <c r="G51" s="10" t="n"/>
      <c r="H51" s="10" t="n"/>
      <c r="I51" s="10" t="n"/>
      <c r="J51" s="12" t="n"/>
      <c r="K51" s="12" t="n"/>
      <c r="L51" s="10" t="n"/>
      <c r="M51" s="12" t="n"/>
      <c r="N51" s="10" t="n"/>
      <c r="O51" s="10" t="n"/>
    </row>
    <row r="52">
      <c r="A52" s="14" t="n"/>
      <c r="B52" s="12" t="n"/>
      <c r="C52" s="10" t="n"/>
      <c r="D52" s="10" t="n"/>
      <c r="E52" s="10" t="n"/>
      <c r="F52" s="10" t="n"/>
      <c r="G52" s="10" t="n"/>
      <c r="H52" s="10" t="n"/>
      <c r="I52" s="10" t="n"/>
      <c r="J52" s="12" t="n"/>
      <c r="K52" s="12" t="n"/>
      <c r="L52" s="10" t="n"/>
      <c r="M52" s="12" t="n"/>
      <c r="N52" s="10" t="n"/>
      <c r="O52" s="10" t="n"/>
    </row>
    <row r="53">
      <c r="A53" s="14" t="n"/>
      <c r="B53" s="12" t="n"/>
      <c r="C53" s="10" t="n"/>
      <c r="D53" s="10" t="n"/>
      <c r="E53" s="10" t="n"/>
      <c r="F53" s="10" t="n"/>
      <c r="G53" s="10" t="n"/>
      <c r="H53" s="10" t="n"/>
      <c r="I53" s="10" t="n"/>
      <c r="J53" s="12" t="n"/>
      <c r="K53" s="12" t="n"/>
      <c r="L53" s="10" t="n"/>
      <c r="M53" s="12" t="n"/>
      <c r="N53" s="10" t="n"/>
      <c r="O53" s="10" t="n"/>
    </row>
    <row r="54">
      <c r="A54" s="14" t="n"/>
      <c r="B54" s="12" t="n"/>
      <c r="C54" s="10" t="n"/>
      <c r="D54" s="10" t="n"/>
      <c r="E54" s="10" t="n"/>
      <c r="F54" s="10" t="n"/>
      <c r="G54" s="10" t="n"/>
      <c r="H54" s="10" t="n"/>
      <c r="I54" s="10" t="n"/>
      <c r="J54" s="12" t="n"/>
      <c r="K54" s="12" t="n"/>
      <c r="L54" s="10" t="n"/>
      <c r="M54" s="12" t="n"/>
      <c r="N54" s="10" t="n"/>
      <c r="O54" s="10" t="n"/>
    </row>
  </sheetData>
  <mergeCells count="2">
    <mergeCell ref="A1:O1"/>
    <mergeCell ref="A2:O2"/>
  </mergeCells>
  <conditionalFormatting sqref="N5:N54">
    <cfRule type="expression" priority="1" dxfId="0">
      <formula>OR(N5="Resolved",N5="Closed")</formula>
    </cfRule>
    <cfRule type="expression" priority="2" dxfId="1">
      <formula>OR(N5="Open",N5="RFI Sent")</formula>
    </cfRule>
    <cfRule type="expression" priority="3" dxfId="2">
      <formula>OR(N5="EOR Review",N5="Action Pending")</formula>
    </cfRule>
  </conditionalFormatting>
  <dataValidations count="3">
    <dataValidation sqref="D5:D54" showDropDown="0" showInputMessage="0" showErrorMessage="0" allowBlank="1" type="list">
      <formula1>"Anchor Rod,Column Plumb,Beam Elevation,Floor Height,Drift,Member Damage,Other"</formula1>
    </dataValidation>
    <dataValidation sqref="L5:L54" showDropDown="0" showInputMessage="0" showErrorMessage="0" allowBlank="1" type="list">
      <formula1>"Accept as-is,Field correct,Re-erect,Reinforce,Replace member,Pending"</formula1>
    </dataValidation>
    <dataValidation sqref="N5:N54" showDropDown="0" showInputMessage="0" showErrorMessage="0" allowBlank="1" type="list">
      <formula1>"Open,RFI Sent,EOR Review,Action Pending,Resolved,Closed"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C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</cols>
  <sheetData>
    <row r="1" ht="32" customHeight="1">
      <c r="B1" s="1" t="inlineStr">
        <is>
          <t>DAILY SURVEY SUMMARY</t>
        </is>
      </c>
    </row>
    <row r="2">
      <c r="B2" s="8" t="inlineStr">
        <is>
          <t>Auto-aggregated. Use for monthly billing back-up + as-built sign-off package.</t>
        </is>
      </c>
    </row>
    <row r="4">
      <c r="B4" s="15" t="inlineStr">
        <is>
          <t>ANCHOR ROD SURVEY</t>
        </is>
      </c>
    </row>
    <row r="5">
      <c r="B5" s="4" t="inlineStr">
        <is>
          <t>Total anchor rods surveyed</t>
        </is>
      </c>
      <c r="C5" s="16">
        <f>COUNTA('Anchor Rod Survey'!B5:B104)</f>
        <v/>
      </c>
    </row>
    <row r="6">
      <c r="B6" s="4" t="inlineStr">
        <is>
          <t>Anchor rods position OK</t>
        </is>
      </c>
      <c r="C6" s="17">
        <f>COUNTIF('Anchor Rod Survey'!M5:M104,"OK")</f>
        <v/>
      </c>
    </row>
    <row r="7">
      <c r="B7" s="4" t="inlineStr">
        <is>
          <t>Anchor rods position OUT</t>
        </is>
      </c>
      <c r="C7" s="17">
        <f>COUNTIF('Anchor Rod Survey'!M5:M104,"OUT")</f>
        <v/>
      </c>
    </row>
    <row r="8">
      <c r="B8" s="4" t="inlineStr">
        <is>
          <t>Anchor rods stickup OK</t>
        </is>
      </c>
      <c r="C8" s="17">
        <f>COUNTIF('Anchor Rod Survey'!N5:N104,"OK")</f>
        <v/>
      </c>
    </row>
    <row r="9">
      <c r="B9" s="4" t="inlineStr">
        <is>
          <t>Anchor rods stickup OUT</t>
        </is>
      </c>
      <c r="C9" s="17">
        <f>COUNTIF('Anchor Rod Survey'!N5:N104,"OUT")</f>
        <v/>
      </c>
    </row>
    <row r="11">
      <c r="B11" s="15" t="inlineStr">
        <is>
          <t>COLUMN PLUMB</t>
        </is>
      </c>
    </row>
    <row r="12">
      <c r="B12" s="4" t="inlineStr">
        <is>
          <t>Total plumb surveys</t>
        </is>
      </c>
      <c r="C12" s="16">
        <f>COUNTA('Column Plumb Log'!C5:C204)</f>
        <v/>
      </c>
    </row>
    <row r="13">
      <c r="B13" s="4" t="inlineStr">
        <is>
          <t>Columns plumb OK</t>
        </is>
      </c>
      <c r="C13" s="17">
        <f>COUNTIF('Column Plumb Log'!J5:J204,"OK")</f>
        <v/>
      </c>
    </row>
    <row r="14">
      <c r="B14" s="4" t="inlineStr">
        <is>
          <t>Columns plumb OUT</t>
        </is>
      </c>
      <c r="C14" s="17">
        <f>COUNTIF('Column Plumb Log'!J5:J204,"OUT")</f>
        <v/>
      </c>
    </row>
    <row r="16">
      <c r="B16" s="15" t="inlineStr">
        <is>
          <t>FLOOR ELEVATION</t>
        </is>
      </c>
    </row>
    <row r="17">
      <c r="B17" s="4" t="inlineStr">
        <is>
          <t>Total elevation surveys</t>
        </is>
      </c>
      <c r="C17" s="16">
        <f>COUNTA('Floor Elevation Log'!C5:C154)</f>
        <v/>
      </c>
    </row>
    <row r="18">
      <c r="B18" s="4" t="inlineStr">
        <is>
          <t>Beam top OK</t>
        </is>
      </c>
      <c r="C18" s="17">
        <f>COUNTIF('Floor Elevation Log'!H5:H154,"OK")</f>
        <v/>
      </c>
    </row>
    <row r="19">
      <c r="B19" s="4" t="inlineStr">
        <is>
          <t>Beam top OUT</t>
        </is>
      </c>
      <c r="C19" s="17">
        <f>COUNTIF('Floor Elevation Log'!H5:H154,"OUT")</f>
        <v/>
      </c>
    </row>
    <row r="21">
      <c r="B21" s="15" t="inlineStr">
        <is>
          <t>DEVIATION TRACKER</t>
        </is>
      </c>
    </row>
    <row r="22">
      <c r="B22" s="4" t="inlineStr">
        <is>
          <t>Total deviations logged</t>
        </is>
      </c>
      <c r="C22" s="16">
        <f>COUNTA('Deviation RFI Tracker'!A5:A54)</f>
        <v/>
      </c>
    </row>
    <row r="23">
      <c r="B23" s="4" t="inlineStr">
        <is>
          <t>Deviations Open</t>
        </is>
      </c>
      <c r="C23" s="17">
        <f>COUNTIF('Deviation RFI Tracker'!N5:N54,"Open")</f>
        <v/>
      </c>
    </row>
    <row r="24">
      <c r="B24" s="4" t="inlineStr">
        <is>
          <t>Deviations RFI Sent</t>
        </is>
      </c>
      <c r="C24" s="17">
        <f>COUNTIF('Deviation RFI Tracker'!N5:N54,"RFI Sent")</f>
        <v/>
      </c>
    </row>
    <row r="25">
      <c r="B25" s="4" t="inlineStr">
        <is>
          <t>Deviations EOR Review</t>
        </is>
      </c>
      <c r="C25" s="17">
        <f>COUNTIF('Deviation RFI Tracker'!N5:N54,"EOR Review")</f>
        <v/>
      </c>
    </row>
    <row r="26">
      <c r="B26" s="4" t="inlineStr">
        <is>
          <t>Deviations Resolved + Closed</t>
        </is>
      </c>
      <c r="C26" s="17">
        <f>COUNTIF('Deviation RFI Tracker'!N5:N54,"Resolved")+COUNTIF('Deviation RFI Tracker'!N5:N54,"Closed")</f>
        <v/>
      </c>
    </row>
    <row r="28">
      <c r="B28" s="15" t="inlineStr">
        <is>
          <t>READINESS FOR CLADDING / RETAINAGE</t>
        </is>
      </c>
    </row>
    <row r="29">
      <c r="B29" s="4" t="inlineStr">
        <is>
          <t>Open deviations blocking sign-off</t>
        </is>
      </c>
      <c r="C29" s="16">
        <f>COUNTIF('Deviation RFI Tracker'!N5:N54,"Open")+COUNTIF('Deviation RFI Tracker'!N5:N54,"RFI Sent")+COUNTIF('Deviation RFI Tracker'!N5:N54,"EOR Review")+COUNTIF('Deviation RFI Tracker'!N5:N54,"Action Pending")</f>
        <v/>
      </c>
    </row>
  </sheetData>
  <mergeCells count="7">
    <mergeCell ref="B21:C21"/>
    <mergeCell ref="B2:C2"/>
    <mergeCell ref="B16:C16"/>
    <mergeCell ref="B11:C11"/>
    <mergeCell ref="B28:C28"/>
    <mergeCell ref="B1:C1"/>
    <mergeCell ref="B4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15" t="inlineStr">
        <is>
          <t>AISC §7.13 — Tolerance Limits Reference</t>
        </is>
      </c>
    </row>
    <row r="3">
      <c r="A3" s="18" t="inlineStr">
        <is>
          <t>Item</t>
        </is>
      </c>
      <c r="B3" s="18" t="inlineStr">
        <is>
          <t>Default Limit</t>
        </is>
      </c>
      <c r="C3" s="18" t="inlineStr">
        <is>
          <t>AISC §</t>
        </is>
      </c>
    </row>
    <row r="4">
      <c r="A4" s="5" t="inlineStr">
        <is>
          <t>Anchor rod single position</t>
        </is>
      </c>
      <c r="B4" s="5" t="inlineStr">
        <is>
          <t>±0.125" (1/8")</t>
        </is>
      </c>
      <c r="C4" s="5" t="inlineStr">
        <is>
          <t>§7.5.1</t>
        </is>
      </c>
    </row>
    <row r="5">
      <c r="A5" s="5" t="inlineStr">
        <is>
          <t>Anchor rod pattern position</t>
        </is>
      </c>
      <c r="B5" s="5" t="inlineStr">
        <is>
          <t>±0.250" (1/4")</t>
        </is>
      </c>
      <c r="C5" s="5" t="inlineStr">
        <is>
          <t>§7.5.1</t>
        </is>
      </c>
    </row>
    <row r="6">
      <c r="A6" s="5" t="inlineStr">
        <is>
          <t>Anchor rod stickup</t>
        </is>
      </c>
      <c r="B6" s="5" t="inlineStr">
        <is>
          <t>±0.125" (1/8")</t>
        </is>
      </c>
      <c r="C6" s="5" t="inlineStr">
        <is>
          <t>§7.5.2</t>
        </is>
      </c>
    </row>
    <row r="7">
      <c r="A7" s="5" t="inlineStr">
        <is>
          <t>Anchor rod plumb (vertical)</t>
        </is>
      </c>
      <c r="B7" s="5" t="inlineStr">
        <is>
          <t>1:40</t>
        </is>
      </c>
      <c r="C7" s="5" t="inlineStr">
        <is>
          <t>§7.5.2</t>
        </is>
      </c>
    </row>
    <row r="8">
      <c r="A8" s="5" t="inlineStr">
        <is>
          <t>Column plumb</t>
        </is>
      </c>
      <c r="B8" s="5" t="inlineStr">
        <is>
          <t>1:500 of length</t>
        </is>
      </c>
      <c r="C8" s="5" t="inlineStr">
        <is>
          <t>§7.13.1.2</t>
        </is>
      </c>
    </row>
    <row r="9">
      <c r="A9" s="5" t="inlineStr">
        <is>
          <t>Beam top elevation</t>
        </is>
      </c>
      <c r="B9" s="5" t="inlineStr">
        <is>
          <t>±0.125" (1/8")</t>
        </is>
      </c>
      <c r="C9" s="5" t="inlineStr">
        <is>
          <t>§7.13.1.4</t>
        </is>
      </c>
    </row>
    <row r="10">
      <c r="A10" s="5" t="inlineStr">
        <is>
          <t>Floor-to-floor height</t>
        </is>
      </c>
      <c r="B10" s="5" t="inlineStr">
        <is>
          <t>±0.250" (1/4")</t>
        </is>
      </c>
      <c r="C10" s="5" t="inlineStr">
        <is>
          <t>§7.13.1.4</t>
        </is>
      </c>
    </row>
    <row r="11">
      <c r="A11" s="5" t="inlineStr">
        <is>
          <t>Building drift (multi-story)</t>
        </is>
      </c>
      <c r="B11" s="5" t="inlineStr">
        <is>
          <t>1:500 from base, exterior columns</t>
        </is>
      </c>
      <c r="C11" s="5" t="inlineStr">
        <is>
          <t>§7.13.1.3</t>
        </is>
      </c>
    </row>
    <row r="12">
      <c r="A12" s="5" t="inlineStr">
        <is>
          <t>Member straightness (mill)</t>
        </is>
      </c>
      <c r="B12" s="5" t="inlineStr">
        <is>
          <t>Per ASTM A6</t>
        </is>
      </c>
      <c r="C12" s="5" t="inlineStr">
        <is>
          <t>ASTM A6</t>
        </is>
      </c>
    </row>
    <row r="13">
      <c r="A13" s="5" t="inlineStr">
        <is>
          <t>Member camber preservation</t>
        </is>
      </c>
      <c r="B13" s="5" t="inlineStr">
        <is>
          <t>Per shop drawings</t>
        </is>
      </c>
      <c r="C13" s="5" t="inlineStr">
        <is>
          <t>Project spec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2026-05-17T14:03:17Z</dcterms:created>
  <dcterms:modified xmlns:dcterms="http://purl.org/dc/terms/" xmlns:xsi="http://www.w3.org/2001/XMLSchema-instance" xsi:type="dcterms:W3CDTF">2026-05-17T14:03:18Z</dcterms:modified>
</cp:coreProperties>
</file>