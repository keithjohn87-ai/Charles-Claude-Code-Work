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ject Info" sheetId="2" state="visible" r:id="rId2"/>
    <sheet xmlns:r="http://schemas.openxmlformats.org/officeDocument/2006/relationships" name="Wage Rates" sheetId="3" state="visible" r:id="rId3"/>
    <sheet xmlns:r="http://schemas.openxmlformats.org/officeDocument/2006/relationships" name="Equipment Rates" sheetId="4" state="visible" r:id="rId4"/>
    <sheet xmlns:r="http://schemas.openxmlformats.org/officeDocument/2006/relationships" name="Material Takeoff" sheetId="5" state="visible" r:id="rId5"/>
    <sheet xmlns:r="http://schemas.openxmlformats.org/officeDocument/2006/relationships" name="Labor Estimate" sheetId="6" state="visible" r:id="rId6"/>
    <sheet xmlns:r="http://schemas.openxmlformats.org/officeDocument/2006/relationships" name="Equipment Estimate" sheetId="7" state="visible" r:id="rId7"/>
    <sheet xmlns:r="http://schemas.openxmlformats.org/officeDocument/2006/relationships" name="Subcontract Estimate" sheetId="8" state="visible" r:id="rId8"/>
    <sheet xmlns:r="http://schemas.openxmlformats.org/officeDocument/2006/relationships" name="Premiums &amp; Conditions" sheetId="9" state="visible" r:id="rId9"/>
    <sheet xmlns:r="http://schemas.openxmlformats.org/officeDocument/2006/relationships" name="Bid Summary" sheetId="10" state="visible" r:id="rId10"/>
    <sheet xmlns:r="http://schemas.openxmlformats.org/officeDocument/2006/relationships" name="CSI Reference" sheetId="11" state="hidden" r:id="rId11"/>
  </sheets>
  <definedNames>
    <definedName name="ProjectName">'Project Info'!$C$3</definedName>
    <definedName name="GCName">'Project Info'!$C$6</definedName>
    <definedName name="FringeBurden">'Project Info'!$C$21</definedName>
    <definedName name="OTPremium">'Project Info'!$C$22</definedName>
    <definedName name="LaborOH">'Project Info'!$C$23</definedName>
    <definedName name="LaborProfit">'Project Info'!$C$24</definedName>
    <definedName name="MaterialMarkup">'Project Info'!$C$25</definedName>
    <definedName name="EquipRentedMarkup">'Project Info'!$C$26</definedName>
    <definedName name="EquipOwnedMarkup">'Project Info'!$C$27</definedName>
    <definedName name="SubMarkup">'Project Info'!$C$28</definedName>
    <definedName name="Contingency">'Project Info'!$C$29</definedName>
    <definedName name="BondPct">'Project Info'!$C$30</definedName>
    <definedName name="ProjectOH">'Project Info'!$C$31</definedName>
    <definedName name="ProjectProfit">'Project Info'!$C$32</definedName>
    <definedName name="MaxHeight">'Project Info'!$C$35</definedName>
    <definedName name="HeightPremium">'Project Info'!$C$36</definedName>
    <definedName name="AfterHours">'Project Info'!$C$37</definedName>
    <definedName name="DistanceFromShop">'Project Info'!$C$38</definedName>
    <definedName name="IsAESS">'Project Info'!$C$39</definedName>
    <definedName name="IsComplex">'Project Info'!$C$40</definedName>
    <definedName name="AccessConstrained">'Project Info'!$C$41</definedName>
    <definedName name="IsPrevailingWage">'Project Info'!$C$15</definedName>
    <definedName name="WageRates">'Wage Rates'!$A$5:$G$22</definedName>
    <definedName name="EquipRates">'Equipment Rates'!$A$5:$H$22</definedName>
    <definedName name="TakeoffTable">'Material Takeoff'!$A$5:$I$45</definedName>
    <definedName name="TotalPremiumPct">'Premiums &amp; Conditions'!$D$17</definedName>
  </definedNames>
  <calcPr calcId="124519" fullCalcOnLoad="1"/>
</workbook>
</file>

<file path=xl/styles.xml><?xml version="1.0" encoding="utf-8"?>
<styleSheet xmlns="http://schemas.openxmlformats.org/spreadsheetml/2006/main">
  <numFmts count="4">
    <numFmt numFmtId="164" formatCode="0.0%"/>
    <numFmt numFmtId="165" formatCode="_($* #,##0.00_);_($* (#,##0.00);_($* &quot;-&quot;??_);_(@_)"/>
    <numFmt numFmtId="166" formatCode="0.000"/>
    <numFmt numFmtId="167" formatCode="_($* #,##0_);_($* (#,##0);_($* &quot;-&quot;_);_(@_)"/>
  </numFmts>
  <fonts count="9">
    <font>
      <name val="Calibri"/>
      <family val="2"/>
      <color theme="1"/>
      <sz val="11"/>
      <scheme val="minor"/>
    </font>
    <font>
      <name val="Calibri"/>
      <b val="1"/>
      <color rgb="001E3A5F"/>
      <sz val="22"/>
    </font>
    <font>
      <name val="Calibri"/>
      <sz val="11"/>
    </font>
    <font>
      <name val="Calibri"/>
      <b val="1"/>
      <color rgb="001E3A5F"/>
      <sz val="12"/>
    </font>
    <font>
      <name val="Calibri"/>
      <b val="1"/>
      <sz val="11"/>
    </font>
    <font>
      <name val="Calibri"/>
      <i val="1"/>
      <color rgb="00808080"/>
      <sz val="11"/>
    </font>
    <font>
      <name val="Calibri"/>
      <b val="1"/>
      <color rgb="00FFFFFF"/>
      <sz val="11"/>
    </font>
    <font>
      <name val="Calibri"/>
      <b val="1"/>
      <color rgb="009C0006"/>
      <sz val="11"/>
    </font>
    <font>
      <name val="Calibri"/>
      <b val="1"/>
      <color rgb="001E3A5F"/>
      <sz val="18"/>
    </font>
  </fonts>
  <fills count="6">
    <fill>
      <patternFill/>
    </fill>
    <fill>
      <patternFill patternType="gray125"/>
    </fill>
    <fill>
      <patternFill patternType="solid">
        <fgColor rgb="00D6E0EC"/>
      </patternFill>
    </fill>
    <fill>
      <patternFill patternType="solid">
        <fgColor rgb="001E3A5F"/>
      </patternFill>
    </fill>
    <fill>
      <patternFill patternType="solid">
        <fgColor rgb="00FFC7CE"/>
      </patternFill>
    </fill>
    <fill>
      <patternFill patternType="solid">
        <fgColor rgb="00C9A227"/>
      </patternFill>
    </fill>
  </fills>
  <borders count="2">
    <border>
      <left/>
      <right/>
      <top/>
      <bottom/>
      <diagonal/>
    </border>
    <border>
      <left style="thin">
        <color rgb="00B0B7BF"/>
      </left>
      <right style="thin">
        <color rgb="00B0B7BF"/>
      </right>
      <top style="thin">
        <color rgb="00B0B7BF"/>
      </top>
      <bottom style="thin">
        <color rgb="00B0B7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pivotButton="0" quotePrefix="0" xfId="0"/>
    <xf numFmtId="0" fontId="2" fillId="0" borderId="1" pivotButton="0" quotePrefix="0" xfId="0"/>
    <xf numFmtId="1" fontId="2" fillId="0" borderId="1" pivotButton="0" quotePrefix="0" xfId="0"/>
    <xf numFmtId="0" fontId="2" fillId="0" borderId="0" pivotButton="0" quotePrefix="0" xfId="0"/>
    <xf numFmtId="0" fontId="3" fillId="0" borderId="0" pivotButton="0" quotePrefix="0" xfId="0"/>
    <xf numFmtId="164" fontId="2" fillId="0" borderId="1" pivotButton="0" quotePrefix="0" xfId="0"/>
    <xf numFmtId="2" fontId="2" fillId="0" borderId="1" pivotButton="0" quotePrefix="0" xfId="0"/>
    <xf numFmtId="0" fontId="5" fillId="0" borderId="0" pivotButton="0" quotePrefix="0" xfId="0"/>
    <xf numFmtId="0" fontId="6" fillId="3" borderId="1" applyAlignment="1" pivotButton="0" quotePrefix="0" xfId="0">
      <alignment horizontal="center" vertical="center" wrapText="1"/>
    </xf>
    <xf numFmtId="0" fontId="2" fillId="0" borderId="1" applyAlignment="1" pivotButton="0" quotePrefix="0" xfId="0">
      <alignment vertical="center"/>
    </xf>
    <xf numFmtId="165" fontId="2" fillId="0" borderId="1" applyAlignment="1" pivotButton="0" quotePrefix="0" xfId="0">
      <alignment vertical="center"/>
    </xf>
    <xf numFmtId="2" fontId="2" fillId="0" borderId="1" applyAlignment="1" pivotButton="0" quotePrefix="0" xfId="0">
      <alignment vertical="center"/>
    </xf>
    <xf numFmtId="164" fontId="2" fillId="0" borderId="1" applyAlignment="1" pivotButton="0" quotePrefix="0" xfId="0">
      <alignment vertical="center"/>
    </xf>
    <xf numFmtId="0" fontId="4" fillId="2" borderId="0" pivotButton="0" quotePrefix="0" xfId="0"/>
    <xf numFmtId="165" fontId="4" fillId="2" borderId="1" pivotButton="0" quotePrefix="0" xfId="0"/>
    <xf numFmtId="0" fontId="7" fillId="4" borderId="0" applyAlignment="1" pivotButton="0" quotePrefix="0" xfId="0">
      <alignment horizontal="center" vertical="center" wrapText="1"/>
    </xf>
    <xf numFmtId="166" fontId="2" fillId="0" borderId="1" applyAlignment="1" pivotButton="0" quotePrefix="0" xfId="0">
      <alignment vertical="center"/>
    </xf>
    <xf numFmtId="1" fontId="2" fillId="0" borderId="1" applyAlignment="1" pivotButton="0" quotePrefix="0" xfId="0">
      <alignment vertical="center"/>
    </xf>
    <xf numFmtId="2" fontId="4" fillId="2" borderId="1" pivotButton="0" quotePrefix="0" xfId="0"/>
    <xf numFmtId="0" fontId="0" fillId="0" borderId="1" pivotButton="0" quotePrefix="0" xfId="0"/>
    <xf numFmtId="164" fontId="0" fillId="0" borderId="1" pivotButton="0" quotePrefix="0" xfId="0"/>
    <xf numFmtId="0" fontId="5" fillId="0" borderId="1" pivotButton="0" quotePrefix="0" xfId="0"/>
    <xf numFmtId="164" fontId="8" fillId="2" borderId="1" pivotButton="0" quotePrefix="0" xfId="0"/>
    <xf numFmtId="0" fontId="4" fillId="0" borderId="0" pivotButton="0" quotePrefix="0" xfId="0"/>
    <xf numFmtId="165" fontId="2" fillId="0" borderId="1" pivotButton="0" quotePrefix="0" xfId="0"/>
    <xf numFmtId="165" fontId="0" fillId="0" borderId="1" pivotButton="0" quotePrefix="0" xfId="0"/>
    <xf numFmtId="0" fontId="1" fillId="5" borderId="1" pivotButton="0" quotePrefix="0" xfId="0"/>
    <xf numFmtId="167" fontId="1" fillId="5" borderId="1" pivotButton="0" quotePrefix="0" xfId="0"/>
    <xf numFmtId="0" fontId="2" fillId="2" borderId="1" pivotButton="0" quotePrefix="0" xfId="0"/>
    <xf numFmtId="0" fontId="6"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showGridLines="0" workbookViewId="0">
      <selection activeCell="A1" sqref="A1"/>
    </sheetView>
  </sheetViews>
  <sheetFormatPr baseColWidth="8" defaultRowHeight="15"/>
  <cols>
    <col width="110" customWidth="1" min="1" max="1"/>
  </cols>
  <sheetData>
    <row r="1" ht="36" customHeight="1">
      <c r="A1" s="1" t="inlineStr">
        <is>
          <t>STEEL ERECTION BID ESTIMATOR — Instructions</t>
        </is>
      </c>
    </row>
    <row r="2">
      <c r="A2" s="2" t="inlineStr"/>
    </row>
    <row r="3">
      <c r="A3" s="3" t="inlineStr">
        <is>
          <t>WHAT THIS WORKBOOK IS</t>
        </is>
      </c>
    </row>
    <row r="4">
      <c r="A4" s="2" t="inlineStr">
        <is>
          <t>A tonnage-based bid estimator for a structural-steel erection subcontractor. Output is a final bid number broken down by CSI division and section, suitable for submitting on a commercial bid form (use the Bid Package &amp; Prequalification template from the Universal Sub Suite for the wrapper).</t>
        </is>
      </c>
    </row>
    <row r="5">
      <c r="A5" s="2" t="inlineStr"/>
    </row>
    <row r="6">
      <c r="A6" s="3" t="inlineStr">
        <is>
          <t>WORKFLOW (TYPICAL BID DAY)</t>
        </is>
      </c>
    </row>
    <row r="7">
      <c r="A7" s="2" t="inlineStr">
        <is>
          <t>1. Open the bid documents and identify the structural drawings (S-series sheets) + project manual (Division 05 specifications).</t>
        </is>
      </c>
    </row>
    <row r="8">
      <c r="A8" s="2" t="inlineStr">
        <is>
          <t>2. Project Info: fill in the project, GC, delivery method, schedule, location, prevailing-wage flag, and contract-type assumptions. These drive every other tab.</t>
        </is>
      </c>
    </row>
    <row r="9">
      <c r="A9" s="2" t="inlineStr">
        <is>
          <t>3. Wage Rates: review the defaults against the locality + project labor regime. On Davis-Bacon or state-prevailing-wage projects, REPLACE the defaults with the controlling wage determination (see Certified Payroll Tracker for parallel workflow).</t>
        </is>
      </c>
    </row>
    <row r="10">
      <c r="A10" s="2" t="inlineStr">
        <is>
          <t>4. Equipment Rates: replace defaults with quotes from your crane vendor for the project tonnage + reach + pick weight. The 200T crawler default is a sample; bigger projects need bigger cranes.</t>
        </is>
      </c>
    </row>
    <row r="11">
      <c r="A11" s="2" t="inlineStr">
        <is>
          <t>5. Material Takeoff: enter the tonnage / sqft / count by CSI section. The takeoff usually comes from a quantity surveyor's report, a fabricator's takeoff (if you bid as erector-only), or your own takeoff from the structural drawings.</t>
        </is>
      </c>
    </row>
    <row r="12">
      <c r="A12" s="2" t="inlineStr">
        <is>
          <t>6. Labor Estimate: apply productivity rates (hrs/ton) by member class and crew composition. Industry-average productivity rates are pre-loaded; tighten or relax based on project access, complexity, weather window, etc.</t>
        </is>
      </c>
    </row>
    <row r="13">
      <c r="A13" s="2" t="inlineStr">
        <is>
          <t>7. Equipment Estimate: estimate crane-days and support-equipment days by phase.</t>
        </is>
      </c>
    </row>
    <row r="14">
      <c r="A14" s="2" t="inlineStr">
        <is>
          <t>8. Subcontract Estimate: if any scope is subbed (high-strength bolting, certified welding, fireproofing, painting), price as lump-sum or unit-price.</t>
        </is>
      </c>
    </row>
    <row r="15">
      <c r="A15" s="2" t="inlineStr">
        <is>
          <t>9. Premiums &amp; Conditions: apply percentage adders for working at heights, after-hours work, distance from your shop, complex geometry, weather contingency, and similar risk factors.</t>
        </is>
      </c>
    </row>
    <row r="16">
      <c r="A16" s="2" t="inlineStr">
        <is>
          <t>10. Bid Summary: review the CSI-division roll-up. Apply contingency, bond cost, overhead, and profit to arrive at the final bid number.</t>
        </is>
      </c>
    </row>
    <row r="17">
      <c r="A17" s="2" t="inlineStr"/>
    </row>
    <row r="18">
      <c r="A18" s="3" t="inlineStr">
        <is>
          <t>WHAT THIS WORKBOOK IS NOT</t>
        </is>
      </c>
    </row>
    <row r="19">
      <c r="A19" s="2" t="inlineStr">
        <is>
          <t xml:space="preserve">  - This is not a substitute for a takeoff. Garbage in, garbage out — the bid is only as good as the tonnage entered.</t>
        </is>
      </c>
    </row>
    <row r="20">
      <c r="A20" s="2" t="inlineStr">
        <is>
          <t xml:space="preserve">  - This is not a substitute for a contract review. The Subcontract Review Checklist (Universal Sub Suite) is for the deal terms; this estimator is for the price only.</t>
        </is>
      </c>
    </row>
    <row r="21">
      <c r="A21" s="2" t="inlineStr">
        <is>
          <t xml:space="preserve">  - This is not a substitute for an erector's experience. The pre-loaded productivity rates are industry averages; your shop's actual productivity may be 20-40% different. Calibrate against your last 3 completed jobs before relying on the rates on a tight bid.</t>
        </is>
      </c>
    </row>
    <row r="22">
      <c r="A22" s="2" t="inlineStr"/>
    </row>
    <row r="23">
      <c r="A23" s="3" t="inlineStr">
        <is>
          <t>CSI MASTERFORMAT INTEGRATION</t>
        </is>
      </c>
    </row>
    <row r="24">
      <c r="A24" s="2" t="inlineStr">
        <is>
          <t>Every line item carries a CSI Division (05 primary for steel) and Section (e.g., 05 12 23 Structural Steel Framing, 05 31 13 Steel Floor Decking). The Bid Summary tab rolls up totals by CSI division so the bid integrates cleanly into the GC's job-cost accounting and into your monthly Sub Schedule of Values billing.</t>
        </is>
      </c>
    </row>
    <row r="25">
      <c r="A25" s="2" t="inlineStr"/>
    </row>
    <row r="26">
      <c r="A26" s="3" t="inlineStr">
        <is>
          <t>STEEL ERECTOR'S SCOPE — TYPICAL DIVISIONS</t>
        </is>
      </c>
    </row>
    <row r="27">
      <c r="A27" s="2" t="inlineStr">
        <is>
          <t xml:space="preserve">  - 05 12 23 Structural Steel Framing — primary structural members (W, HSS, C, L)</t>
        </is>
      </c>
    </row>
    <row r="28">
      <c r="A28" s="2" t="inlineStr">
        <is>
          <t xml:space="preserve">  - 05 21 19 Open-Web Steel Joists — K, LH, DLH series</t>
        </is>
      </c>
    </row>
    <row r="29">
      <c r="A29" s="2" t="inlineStr">
        <is>
          <t xml:space="preserve">  - 05 31 13/23/33 Steel Decking — floor / roof / form decking</t>
        </is>
      </c>
    </row>
    <row r="30">
      <c r="A30" s="2" t="inlineStr">
        <is>
          <t xml:space="preserve">  - 05 50 00 Metal Fabrications — misc metals, embeds, railings (sometimes)</t>
        </is>
      </c>
    </row>
    <row r="31">
      <c r="A31" s="2" t="inlineStr">
        <is>
          <t xml:space="preserve">  - 05 51 13 Metal Pan Stairs — stairs installed by erector</t>
        </is>
      </c>
    </row>
    <row r="32">
      <c r="A32" s="2" t="inlineStr">
        <is>
          <t xml:space="preserve">  - 03 30 00 (cross-ref) — embed plates supplied by erector, set by concrete contractor</t>
        </is>
      </c>
    </row>
    <row r="33">
      <c r="A33" s="2" t="inlineStr">
        <is>
          <t xml:space="preserve">  - 07 81 00 (cross-ref) — spray-applied fireproofing, typically a separate sub</t>
        </is>
      </c>
    </row>
    <row r="34">
      <c r="A34" s="2" t="inlineStr"/>
    </row>
    <row r="35">
      <c r="A35" s="3" t="inlineStr">
        <is>
          <t>PRODUCTIVITY RATES (DEFAULTS — ADJUST BASED ON YOUR HISTORY)</t>
        </is>
      </c>
    </row>
    <row r="36">
      <c r="A36" s="2" t="inlineStr">
        <is>
          <t xml:space="preserve">  - Structural steel: 8-15 tons/crew-day for normal commercial work; 4-8 for AESS or congested</t>
        </is>
      </c>
    </row>
    <row r="37">
      <c r="A37" s="2" t="inlineStr">
        <is>
          <t xml:space="preserve">  - Joists: 25-45 joists/crew-day depending on span and bridging</t>
        </is>
      </c>
    </row>
    <row r="38">
      <c r="A38" s="2" t="inlineStr">
        <is>
          <t xml:space="preserve">  - Decking: 7,000-12,000 sqft/crew-day on open floors, less on cut-up plans</t>
        </is>
      </c>
    </row>
    <row r="39">
      <c r="A39" s="2" t="inlineStr">
        <is>
          <t xml:space="preserve">  - Bolting: 80-150 high-strength bolts/bolter-day (turn-of-nut method)</t>
        </is>
      </c>
    </row>
    <row r="40">
      <c r="A40" s="2" t="inlineStr">
        <is>
          <t xml:space="preserve">  - Welding: depends entirely on weld size and position — estimate per joint, not per ton</t>
        </is>
      </c>
    </row>
    <row r="41">
      <c r="A41" s="2" t="inlineStr"/>
    </row>
    <row r="42">
      <c r="A42" s="3" t="inlineStr">
        <is>
          <t>MARKUP DEFAULTS (REVIEW PER PROJECT)</t>
        </is>
      </c>
    </row>
    <row r="43">
      <c r="A43" s="2" t="inlineStr">
        <is>
          <t xml:space="preserve">  - Overhead: 12-18% on commercial work</t>
        </is>
      </c>
    </row>
    <row r="44">
      <c r="A44" s="2" t="inlineStr">
        <is>
          <t xml:space="preserve">  - Profit: 8-12%</t>
        </is>
      </c>
    </row>
    <row r="45">
      <c r="A45" s="2" t="inlineStr">
        <is>
          <t xml:space="preserve">  - Contingency: 3-5% (more for design-build, less for fully-detailed bid)</t>
        </is>
      </c>
    </row>
    <row r="46">
      <c r="A46" s="2" t="inlineStr">
        <is>
          <t xml:space="preserve">  - Bond: 0.5-1.5% of bid</t>
        </is>
      </c>
    </row>
    <row r="47">
      <c r="A47" s="2" t="inlineStr">
        <is>
          <t xml:space="preserve">  - Total all-in markup typically lands at 25-35% above raw cost</t>
        </is>
      </c>
    </row>
    <row r="48">
      <c r="A48" s="2" t="inlineStr"/>
    </row>
    <row r="49">
      <c r="A49" s="3" t="inlineStr">
        <is>
          <t>FIELD-ONLY SCOPE (CONTRPRO STEEL ERECTION TRADE PACK SCOPE)</t>
        </is>
      </c>
    </row>
    <row r="50">
      <c r="A50" s="2" t="inlineStr">
        <is>
          <t>This estimator is calibrated for FIELD ERECTION only. Fabrication shop work is OUT OF SCOPE — if your firm fabricates AND erects, use a separate fabrication-shop estimator (different rate structure, different productivity, different material handling).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46"/>
  <sheetViews>
    <sheetView showGridLines="0" workbookViewId="0">
      <selection activeCell="A1" sqref="A1"/>
    </sheetView>
  </sheetViews>
  <sheetFormatPr baseColWidth="8" defaultRowHeight="15"/>
  <cols>
    <col width="4" customWidth="1" min="1" max="1"/>
    <col width="42" customWidth="1" min="2" max="2"/>
    <col width="36" customWidth="1" min="3" max="3"/>
  </cols>
  <sheetData>
    <row r="1" ht="32" customHeight="1">
      <c r="B1" s="1" t="inlineStr">
        <is>
          <t>PROJECT INFORMATION — Steel Erection Bid</t>
        </is>
      </c>
    </row>
    <row r="3">
      <c r="B3" s="4" t="inlineStr">
        <is>
          <t>Project Name</t>
        </is>
      </c>
      <c r="C3" s="5" t="inlineStr"/>
    </row>
    <row r="4">
      <c r="B4" s="4" t="inlineStr">
        <is>
          <t>Project Address</t>
        </is>
      </c>
      <c r="C4" s="5" t="inlineStr"/>
    </row>
    <row r="5">
      <c r="B5" s="4" t="inlineStr">
        <is>
          <t>Owner</t>
        </is>
      </c>
      <c r="C5" s="5" t="inlineStr"/>
    </row>
    <row r="6">
      <c r="B6" s="4" t="inlineStr">
        <is>
          <t>General Contractor (bidding to)</t>
        </is>
      </c>
      <c r="C6" s="5" t="inlineStr"/>
    </row>
    <row r="7">
      <c r="B7" s="4" t="inlineStr">
        <is>
          <t>Bid Due Date</t>
        </is>
      </c>
      <c r="C7" s="5" t="inlineStr"/>
    </row>
    <row r="8">
      <c r="B8" s="4" t="inlineStr">
        <is>
          <t>Project Type</t>
        </is>
      </c>
      <c r="C8" s="5" t="inlineStr">
        <is>
          <t>Commercial — New Construction</t>
        </is>
      </c>
    </row>
    <row r="9">
      <c r="B9" s="4" t="inlineStr">
        <is>
          <t>Delivery Method</t>
        </is>
      </c>
      <c r="C9" s="5" t="inlineStr">
        <is>
          <t>Design-Bid-Build</t>
        </is>
      </c>
    </row>
    <row r="10">
      <c r="B10" s="4" t="inlineStr">
        <is>
          <t>Construction Schedule (months)</t>
        </is>
      </c>
      <c r="C10" s="6" t="n">
        <v>0</v>
      </c>
    </row>
    <row r="11">
      <c r="B11" s="4" t="inlineStr">
        <is>
          <t>Anticipated Steel Erection Start</t>
        </is>
      </c>
      <c r="C11" s="5" t="inlineStr"/>
    </row>
    <row r="12">
      <c r="B12" s="4" t="inlineStr">
        <is>
          <t>Anticipated Steel Erection Duration (weeks)</t>
        </is>
      </c>
      <c r="C12" s="6" t="n">
        <v>0</v>
      </c>
    </row>
    <row r="13">
      <c r="C13" s="7" t="inlineStr"/>
    </row>
    <row r="14">
      <c r="B14" s="8" t="inlineStr">
        <is>
          <t>LABOR REGIME</t>
        </is>
      </c>
    </row>
    <row r="15">
      <c r="B15" s="4" t="inlineStr">
        <is>
          <t>Davis-Bacon / Prevailing Wage Project?</t>
        </is>
      </c>
      <c r="C15" s="5" t="inlineStr">
        <is>
          <t>No</t>
        </is>
      </c>
    </row>
    <row r="16">
      <c r="B16" s="4" t="inlineStr">
        <is>
          <t>Wage Determination ID (if prevailing wage)</t>
        </is>
      </c>
      <c r="C16" s="5" t="inlineStr"/>
    </row>
    <row r="17">
      <c r="B17" s="4" t="inlineStr">
        <is>
          <t>Union Project?</t>
        </is>
      </c>
      <c r="C17" s="5" t="inlineStr">
        <is>
          <t>No</t>
        </is>
      </c>
    </row>
    <row r="18">
      <c r="B18" s="4" t="inlineStr">
        <is>
          <t>Project State (controls workers' comp + EMR application)</t>
        </is>
      </c>
      <c r="C18" s="5" t="inlineStr"/>
    </row>
    <row r="19">
      <c r="C19" s="7" t="inlineStr"/>
    </row>
    <row r="20">
      <c r="B20" s="8" t="inlineStr">
        <is>
          <t>BID ECONOMICS</t>
        </is>
      </c>
    </row>
    <row r="21">
      <c r="B21" s="4" t="inlineStr">
        <is>
          <t>Fringe Burden % (on bare wage)</t>
        </is>
      </c>
      <c r="C21" s="9" t="n">
        <v>0.4</v>
      </c>
    </row>
    <row r="22">
      <c r="B22" s="4" t="inlineStr">
        <is>
          <t>OT Premium Multiplier</t>
        </is>
      </c>
      <c r="C22" s="10" t="n">
        <v>1.5</v>
      </c>
    </row>
    <row r="23">
      <c r="B23" s="4" t="inlineStr">
        <is>
          <t>Labor Overhead %</t>
        </is>
      </c>
      <c r="C23" s="9" t="n">
        <v>0.15</v>
      </c>
    </row>
    <row r="24">
      <c r="B24" s="4" t="inlineStr">
        <is>
          <t>Labor Profit %</t>
        </is>
      </c>
      <c r="C24" s="9" t="n">
        <v>0.1</v>
      </c>
    </row>
    <row r="25">
      <c r="B25" s="4" t="inlineStr">
        <is>
          <t>Material Markup %</t>
        </is>
      </c>
      <c r="C25" s="9" t="n">
        <v>0.1</v>
      </c>
    </row>
    <row r="26">
      <c r="B26" s="4" t="inlineStr">
        <is>
          <t>Equipment Markup % (rented)</t>
        </is>
      </c>
      <c r="C26" s="9" t="n">
        <v>0.08</v>
      </c>
    </row>
    <row r="27">
      <c r="B27" s="4" t="inlineStr">
        <is>
          <t>Equipment Markup % (owned)</t>
        </is>
      </c>
      <c r="C27" s="9" t="n">
        <v>0.1</v>
      </c>
    </row>
    <row r="28">
      <c r="B28" s="4" t="inlineStr">
        <is>
          <t>Subcontract Markup %</t>
        </is>
      </c>
      <c r="C28" s="9" t="n">
        <v>0.07000000000000001</v>
      </c>
    </row>
    <row r="29">
      <c r="B29" s="4" t="inlineStr">
        <is>
          <t>Project Contingency %</t>
        </is>
      </c>
      <c r="C29" s="9" t="n">
        <v>0.04</v>
      </c>
    </row>
    <row r="30">
      <c r="B30" s="4" t="inlineStr">
        <is>
          <t>Bond % of Bid</t>
        </is>
      </c>
      <c r="C30" s="9" t="n">
        <v>0.012</v>
      </c>
    </row>
    <row r="31">
      <c r="B31" s="4" t="inlineStr">
        <is>
          <t>Project-Level Overhead %</t>
        </is>
      </c>
      <c r="C31" s="9" t="n">
        <v>0.13</v>
      </c>
    </row>
    <row r="32">
      <c r="B32" s="4" t="inlineStr">
        <is>
          <t>Profit %</t>
        </is>
      </c>
      <c r="C32" s="9" t="n">
        <v>0.1</v>
      </c>
    </row>
    <row r="33">
      <c r="C33" s="7" t="inlineStr"/>
    </row>
    <row r="34">
      <c r="B34" s="8" t="inlineStr">
        <is>
          <t>KEY PROJECT ATTRIBUTES</t>
        </is>
      </c>
    </row>
    <row r="35">
      <c r="B35" s="4" t="inlineStr">
        <is>
          <t>Maximum Working Height (ft)</t>
        </is>
      </c>
      <c r="C35" s="6" t="n">
        <v>0</v>
      </c>
    </row>
    <row r="36">
      <c r="B36" s="4" t="inlineStr">
        <is>
          <t>Heights &gt;50ft Premium Trigger?</t>
        </is>
      </c>
      <c r="C36" s="5" t="inlineStr">
        <is>
          <t>No</t>
        </is>
      </c>
    </row>
    <row r="37">
      <c r="B37" s="4" t="inlineStr">
        <is>
          <t>After-Hours / Weekend Work Required?</t>
        </is>
      </c>
      <c r="C37" s="5" t="inlineStr">
        <is>
          <t>No</t>
        </is>
      </c>
    </row>
    <row r="38">
      <c r="B38" s="4" t="inlineStr">
        <is>
          <t>Distance from Shop (miles)</t>
        </is>
      </c>
      <c r="C38" s="6" t="n">
        <v>0</v>
      </c>
    </row>
    <row r="39">
      <c r="B39" s="4" t="inlineStr">
        <is>
          <t>AESS (Architecturally Exposed Steel)?</t>
        </is>
      </c>
      <c r="C39" s="5" t="inlineStr">
        <is>
          <t>No</t>
        </is>
      </c>
    </row>
    <row r="40">
      <c r="B40" s="4" t="inlineStr">
        <is>
          <t>Complex Geometry (curved, slanted, offsets)?</t>
        </is>
      </c>
      <c r="C40" s="5" t="inlineStr">
        <is>
          <t>No</t>
        </is>
      </c>
    </row>
    <row r="41">
      <c r="B41" s="4" t="inlineStr">
        <is>
          <t>Site Access Constraints (urban, occupied, phased)?</t>
        </is>
      </c>
      <c r="C41" s="5" t="inlineStr">
        <is>
          <t>No</t>
        </is>
      </c>
    </row>
    <row r="42">
      <c r="C42" s="7" t="inlineStr"/>
    </row>
    <row r="43">
      <c r="B43" s="8" t="inlineStr">
        <is>
          <t>PRINCIPAL / BIDDER OF RECORD</t>
        </is>
      </c>
    </row>
    <row r="44">
      <c r="B44" s="4" t="inlineStr">
        <is>
          <t>Estimator</t>
        </is>
      </c>
      <c r="C44" s="5" t="inlineStr"/>
    </row>
    <row r="45">
      <c r="B45" s="4" t="inlineStr">
        <is>
          <t>Project Executive (Sub)</t>
        </is>
      </c>
      <c r="C45" s="5" t="inlineStr"/>
    </row>
    <row r="46">
      <c r="B46" s="4" t="inlineStr">
        <is>
          <t>Authorized Signatory</t>
        </is>
      </c>
      <c r="C46" s="5" t="inlineStr"/>
    </row>
  </sheetData>
  <mergeCells count="5">
    <mergeCell ref="B20:C20"/>
    <mergeCell ref="B34:C34"/>
    <mergeCell ref="B14:C14"/>
    <mergeCell ref="B1:C1"/>
    <mergeCell ref="B43:C43"/>
  </mergeCells>
  <dataValidations count="2">
    <dataValidation sqref="C15 C17 C36 C37 C39 C40 C41" showDropDown="0" showInputMessage="0" showErrorMessage="0" allowBlank="0" type="list">
      <formula1>"Yes,No"</formula1>
    </dataValidation>
    <dataValidation sqref="C8" showDropDown="0" showInputMessage="0" showErrorMessage="0" allowBlank="1" type="list">
      <formula1>"Design-Bid-Build,Design-Build,GMP,CM at Risk,IPD,Other"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8" customWidth="1" min="1" max="1"/>
    <col width="16" customWidth="1" min="2" max="2"/>
    <col width="13" customWidth="1" min="3" max="3"/>
    <col width="16" customWidth="1" min="4" max="4"/>
    <col width="16" customWidth="1" min="5" max="5"/>
    <col width="14" customWidth="1" min="6" max="6"/>
    <col width="14" customWidth="1" min="7" max="7"/>
    <col width="30" customWidth="1" min="8" max="8"/>
  </cols>
  <sheetData>
    <row r="1" ht="32" customHeight="1">
      <c r="A1" s="1" t="inlineStr">
        <is>
          <t>WAGE RATES — Ironworker Classifications</t>
        </is>
      </c>
    </row>
    <row r="2" ht="32" customHeight="1">
      <c r="A2" s="11" t="inlineStr">
        <is>
          <t>Bare wage = pre-burden hourly rate. Burdened = bare × (1 + FringeBurden). Billed = burdened × (1 + LaborOH) × (1 + LaborProfit). On prevailing-wage / Davis-Bacon projects, replace bare wage with the wage determination base rate; fringe is paid in cash or to a bona-fide plan.</t>
        </is>
      </c>
    </row>
    <row r="4" ht="30" customHeight="1">
      <c r="A4" s="12" t="inlineStr">
        <is>
          <t>Classification</t>
        </is>
      </c>
      <c r="B4" s="12" t="inlineStr">
        <is>
          <t>Bare Wage ($/hr)</t>
        </is>
      </c>
      <c r="C4" s="12" t="inlineStr">
        <is>
          <t>OT Multiplier</t>
        </is>
      </c>
      <c r="D4" s="12" t="inlineStr">
        <is>
          <t>Burdened ST ($/hr)</t>
        </is>
      </c>
      <c r="E4" s="12" t="inlineStr">
        <is>
          <t>Burdened OT ($/hr)</t>
        </is>
      </c>
      <c r="F4" s="12" t="inlineStr">
        <is>
          <t>Billed ST ($/hr)</t>
        </is>
      </c>
      <c r="G4" s="12" t="inlineStr">
        <is>
          <t>Billed OT ($/hr)</t>
        </is>
      </c>
      <c r="H4" s="12" t="inlineStr">
        <is>
          <t>Notes</t>
        </is>
      </c>
    </row>
    <row r="5">
      <c r="A5" s="13" t="inlineStr">
        <is>
          <t>Foreman / Working Foreman</t>
        </is>
      </c>
      <c r="B5" s="14" t="n">
        <v>58</v>
      </c>
      <c r="C5" s="15" t="n">
        <v>1.5</v>
      </c>
      <c r="D5" s="14">
        <f>B5*(1+FringeBurden)</f>
        <v/>
      </c>
      <c r="E5" s="14">
        <f>IF(IsPrevailingWage="Yes",(B5*C5)+(B5*FringeBurden),B5*C5*(1+FringeBurden))</f>
        <v/>
      </c>
      <c r="F5" s="14">
        <f>D5*(1+LaborOH)*(1+LaborProfit)</f>
        <v/>
      </c>
      <c r="G5" s="14">
        <f>E5*(1+LaborOH)*(1+LaborProfit)</f>
        <v/>
      </c>
      <c r="H5" s="13" t="n"/>
    </row>
    <row r="6">
      <c r="A6" s="13" t="inlineStr">
        <is>
          <t>Journeyman Ironworker — Structural</t>
        </is>
      </c>
      <c r="B6" s="14" t="n">
        <v>46</v>
      </c>
      <c r="C6" s="15" t="n">
        <v>1.5</v>
      </c>
      <c r="D6" s="14">
        <f>B6*(1+FringeBurden)</f>
        <v/>
      </c>
      <c r="E6" s="14">
        <f>IF(IsPrevailingWage="Yes",(B6*C6)+(B6*FringeBurden),B6*C6*(1+FringeBurden))</f>
        <v/>
      </c>
      <c r="F6" s="14">
        <f>D6*(1+LaborOH)*(1+LaborProfit)</f>
        <v/>
      </c>
      <c r="G6" s="14">
        <f>E6*(1+LaborOH)*(1+LaborProfit)</f>
        <v/>
      </c>
      <c r="H6" s="13" t="n"/>
    </row>
    <row r="7">
      <c r="A7" s="13" t="inlineStr">
        <is>
          <t>Journeyman Ironworker — Connector</t>
        </is>
      </c>
      <c r="B7" s="14" t="n">
        <v>48</v>
      </c>
      <c r="C7" s="15" t="n">
        <v>1.5</v>
      </c>
      <c r="D7" s="14">
        <f>B7*(1+FringeBurden)</f>
        <v/>
      </c>
      <c r="E7" s="14">
        <f>IF(IsPrevailingWage="Yes",(B7*C7)+(B7*FringeBurden),B7*C7*(1+FringeBurden))</f>
        <v/>
      </c>
      <c r="F7" s="14">
        <f>D7*(1+LaborOH)*(1+LaborProfit)</f>
        <v/>
      </c>
      <c r="G7" s="14">
        <f>E7*(1+LaborOH)*(1+LaborProfit)</f>
        <v/>
      </c>
      <c r="H7" s="13" t="n"/>
    </row>
    <row r="8">
      <c r="A8" s="13" t="inlineStr">
        <is>
          <t>Journeyman Ironworker — Welder (Certified)</t>
        </is>
      </c>
      <c r="B8" s="14" t="n">
        <v>52</v>
      </c>
      <c r="C8" s="15" t="n">
        <v>1.5</v>
      </c>
      <c r="D8" s="14">
        <f>B8*(1+FringeBurden)</f>
        <v/>
      </c>
      <c r="E8" s="14">
        <f>IF(IsPrevailingWage="Yes",(B8*C8)+(B8*FringeBurden),B8*C8*(1+FringeBurden))</f>
        <v/>
      </c>
      <c r="F8" s="14">
        <f>D8*(1+LaborOH)*(1+LaborProfit)</f>
        <v/>
      </c>
      <c r="G8" s="14">
        <f>E8*(1+LaborOH)*(1+LaborProfit)</f>
        <v/>
      </c>
      <c r="H8" s="13" t="n"/>
    </row>
    <row r="9">
      <c r="A9" s="13" t="inlineStr">
        <is>
          <t>Apprentice Ironworker — Year 4</t>
        </is>
      </c>
      <c r="B9" s="14" t="n">
        <v>36</v>
      </c>
      <c r="C9" s="15" t="n">
        <v>1.5</v>
      </c>
      <c r="D9" s="14">
        <f>B9*(1+FringeBurden)</f>
        <v/>
      </c>
      <c r="E9" s="14">
        <f>IF(IsPrevailingWage="Yes",(B9*C9)+(B9*FringeBurden),B9*C9*(1+FringeBurden))</f>
        <v/>
      </c>
      <c r="F9" s="14">
        <f>D9*(1+LaborOH)*(1+LaborProfit)</f>
        <v/>
      </c>
      <c r="G9" s="14">
        <f>E9*(1+LaborOH)*(1+LaborProfit)</f>
        <v/>
      </c>
      <c r="H9" s="13" t="n"/>
    </row>
    <row r="10">
      <c r="A10" s="13" t="inlineStr">
        <is>
          <t>Apprentice Ironworker — Year 3</t>
        </is>
      </c>
      <c r="B10" s="14" t="n">
        <v>32</v>
      </c>
      <c r="C10" s="15" t="n">
        <v>1.5</v>
      </c>
      <c r="D10" s="14">
        <f>B10*(1+FringeBurden)</f>
        <v/>
      </c>
      <c r="E10" s="14">
        <f>IF(IsPrevailingWage="Yes",(B10*C10)+(B10*FringeBurden),B10*C10*(1+FringeBurden))</f>
        <v/>
      </c>
      <c r="F10" s="14">
        <f>D10*(1+LaborOH)*(1+LaborProfit)</f>
        <v/>
      </c>
      <c r="G10" s="14">
        <f>E10*(1+LaborOH)*(1+LaborProfit)</f>
        <v/>
      </c>
      <c r="H10" s="13" t="n"/>
    </row>
    <row r="11">
      <c r="A11" s="13" t="inlineStr">
        <is>
          <t>Apprentice Ironworker — Year 2</t>
        </is>
      </c>
      <c r="B11" s="14" t="n">
        <v>28</v>
      </c>
      <c r="C11" s="15" t="n">
        <v>1.5</v>
      </c>
      <c r="D11" s="14">
        <f>B11*(1+FringeBurden)</f>
        <v/>
      </c>
      <c r="E11" s="14">
        <f>IF(IsPrevailingWage="Yes",(B11*C11)+(B11*FringeBurden),B11*C11*(1+FringeBurden))</f>
        <v/>
      </c>
      <c r="F11" s="14">
        <f>D11*(1+LaborOH)*(1+LaborProfit)</f>
        <v/>
      </c>
      <c r="G11" s="14">
        <f>E11*(1+LaborOH)*(1+LaborProfit)</f>
        <v/>
      </c>
      <c r="H11" s="13" t="n"/>
    </row>
    <row r="12">
      <c r="A12" s="13" t="inlineStr">
        <is>
          <t>Apprentice Ironworker — Year 1</t>
        </is>
      </c>
      <c r="B12" s="14" t="n">
        <v>24</v>
      </c>
      <c r="C12" s="15" t="n">
        <v>1.5</v>
      </c>
      <c r="D12" s="14">
        <f>B12*(1+FringeBurden)</f>
        <v/>
      </c>
      <c r="E12" s="14">
        <f>IF(IsPrevailingWage="Yes",(B12*C12)+(B12*FringeBurden),B12*C12*(1+FringeBurden))</f>
        <v/>
      </c>
      <c r="F12" s="14">
        <f>D12*(1+LaborOH)*(1+LaborProfit)</f>
        <v/>
      </c>
      <c r="G12" s="14">
        <f>E12*(1+LaborOH)*(1+LaborProfit)</f>
        <v/>
      </c>
      <c r="H12" s="13" t="n"/>
    </row>
    <row r="13">
      <c r="A13" s="13" t="inlineStr">
        <is>
          <t>Crane Operator</t>
        </is>
      </c>
      <c r="B13" s="14" t="n">
        <v>54</v>
      </c>
      <c r="C13" s="15" t="n">
        <v>1.5</v>
      </c>
      <c r="D13" s="14">
        <f>B13*(1+FringeBurden)</f>
        <v/>
      </c>
      <c r="E13" s="14">
        <f>IF(IsPrevailingWage="Yes",(B13*C13)+(B13*FringeBurden),B13*C13*(1+FringeBurden))</f>
        <v/>
      </c>
      <c r="F13" s="14">
        <f>D13*(1+LaborOH)*(1+LaborProfit)</f>
        <v/>
      </c>
      <c r="G13" s="14">
        <f>E13*(1+LaborOH)*(1+LaborProfit)</f>
        <v/>
      </c>
      <c r="H13" s="13" t="n"/>
    </row>
    <row r="14">
      <c r="A14" s="13" t="inlineStr">
        <is>
          <t>Signal Person / Rigger</t>
        </is>
      </c>
      <c r="B14" s="14" t="n">
        <v>44</v>
      </c>
      <c r="C14" s="15" t="n">
        <v>1.5</v>
      </c>
      <c r="D14" s="14">
        <f>B14*(1+FringeBurden)</f>
        <v/>
      </c>
      <c r="E14" s="14">
        <f>IF(IsPrevailingWage="Yes",(B14*C14)+(B14*FringeBurden),B14*C14*(1+FringeBurden))</f>
        <v/>
      </c>
      <c r="F14" s="14">
        <f>D14*(1+LaborOH)*(1+LaborProfit)</f>
        <v/>
      </c>
      <c r="G14" s="14">
        <f>E14*(1+LaborOH)*(1+LaborProfit)</f>
        <v/>
      </c>
      <c r="H14" s="13" t="n"/>
    </row>
    <row r="15">
      <c r="A15" s="13" t="inlineStr">
        <is>
          <t>Decker / Bolter</t>
        </is>
      </c>
      <c r="B15" s="14" t="n">
        <v>42</v>
      </c>
      <c r="C15" s="15" t="n">
        <v>1.5</v>
      </c>
      <c r="D15" s="14">
        <f>B15*(1+FringeBurden)</f>
        <v/>
      </c>
      <c r="E15" s="14">
        <f>IF(IsPrevailingWage="Yes",(B15*C15)+(B15*FringeBurden),B15*C15*(1+FringeBurden))</f>
        <v/>
      </c>
      <c r="F15" s="14">
        <f>D15*(1+LaborOH)*(1+LaborProfit)</f>
        <v/>
      </c>
      <c r="G15" s="14">
        <f>E15*(1+LaborOH)*(1+LaborProfit)</f>
        <v/>
      </c>
      <c r="H15" s="13" t="n"/>
    </row>
    <row r="16">
      <c r="A16" s="13" t="inlineStr">
        <is>
          <t>Detailer (field)</t>
        </is>
      </c>
      <c r="B16" s="14" t="n">
        <v>50</v>
      </c>
      <c r="C16" s="15" t="n">
        <v>1</v>
      </c>
      <c r="D16" s="14">
        <f>B16*(1+FringeBurden)</f>
        <v/>
      </c>
      <c r="E16" s="14">
        <f>IF(IsPrevailingWage="Yes",(B16*C16)+(B16*FringeBurden),B16*C16*(1+FringeBurden))</f>
        <v/>
      </c>
      <c r="F16" s="14">
        <f>D16*(1+LaborOH)*(1+LaborProfit)</f>
        <v/>
      </c>
      <c r="G16" s="14">
        <f>E16*(1+LaborOH)*(1+LaborProfit)</f>
        <v/>
      </c>
      <c r="H16" s="13" t="n"/>
    </row>
    <row r="17">
      <c r="A17" s="13" t="inlineStr">
        <is>
          <t>Field Engineer / Surveyor</t>
        </is>
      </c>
      <c r="B17" s="14" t="n">
        <v>56</v>
      </c>
      <c r="C17" s="15" t="n">
        <v>1</v>
      </c>
      <c r="D17" s="14">
        <f>B17*(1+FringeBurden)</f>
        <v/>
      </c>
      <c r="E17" s="14">
        <f>IF(IsPrevailingWage="Yes",(B17*C17)+(B17*FringeBurden),B17*C17*(1+FringeBurden))</f>
        <v/>
      </c>
      <c r="F17" s="14">
        <f>D17*(1+LaborOH)*(1+LaborProfit)</f>
        <v/>
      </c>
      <c r="G17" s="14">
        <f>E17*(1+LaborOH)*(1+LaborProfit)</f>
        <v/>
      </c>
      <c r="H17" s="13" t="n"/>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showGridLines="0" workbookViewId="0">
      <selection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2" customWidth="1" min="6" max="6"/>
    <col width="14" customWidth="1" min="7" max="7"/>
    <col width="14" customWidth="1" min="8" max="8"/>
    <col width="26" customWidth="1" min="9" max="9"/>
  </cols>
  <sheetData>
    <row r="1" ht="32" customHeight="1">
      <c r="A1" s="1" t="inlineStr">
        <is>
          <t>EQUIPMENT RATES</t>
        </is>
      </c>
    </row>
    <row r="2">
      <c r="A2" s="11" t="inlineStr">
        <is>
          <t>Owned equipment: bare cost + internal markup. Rented: rental rate + small markup for handling. For project-specific bids, replace rental defaults with actual quotes from your crane vendor.</t>
        </is>
      </c>
    </row>
    <row r="4" ht="30" customHeight="1">
      <c r="A4" s="12" t="inlineStr">
        <is>
          <t>Equipment</t>
        </is>
      </c>
      <c r="B4" s="12" t="inlineStr">
        <is>
          <t>Owned / Rented</t>
        </is>
      </c>
      <c r="C4" s="12" t="inlineStr">
        <is>
          <t>Hourly Rate ($)</t>
        </is>
      </c>
      <c r="D4" s="12" t="inlineStr">
        <is>
          <t>Daily Rate ($)</t>
        </is>
      </c>
      <c r="E4" s="12" t="inlineStr">
        <is>
          <t>Weekly Rate ($)</t>
        </is>
      </c>
      <c r="F4" s="12" t="inlineStr">
        <is>
          <t>Markup %</t>
        </is>
      </c>
      <c r="G4" s="12" t="inlineStr">
        <is>
          <t>Billed Daily ($)</t>
        </is>
      </c>
      <c r="H4" s="12" t="inlineStr">
        <is>
          <t>Billed Weekly ($)</t>
        </is>
      </c>
      <c r="I4" s="12" t="inlineStr">
        <is>
          <t>Notes</t>
        </is>
      </c>
    </row>
    <row r="5">
      <c r="A5" s="13" t="inlineStr">
        <is>
          <t>Crawler crane — 80T</t>
        </is>
      </c>
      <c r="B5" s="13" t="inlineStr">
        <is>
          <t>Rented</t>
        </is>
      </c>
      <c r="C5" s="14" t="n">
        <v>185</v>
      </c>
      <c r="D5" s="14" t="n">
        <v>1850</v>
      </c>
      <c r="E5" s="14" t="n">
        <v>7400</v>
      </c>
      <c r="F5" s="16">
        <f>IF(B5="Owned",EquipOwnedMarkup,EquipRentedMarkup)</f>
        <v/>
      </c>
      <c r="G5" s="14">
        <f>D5*(1+F5)</f>
        <v/>
      </c>
      <c r="H5" s="14">
        <f>E5*(1+F5)</f>
        <v/>
      </c>
      <c r="I5" s="13" t="n"/>
    </row>
    <row r="6">
      <c r="A6" s="13" t="inlineStr">
        <is>
          <t>Crawler crane — 110T</t>
        </is>
      </c>
      <c r="B6" s="13" t="inlineStr">
        <is>
          <t>Rented</t>
        </is>
      </c>
      <c r="C6" s="14" t="n">
        <v>235</v>
      </c>
      <c r="D6" s="14" t="n">
        <v>2350</v>
      </c>
      <c r="E6" s="14" t="n">
        <v>9400</v>
      </c>
      <c r="F6" s="16">
        <f>IF(B6="Owned",EquipOwnedMarkup,EquipRentedMarkup)</f>
        <v/>
      </c>
      <c r="G6" s="14">
        <f>D6*(1+F6)</f>
        <v/>
      </c>
      <c r="H6" s="14">
        <f>E6*(1+F6)</f>
        <v/>
      </c>
      <c r="I6" s="13" t="n"/>
    </row>
    <row r="7">
      <c r="A7" s="13" t="inlineStr">
        <is>
          <t>Crawler crane — 150T</t>
        </is>
      </c>
      <c r="B7" s="13" t="inlineStr">
        <is>
          <t>Rented</t>
        </is>
      </c>
      <c r="C7" s="14" t="n">
        <v>310</v>
      </c>
      <c r="D7" s="14" t="n">
        <v>3100</v>
      </c>
      <c r="E7" s="14" t="n">
        <v>12400</v>
      </c>
      <c r="F7" s="16">
        <f>IF(B7="Owned",EquipOwnedMarkup,EquipRentedMarkup)</f>
        <v/>
      </c>
      <c r="G7" s="14">
        <f>D7*(1+F7)</f>
        <v/>
      </c>
      <c r="H7" s="14">
        <f>E7*(1+F7)</f>
        <v/>
      </c>
      <c r="I7" s="13" t="n"/>
    </row>
    <row r="8">
      <c r="A8" s="13" t="inlineStr">
        <is>
          <t>Crawler crane — 200T</t>
        </is>
      </c>
      <c r="B8" s="13" t="inlineStr">
        <is>
          <t>Rented</t>
        </is>
      </c>
      <c r="C8" s="14" t="n">
        <v>395</v>
      </c>
      <c r="D8" s="14" t="n">
        <v>3950</v>
      </c>
      <c r="E8" s="14" t="n">
        <v>15800</v>
      </c>
      <c r="F8" s="16">
        <f>IF(B8="Owned",EquipOwnedMarkup,EquipRentedMarkup)</f>
        <v/>
      </c>
      <c r="G8" s="14">
        <f>D8*(1+F8)</f>
        <v/>
      </c>
      <c r="H8" s="14">
        <f>E8*(1+F8)</f>
        <v/>
      </c>
      <c r="I8" s="13" t="n"/>
    </row>
    <row r="9">
      <c r="A9" s="13" t="inlineStr">
        <is>
          <t>Truck-mounted crane — 50T (RT)</t>
        </is>
      </c>
      <c r="B9" s="13" t="inlineStr">
        <is>
          <t>Rented</t>
        </is>
      </c>
      <c r="C9" s="14" t="n">
        <v>165</v>
      </c>
      <c r="D9" s="14" t="n">
        <v>1650</v>
      </c>
      <c r="E9" s="14" t="n">
        <v>6600</v>
      </c>
      <c r="F9" s="16">
        <f>IF(B9="Owned",EquipOwnedMarkup,EquipRentedMarkup)</f>
        <v/>
      </c>
      <c r="G9" s="14">
        <f>D9*(1+F9)</f>
        <v/>
      </c>
      <c r="H9" s="14">
        <f>E9*(1+F9)</f>
        <v/>
      </c>
      <c r="I9" s="13" t="n"/>
    </row>
    <row r="10">
      <c r="A10" s="13" t="inlineStr">
        <is>
          <t>Truck-mounted crane — 80T (RT)</t>
        </is>
      </c>
      <c r="B10" s="13" t="inlineStr">
        <is>
          <t>Rented</t>
        </is>
      </c>
      <c r="C10" s="14" t="n">
        <v>220</v>
      </c>
      <c r="D10" s="14" t="n">
        <v>2200</v>
      </c>
      <c r="E10" s="14" t="n">
        <v>8800</v>
      </c>
      <c r="F10" s="16">
        <f>IF(B10="Owned",EquipOwnedMarkup,EquipRentedMarkup)</f>
        <v/>
      </c>
      <c r="G10" s="14">
        <f>D10*(1+F10)</f>
        <v/>
      </c>
      <c r="H10" s="14">
        <f>E10*(1+F10)</f>
        <v/>
      </c>
      <c r="I10" s="13" t="n"/>
    </row>
    <row r="11">
      <c r="A11" s="13" t="inlineStr">
        <is>
          <t>Boom truck — 18T (carrydeck)</t>
        </is>
      </c>
      <c r="B11" s="13" t="inlineStr">
        <is>
          <t>Owned</t>
        </is>
      </c>
      <c r="C11" s="14" t="n">
        <v>95</v>
      </c>
      <c r="D11" s="14" t="n">
        <v>950</v>
      </c>
      <c r="E11" s="14" t="n">
        <v>3800</v>
      </c>
      <c r="F11" s="16">
        <f>IF(B11="Owned",EquipOwnedMarkup,EquipRentedMarkup)</f>
        <v/>
      </c>
      <c r="G11" s="14">
        <f>D11*(1+F11)</f>
        <v/>
      </c>
      <c r="H11" s="14">
        <f>E11*(1+F11)</f>
        <v/>
      </c>
      <c r="I11" s="13" t="n"/>
    </row>
    <row r="12">
      <c r="A12" s="13" t="inlineStr">
        <is>
          <t>Telehandler / forklift</t>
        </is>
      </c>
      <c r="B12" s="13" t="inlineStr">
        <is>
          <t>Owned</t>
        </is>
      </c>
      <c r="C12" s="14" t="n">
        <v>72</v>
      </c>
      <c r="D12" s="14" t="n">
        <v>720</v>
      </c>
      <c r="E12" s="14" t="n">
        <v>2880</v>
      </c>
      <c r="F12" s="16">
        <f>IF(B12="Owned",EquipOwnedMarkup,EquipRentedMarkup)</f>
        <v/>
      </c>
      <c r="G12" s="14">
        <f>D12*(1+F12)</f>
        <v/>
      </c>
      <c r="H12" s="14">
        <f>E12*(1+F12)</f>
        <v/>
      </c>
      <c r="I12" s="13" t="n"/>
    </row>
    <row r="13">
      <c r="A13" s="13" t="inlineStr">
        <is>
          <t>Aerial lift — scissor 26'-32'</t>
        </is>
      </c>
      <c r="B13" s="13" t="inlineStr">
        <is>
          <t>Rented</t>
        </is>
      </c>
      <c r="C13" s="14" t="n">
        <v>48</v>
      </c>
      <c r="D13" s="14" t="n">
        <v>480</v>
      </c>
      <c r="E13" s="14" t="n">
        <v>1920</v>
      </c>
      <c r="F13" s="16">
        <f>IF(B13="Owned",EquipOwnedMarkup,EquipRentedMarkup)</f>
        <v/>
      </c>
      <c r="G13" s="14">
        <f>D13*(1+F13)</f>
        <v/>
      </c>
      <c r="H13" s="14">
        <f>E13*(1+F13)</f>
        <v/>
      </c>
      <c r="I13" s="13" t="n"/>
    </row>
    <row r="14">
      <c r="A14" s="13" t="inlineStr">
        <is>
          <t>Aerial lift — boom 60'-85'</t>
        </is>
      </c>
      <c r="B14" s="13" t="inlineStr">
        <is>
          <t>Rented</t>
        </is>
      </c>
      <c r="C14" s="14" t="n">
        <v>98</v>
      </c>
      <c r="D14" s="14" t="n">
        <v>980</v>
      </c>
      <c r="E14" s="14" t="n">
        <v>3920</v>
      </c>
      <c r="F14" s="16">
        <f>IF(B14="Owned",EquipOwnedMarkup,EquipRentedMarkup)</f>
        <v/>
      </c>
      <c r="G14" s="14">
        <f>D14*(1+F14)</f>
        <v/>
      </c>
      <c r="H14" s="14">
        <f>E14*(1+F14)</f>
        <v/>
      </c>
      <c r="I14" s="13" t="n"/>
    </row>
    <row r="15">
      <c r="A15" s="13" t="inlineStr">
        <is>
          <t>Engine-drive welder (lincoln/miller)</t>
        </is>
      </c>
      <c r="B15" s="13" t="inlineStr">
        <is>
          <t>Owned</t>
        </is>
      </c>
      <c r="C15" s="14" t="n">
        <v>18</v>
      </c>
      <c r="D15" s="14" t="n">
        <v>180</v>
      </c>
      <c r="E15" s="14" t="n">
        <v>720</v>
      </c>
      <c r="F15" s="16">
        <f>IF(B15="Owned",EquipOwnedMarkup,EquipRentedMarkup)</f>
        <v/>
      </c>
      <c r="G15" s="14">
        <f>D15*(1+F15)</f>
        <v/>
      </c>
      <c r="H15" s="14">
        <f>E15*(1+F15)</f>
        <v/>
      </c>
      <c r="I15" s="13" t="n"/>
    </row>
    <row r="16">
      <c r="A16" s="13" t="inlineStr">
        <is>
          <t>Air compressor — 185 cfm</t>
        </is>
      </c>
      <c r="B16" s="13" t="inlineStr">
        <is>
          <t>Owned</t>
        </is>
      </c>
      <c r="C16" s="14" t="n">
        <v>14</v>
      </c>
      <c r="D16" s="14" t="n">
        <v>140</v>
      </c>
      <c r="E16" s="14" t="n">
        <v>560</v>
      </c>
      <c r="F16" s="16">
        <f>IF(B16="Owned",EquipOwnedMarkup,EquipRentedMarkup)</f>
        <v/>
      </c>
      <c r="G16" s="14">
        <f>D16*(1+F16)</f>
        <v/>
      </c>
      <c r="H16" s="14">
        <f>E16*(1+F16)</f>
        <v/>
      </c>
      <c r="I16" s="13" t="n"/>
    </row>
    <row r="17">
      <c r="A17" s="13" t="inlineStr">
        <is>
          <t>Generator — 25 kW</t>
        </is>
      </c>
      <c r="B17" s="13" t="inlineStr">
        <is>
          <t>Owned</t>
        </is>
      </c>
      <c r="C17" s="14" t="n">
        <v>12</v>
      </c>
      <c r="D17" s="14" t="n">
        <v>120</v>
      </c>
      <c r="E17" s="14" t="n">
        <v>480</v>
      </c>
      <c r="F17" s="16">
        <f>IF(B17="Owned",EquipOwnedMarkup,EquipRentedMarkup)</f>
        <v/>
      </c>
      <c r="G17" s="14">
        <f>D17*(1+F17)</f>
        <v/>
      </c>
      <c r="H17" s="14">
        <f>E17*(1+F17)</f>
        <v/>
      </c>
      <c r="I17" s="13" t="n"/>
    </row>
  </sheetData>
  <mergeCells count="2">
    <mergeCell ref="A1:I1"/>
    <mergeCell ref="A2:I2"/>
  </mergeCells>
  <dataValidations count="1">
    <dataValidation sqref="B5:B22" showDropDown="0" showInputMessage="0" showErrorMessage="0" allowBlank="1" type="list">
      <formula1>"Owned,Rented"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6"/>
  <sheetViews>
    <sheetView showGridLines="0" workbookViewId="0">
      <selection activeCell="A1" sqref="A1"/>
    </sheetView>
  </sheetViews>
  <sheetFormatPr baseColWidth="8" defaultRowHeight="15"/>
  <cols>
    <col width="7" customWidth="1" min="1" max="1"/>
    <col width="12" customWidth="1" min="2" max="2"/>
    <col width="38" customWidth="1" min="3" max="3"/>
    <col width="8" customWidth="1" min="4" max="4"/>
    <col width="12" customWidth="1" min="5" max="5"/>
    <col width="14" customWidth="1" min="6" max="6"/>
    <col width="16" customWidth="1" min="7" max="7"/>
    <col width="11" customWidth="1" min="8" max="8"/>
    <col width="16" customWidth="1" min="9" max="9"/>
    <col width="22" customWidth="1" min="10" max="10"/>
  </cols>
  <sheetData>
    <row r="1" ht="32" customHeight="1">
      <c r="A1" s="1" t="inlineStr">
        <is>
          <t>MATERIAL TAKEOFF — CSI-Coded</t>
        </is>
      </c>
    </row>
    <row r="2" ht="32" customHeight="1">
      <c r="A2" s="11" t="inlineStr">
        <is>
          <t>Enter one row per CSI-coded material/system. UOM examples: TON (structural steel), EA (joists), SF (decking), LF (railings), LB (bolts), GAL (paint). Materials supplied by erector — if the fabricator supplies material direct, exclude from this tab and note in Assumptions.</t>
        </is>
      </c>
    </row>
    <row r="4" ht="30" customHeight="1">
      <c r="A4" s="12" t="inlineStr">
        <is>
          <t>Line #</t>
        </is>
      </c>
      <c r="B4" s="12" t="inlineStr">
        <is>
          <t>CSI Section</t>
        </is>
      </c>
      <c r="C4" s="12" t="inlineStr">
        <is>
          <t>Description</t>
        </is>
      </c>
      <c r="D4" s="12" t="inlineStr">
        <is>
          <t>UOM</t>
        </is>
      </c>
      <c r="E4" s="12" t="inlineStr">
        <is>
          <t>Quantity</t>
        </is>
      </c>
      <c r="F4" s="12" t="inlineStr">
        <is>
          <t>Unit Cost ($)</t>
        </is>
      </c>
      <c r="G4" s="12" t="inlineStr">
        <is>
          <t>Material Subtotal ($)</t>
        </is>
      </c>
      <c r="H4" s="12" t="inlineStr">
        <is>
          <t>Markup %</t>
        </is>
      </c>
      <c r="I4" s="12" t="inlineStr">
        <is>
          <t>Material Total ($)</t>
        </is>
      </c>
      <c r="J4" s="12" t="inlineStr">
        <is>
          <t>Notes</t>
        </is>
      </c>
    </row>
    <row r="5">
      <c r="A5" s="13">
        <f>IF(C5="","",ROW()-4)</f>
        <v/>
      </c>
      <c r="B5" s="13" t="inlineStr">
        <is>
          <t>05 12 23</t>
        </is>
      </c>
      <c r="C5" s="13" t="inlineStr">
        <is>
          <t>Structural Steel — Wide Flange (W shapes)</t>
        </is>
      </c>
      <c r="D5" s="13" t="inlineStr">
        <is>
          <t>TON</t>
        </is>
      </c>
      <c r="E5" s="15" t="inlineStr"/>
      <c r="F5" s="14" t="inlineStr"/>
      <c r="G5" s="14">
        <f>IFERROR(E5*F5,0)</f>
        <v/>
      </c>
      <c r="H5" s="16">
        <f>MaterialMarkup</f>
        <v/>
      </c>
      <c r="I5" s="14">
        <f>IFERROR(G5*(1+H5),0)</f>
        <v/>
      </c>
      <c r="J5" s="13" t="n"/>
    </row>
    <row r="6">
      <c r="A6" s="13">
        <f>IF(C6="","",ROW()-4)</f>
        <v/>
      </c>
      <c r="B6" s="13" t="inlineStr">
        <is>
          <t>05 12 23</t>
        </is>
      </c>
      <c r="C6" s="13" t="inlineStr">
        <is>
          <t>Structural Steel — HSS / Pipe</t>
        </is>
      </c>
      <c r="D6" s="13" t="inlineStr">
        <is>
          <t>TON</t>
        </is>
      </c>
      <c r="E6" s="15" t="inlineStr"/>
      <c r="F6" s="14" t="inlineStr"/>
      <c r="G6" s="14">
        <f>IFERROR(E6*F6,0)</f>
        <v/>
      </c>
      <c r="H6" s="16">
        <f>MaterialMarkup</f>
        <v/>
      </c>
      <c r="I6" s="14">
        <f>IFERROR(G6*(1+H6),0)</f>
        <v/>
      </c>
      <c r="J6" s="13" t="n"/>
    </row>
    <row r="7">
      <c r="A7" s="13">
        <f>IF(C7="","",ROW()-4)</f>
        <v/>
      </c>
      <c r="B7" s="13" t="inlineStr">
        <is>
          <t>05 12 23</t>
        </is>
      </c>
      <c r="C7" s="13" t="inlineStr">
        <is>
          <t>Structural Steel — Channels / Angles / MC</t>
        </is>
      </c>
      <c r="D7" s="13" t="inlineStr">
        <is>
          <t>TON</t>
        </is>
      </c>
      <c r="E7" s="15" t="inlineStr"/>
      <c r="F7" s="14" t="inlineStr"/>
      <c r="G7" s="14">
        <f>IFERROR(E7*F7,0)</f>
        <v/>
      </c>
      <c r="H7" s="16">
        <f>MaterialMarkup</f>
        <v/>
      </c>
      <c r="I7" s="14">
        <f>IFERROR(G7*(1+H7),0)</f>
        <v/>
      </c>
      <c r="J7" s="13" t="n"/>
    </row>
    <row r="8">
      <c r="A8" s="13">
        <f>IF(C8="","",ROW()-4)</f>
        <v/>
      </c>
      <c r="B8" s="13" t="inlineStr">
        <is>
          <t>05 12 23</t>
        </is>
      </c>
      <c r="C8" s="13" t="inlineStr">
        <is>
          <t>Structural Steel — Plate / Bent Plate</t>
        </is>
      </c>
      <c r="D8" s="13" t="inlineStr">
        <is>
          <t>TON</t>
        </is>
      </c>
      <c r="E8" s="15" t="inlineStr"/>
      <c r="F8" s="14" t="inlineStr"/>
      <c r="G8" s="14">
        <f>IFERROR(E8*F8,0)</f>
        <v/>
      </c>
      <c r="H8" s="16">
        <f>MaterialMarkup</f>
        <v/>
      </c>
      <c r="I8" s="14">
        <f>IFERROR(G8*(1+H8),0)</f>
        <v/>
      </c>
      <c r="J8" s="13" t="n"/>
    </row>
    <row r="9">
      <c r="A9" s="13">
        <f>IF(C9="","",ROW()-4)</f>
        <v/>
      </c>
      <c r="B9" s="13" t="inlineStr">
        <is>
          <t>05 12 33</t>
        </is>
      </c>
      <c r="C9" s="13" t="inlineStr">
        <is>
          <t>AESS — Architecturally Exposed Steel (premium)</t>
        </is>
      </c>
      <c r="D9" s="13" t="inlineStr">
        <is>
          <t>TON</t>
        </is>
      </c>
      <c r="E9" s="15" t="inlineStr"/>
      <c r="F9" s="14" t="inlineStr"/>
      <c r="G9" s="14">
        <f>IFERROR(E9*F9,0)</f>
        <v/>
      </c>
      <c r="H9" s="16">
        <f>MaterialMarkup</f>
        <v/>
      </c>
      <c r="I9" s="14">
        <f>IFERROR(G9*(1+H9),0)</f>
        <v/>
      </c>
      <c r="J9" s="13" t="n"/>
    </row>
    <row r="10">
      <c r="A10" s="13">
        <f>IF(C10="","",ROW()-4)</f>
        <v/>
      </c>
      <c r="B10" s="13" t="inlineStr">
        <is>
          <t>05 12 23</t>
        </is>
      </c>
      <c r="C10" s="13" t="inlineStr">
        <is>
          <t>High-Strength Bolts — A325 (3/4" ASTM F3125)</t>
        </is>
      </c>
      <c r="D10" s="13" t="inlineStr">
        <is>
          <t>EA</t>
        </is>
      </c>
      <c r="E10" s="15" t="inlineStr"/>
      <c r="F10" s="14" t="inlineStr"/>
      <c r="G10" s="14">
        <f>IFERROR(E10*F10,0)</f>
        <v/>
      </c>
      <c r="H10" s="16">
        <f>MaterialMarkup</f>
        <v/>
      </c>
      <c r="I10" s="14">
        <f>IFERROR(G10*(1+H10),0)</f>
        <v/>
      </c>
      <c r="J10" s="13" t="n"/>
    </row>
    <row r="11">
      <c r="A11" s="13">
        <f>IF(C11="","",ROW()-4)</f>
        <v/>
      </c>
      <c r="B11" s="13" t="inlineStr">
        <is>
          <t>05 12 23</t>
        </is>
      </c>
      <c r="C11" s="13" t="inlineStr">
        <is>
          <t>High-Strength Bolts — A325 (7/8" ASTM F3125)</t>
        </is>
      </c>
      <c r="D11" s="13" t="inlineStr">
        <is>
          <t>EA</t>
        </is>
      </c>
      <c r="E11" s="15" t="inlineStr"/>
      <c r="F11" s="14" t="inlineStr"/>
      <c r="G11" s="14">
        <f>IFERROR(E11*F11,0)</f>
        <v/>
      </c>
      <c r="H11" s="16">
        <f>MaterialMarkup</f>
        <v/>
      </c>
      <c r="I11" s="14">
        <f>IFERROR(G11*(1+H11),0)</f>
        <v/>
      </c>
      <c r="J11" s="13" t="n"/>
    </row>
    <row r="12">
      <c r="A12" s="13">
        <f>IF(C12="","",ROW()-4)</f>
        <v/>
      </c>
      <c r="B12" s="13" t="inlineStr">
        <is>
          <t>05 12 23</t>
        </is>
      </c>
      <c r="C12" s="13" t="inlineStr">
        <is>
          <t>High-Strength Bolts — A490 (1" ASTM F3125)</t>
        </is>
      </c>
      <c r="D12" s="13" t="inlineStr">
        <is>
          <t>EA</t>
        </is>
      </c>
      <c r="E12" s="15" t="inlineStr"/>
      <c r="F12" s="14" t="inlineStr"/>
      <c r="G12" s="14">
        <f>IFERROR(E12*F12,0)</f>
        <v/>
      </c>
      <c r="H12" s="16">
        <f>MaterialMarkup</f>
        <v/>
      </c>
      <c r="I12" s="14">
        <f>IFERROR(G12*(1+H12),0)</f>
        <v/>
      </c>
      <c r="J12" s="13" t="n"/>
    </row>
    <row r="13">
      <c r="A13" s="13">
        <f>IF(C13="","",ROW()-4)</f>
        <v/>
      </c>
      <c r="B13" s="13" t="inlineStr">
        <is>
          <t>05 12 23</t>
        </is>
      </c>
      <c r="C13" s="13" t="inlineStr">
        <is>
          <t>Tension-Control Bolts — F1852 / F2280</t>
        </is>
      </c>
      <c r="D13" s="13" t="inlineStr">
        <is>
          <t>EA</t>
        </is>
      </c>
      <c r="E13" s="15" t="inlineStr"/>
      <c r="F13" s="14" t="inlineStr"/>
      <c r="G13" s="14">
        <f>IFERROR(E13*F13,0)</f>
        <v/>
      </c>
      <c r="H13" s="16">
        <f>MaterialMarkup</f>
        <v/>
      </c>
      <c r="I13" s="14">
        <f>IFERROR(G13*(1+H13),0)</f>
        <v/>
      </c>
      <c r="J13" s="13" t="n"/>
    </row>
    <row r="14">
      <c r="A14" s="13">
        <f>IF(C14="","",ROW()-4)</f>
        <v/>
      </c>
      <c r="B14" s="13" t="inlineStr">
        <is>
          <t>05 12 23</t>
        </is>
      </c>
      <c r="C14" s="13" t="inlineStr">
        <is>
          <t>Anchor Rods — F1554 Grade 36</t>
        </is>
      </c>
      <c r="D14" s="13" t="inlineStr">
        <is>
          <t>EA</t>
        </is>
      </c>
      <c r="E14" s="15" t="inlineStr"/>
      <c r="F14" s="14" t="inlineStr"/>
      <c r="G14" s="14">
        <f>IFERROR(E14*F14,0)</f>
        <v/>
      </c>
      <c r="H14" s="16">
        <f>MaterialMarkup</f>
        <v/>
      </c>
      <c r="I14" s="14">
        <f>IFERROR(G14*(1+H14),0)</f>
        <v/>
      </c>
      <c r="J14" s="13" t="n"/>
    </row>
    <row r="15">
      <c r="A15" s="13">
        <f>IF(C15="","",ROW()-4)</f>
        <v/>
      </c>
      <c r="B15" s="13" t="inlineStr">
        <is>
          <t>05 21 19</t>
        </is>
      </c>
      <c r="C15" s="13" t="inlineStr">
        <is>
          <t>Open-Web Steel Joists — K-Series</t>
        </is>
      </c>
      <c r="D15" s="13" t="inlineStr">
        <is>
          <t>EA</t>
        </is>
      </c>
      <c r="E15" s="15" t="inlineStr"/>
      <c r="F15" s="14" t="inlineStr"/>
      <c r="G15" s="14">
        <f>IFERROR(E15*F15,0)</f>
        <v/>
      </c>
      <c r="H15" s="16">
        <f>MaterialMarkup</f>
        <v/>
      </c>
      <c r="I15" s="14">
        <f>IFERROR(G15*(1+H15),0)</f>
        <v/>
      </c>
      <c r="J15" s="13" t="n"/>
    </row>
    <row r="16">
      <c r="A16" s="13">
        <f>IF(C16="","",ROW()-4)</f>
        <v/>
      </c>
      <c r="B16" s="13" t="inlineStr">
        <is>
          <t>05 21 19</t>
        </is>
      </c>
      <c r="C16" s="13" t="inlineStr">
        <is>
          <t>Open-Web Steel Joists — LH-Series</t>
        </is>
      </c>
      <c r="D16" s="13" t="inlineStr">
        <is>
          <t>EA</t>
        </is>
      </c>
      <c r="E16" s="15" t="inlineStr"/>
      <c r="F16" s="14" t="inlineStr"/>
      <c r="G16" s="14">
        <f>IFERROR(E16*F16,0)</f>
        <v/>
      </c>
      <c r="H16" s="16">
        <f>MaterialMarkup</f>
        <v/>
      </c>
      <c r="I16" s="14">
        <f>IFERROR(G16*(1+H16),0)</f>
        <v/>
      </c>
      <c r="J16" s="13" t="n"/>
    </row>
    <row r="17">
      <c r="A17" s="13">
        <f>IF(C17="","",ROW()-4)</f>
        <v/>
      </c>
      <c r="B17" s="13" t="inlineStr">
        <is>
          <t>05 21 23</t>
        </is>
      </c>
      <c r="C17" s="13" t="inlineStr">
        <is>
          <t>Joist Girders</t>
        </is>
      </c>
      <c r="D17" s="13" t="inlineStr">
        <is>
          <t>EA</t>
        </is>
      </c>
      <c r="E17" s="15" t="inlineStr"/>
      <c r="F17" s="14" t="inlineStr"/>
      <c r="G17" s="14">
        <f>IFERROR(E17*F17,0)</f>
        <v/>
      </c>
      <c r="H17" s="16">
        <f>MaterialMarkup</f>
        <v/>
      </c>
      <c r="I17" s="14">
        <f>IFERROR(G17*(1+H17),0)</f>
        <v/>
      </c>
      <c r="J17" s="13" t="n"/>
    </row>
    <row r="18">
      <c r="A18" s="13">
        <f>IF(C18="","",ROW()-4)</f>
        <v/>
      </c>
      <c r="B18" s="13" t="inlineStr">
        <is>
          <t>05 31 13</t>
        </is>
      </c>
      <c r="C18" s="13" t="inlineStr">
        <is>
          <t>Steel Floor Deck — 1.5VL Composite</t>
        </is>
      </c>
      <c r="D18" s="13" t="inlineStr">
        <is>
          <t>SF</t>
        </is>
      </c>
      <c r="E18" s="15" t="inlineStr"/>
      <c r="F18" s="14" t="inlineStr"/>
      <c r="G18" s="14">
        <f>IFERROR(E18*F18,0)</f>
        <v/>
      </c>
      <c r="H18" s="16">
        <f>MaterialMarkup</f>
        <v/>
      </c>
      <c r="I18" s="14">
        <f>IFERROR(G18*(1+H18),0)</f>
        <v/>
      </c>
      <c r="J18" s="13" t="n"/>
    </row>
    <row r="19">
      <c r="A19" s="13">
        <f>IF(C19="","",ROW()-4)</f>
        <v/>
      </c>
      <c r="B19" s="13" t="inlineStr">
        <is>
          <t>05 31 13</t>
        </is>
      </c>
      <c r="C19" s="13" t="inlineStr">
        <is>
          <t>Steel Floor Deck — 2VL Composite</t>
        </is>
      </c>
      <c r="D19" s="13" t="inlineStr">
        <is>
          <t>SF</t>
        </is>
      </c>
      <c r="E19" s="15" t="inlineStr"/>
      <c r="F19" s="14" t="inlineStr"/>
      <c r="G19" s="14">
        <f>IFERROR(E19*F19,0)</f>
        <v/>
      </c>
      <c r="H19" s="16">
        <f>MaterialMarkup</f>
        <v/>
      </c>
      <c r="I19" s="14">
        <f>IFERROR(G19*(1+H19),0)</f>
        <v/>
      </c>
      <c r="J19" s="13" t="n"/>
    </row>
    <row r="20">
      <c r="A20" s="13">
        <f>IF(C20="","",ROW()-4)</f>
        <v/>
      </c>
      <c r="B20" s="13" t="inlineStr">
        <is>
          <t>05 31 13</t>
        </is>
      </c>
      <c r="C20" s="13" t="inlineStr">
        <is>
          <t>Steel Floor Deck — 3VL Composite</t>
        </is>
      </c>
      <c r="D20" s="13" t="inlineStr">
        <is>
          <t>SF</t>
        </is>
      </c>
      <c r="E20" s="15" t="inlineStr"/>
      <c r="F20" s="14" t="inlineStr"/>
      <c r="G20" s="14">
        <f>IFERROR(E20*F20,0)</f>
        <v/>
      </c>
      <c r="H20" s="16">
        <f>MaterialMarkup</f>
        <v/>
      </c>
      <c r="I20" s="14">
        <f>IFERROR(G20*(1+H20),0)</f>
        <v/>
      </c>
      <c r="J20" s="13" t="n"/>
    </row>
    <row r="21">
      <c r="A21" s="13">
        <f>IF(C21="","",ROW()-4)</f>
        <v/>
      </c>
      <c r="B21" s="13" t="inlineStr">
        <is>
          <t>05 31 13</t>
        </is>
      </c>
      <c r="C21" s="13" t="inlineStr">
        <is>
          <t>Shear Studs — 3/4" × 4-1/2" Headed</t>
        </is>
      </c>
      <c r="D21" s="13" t="inlineStr">
        <is>
          <t>EA</t>
        </is>
      </c>
      <c r="E21" s="15" t="inlineStr"/>
      <c r="F21" s="14" t="inlineStr"/>
      <c r="G21" s="14">
        <f>IFERROR(E21*F21,0)</f>
        <v/>
      </c>
      <c r="H21" s="16">
        <f>MaterialMarkup</f>
        <v/>
      </c>
      <c r="I21" s="14">
        <f>IFERROR(G21*(1+H21),0)</f>
        <v/>
      </c>
      <c r="J21" s="13" t="n"/>
    </row>
    <row r="22">
      <c r="A22" s="13">
        <f>IF(C22="","",ROW()-4)</f>
        <v/>
      </c>
      <c r="B22" s="13" t="inlineStr">
        <is>
          <t>05 31 23</t>
        </is>
      </c>
      <c r="C22" s="13" t="inlineStr">
        <is>
          <t>Steel Roof Deck — 1.5B Wide-Rib</t>
        </is>
      </c>
      <c r="D22" s="13" t="inlineStr">
        <is>
          <t>SF</t>
        </is>
      </c>
      <c r="E22" s="15" t="inlineStr"/>
      <c r="F22" s="14" t="inlineStr"/>
      <c r="G22" s="14">
        <f>IFERROR(E22*F22,0)</f>
        <v/>
      </c>
      <c r="H22" s="16">
        <f>MaterialMarkup</f>
        <v/>
      </c>
      <c r="I22" s="14">
        <f>IFERROR(G22*(1+H22),0)</f>
        <v/>
      </c>
      <c r="J22" s="13" t="n"/>
    </row>
    <row r="23">
      <c r="A23" s="13">
        <f>IF(C23="","",ROW()-4)</f>
        <v/>
      </c>
      <c r="B23" s="13" t="inlineStr">
        <is>
          <t>05 31 23</t>
        </is>
      </c>
      <c r="C23" s="13" t="inlineStr">
        <is>
          <t>Steel Roof Deck — 1.5BR Wide-Rib Acoustic</t>
        </is>
      </c>
      <c r="D23" s="13" t="inlineStr">
        <is>
          <t>SF</t>
        </is>
      </c>
      <c r="E23" s="15" t="inlineStr"/>
      <c r="F23" s="14" t="inlineStr"/>
      <c r="G23" s="14">
        <f>IFERROR(E23*F23,0)</f>
        <v/>
      </c>
      <c r="H23" s="16">
        <f>MaterialMarkup</f>
        <v/>
      </c>
      <c r="I23" s="14">
        <f>IFERROR(G23*(1+H23),0)</f>
        <v/>
      </c>
      <c r="J23" s="13" t="n"/>
    </row>
    <row r="24">
      <c r="A24" s="13">
        <f>IF(C24="","",ROW()-4)</f>
        <v/>
      </c>
      <c r="B24" s="13" t="inlineStr">
        <is>
          <t>05 31 23</t>
        </is>
      </c>
      <c r="C24" s="13" t="inlineStr">
        <is>
          <t>Steel Roof Deck — 3B Long-Span</t>
        </is>
      </c>
      <c r="D24" s="13" t="inlineStr">
        <is>
          <t>SF</t>
        </is>
      </c>
      <c r="E24" s="15" t="inlineStr"/>
      <c r="F24" s="14" t="inlineStr"/>
      <c r="G24" s="14">
        <f>IFERROR(E24*F24,0)</f>
        <v/>
      </c>
      <c r="H24" s="16">
        <f>MaterialMarkup</f>
        <v/>
      </c>
      <c r="I24" s="14">
        <f>IFERROR(G24*(1+H24),0)</f>
        <v/>
      </c>
      <c r="J24" s="13" t="n"/>
    </row>
    <row r="25">
      <c r="A25" s="13">
        <f>IF(C25="","",ROW()-4)</f>
        <v/>
      </c>
      <c r="B25" s="13" t="inlineStr">
        <is>
          <t>05 50 00</t>
        </is>
      </c>
      <c r="C25" s="13" t="inlineStr">
        <is>
          <t>Misc Metals — Embed Plates</t>
        </is>
      </c>
      <c r="D25" s="13" t="inlineStr">
        <is>
          <t>EA</t>
        </is>
      </c>
      <c r="E25" s="15" t="inlineStr"/>
      <c r="F25" s="14" t="inlineStr"/>
      <c r="G25" s="14">
        <f>IFERROR(E25*F25,0)</f>
        <v/>
      </c>
      <c r="H25" s="16">
        <f>MaterialMarkup</f>
        <v/>
      </c>
      <c r="I25" s="14">
        <f>IFERROR(G25*(1+H25),0)</f>
        <v/>
      </c>
      <c r="J25" s="13" t="n"/>
    </row>
    <row r="26">
      <c r="A26" s="13">
        <f>IF(C26="","",ROW()-4)</f>
        <v/>
      </c>
      <c r="B26" s="13" t="inlineStr">
        <is>
          <t>05 50 00</t>
        </is>
      </c>
      <c r="C26" s="13" t="inlineStr">
        <is>
          <t>Misc Metals — Lintels</t>
        </is>
      </c>
      <c r="D26" s="13" t="inlineStr">
        <is>
          <t>LF</t>
        </is>
      </c>
      <c r="E26" s="15" t="inlineStr"/>
      <c r="F26" s="14" t="inlineStr"/>
      <c r="G26" s="14">
        <f>IFERROR(E26*F26,0)</f>
        <v/>
      </c>
      <c r="H26" s="16">
        <f>MaterialMarkup</f>
        <v/>
      </c>
      <c r="I26" s="14">
        <f>IFERROR(G26*(1+H26),0)</f>
        <v/>
      </c>
      <c r="J26" s="13" t="n"/>
    </row>
    <row r="27">
      <c r="A27" s="13">
        <f>IF(C27="","",ROW()-4)</f>
        <v/>
      </c>
      <c r="B27" s="13" t="inlineStr">
        <is>
          <t>05 51 13</t>
        </is>
      </c>
      <c r="C27" s="13" t="inlineStr">
        <is>
          <t>Metal Pan Stairs — Risers</t>
        </is>
      </c>
      <c r="D27" s="13" t="inlineStr">
        <is>
          <t>EA</t>
        </is>
      </c>
      <c r="E27" s="15" t="inlineStr"/>
      <c r="F27" s="14" t="inlineStr"/>
      <c r="G27" s="14">
        <f>IFERROR(E27*F27,0)</f>
        <v/>
      </c>
      <c r="H27" s="16">
        <f>MaterialMarkup</f>
        <v/>
      </c>
      <c r="I27" s="14">
        <f>IFERROR(G27*(1+H27),0)</f>
        <v/>
      </c>
      <c r="J27" s="13" t="n"/>
    </row>
    <row r="28">
      <c r="A28" s="13">
        <f>IF(C28="","",ROW()-4)</f>
        <v/>
      </c>
      <c r="B28" s="13" t="inlineStr">
        <is>
          <t>05 51 13</t>
        </is>
      </c>
      <c r="C28" s="13" t="inlineStr">
        <is>
          <t>Stair Stringers / Landings</t>
        </is>
      </c>
      <c r="D28" s="13" t="inlineStr">
        <is>
          <t>EA</t>
        </is>
      </c>
      <c r="E28" s="15" t="inlineStr"/>
      <c r="F28" s="14" t="inlineStr"/>
      <c r="G28" s="14">
        <f>IFERROR(E28*F28,0)</f>
        <v/>
      </c>
      <c r="H28" s="16">
        <f>MaterialMarkup</f>
        <v/>
      </c>
      <c r="I28" s="14">
        <f>IFERROR(G28*(1+H28),0)</f>
        <v/>
      </c>
      <c r="J28" s="13" t="n"/>
    </row>
    <row r="29">
      <c r="A29" s="13">
        <f>IF(C29="","",ROW()-4)</f>
        <v/>
      </c>
      <c r="B29" s="13" t="inlineStr">
        <is>
          <t>05 52 13</t>
        </is>
      </c>
      <c r="C29" s="13" t="inlineStr">
        <is>
          <t>Pipe Railings — Stair Rail</t>
        </is>
      </c>
      <c r="D29" s="13" t="inlineStr">
        <is>
          <t>LF</t>
        </is>
      </c>
      <c r="E29" s="15" t="inlineStr"/>
      <c r="F29" s="14" t="inlineStr"/>
      <c r="G29" s="14">
        <f>IFERROR(E29*F29,0)</f>
        <v/>
      </c>
      <c r="H29" s="16">
        <f>MaterialMarkup</f>
        <v/>
      </c>
      <c r="I29" s="14">
        <f>IFERROR(G29*(1+H29),0)</f>
        <v/>
      </c>
      <c r="J29" s="13" t="n"/>
    </row>
    <row r="30">
      <c r="A30" s="13">
        <f>IF(C30="","",ROW()-4)</f>
        <v/>
      </c>
      <c r="B30" s="13" t="inlineStr">
        <is>
          <t>05 52 13</t>
        </is>
      </c>
      <c r="C30" s="13" t="inlineStr">
        <is>
          <t>Pipe Railings — Roof Edge / Platform</t>
        </is>
      </c>
      <c r="D30" s="13" t="inlineStr">
        <is>
          <t>LF</t>
        </is>
      </c>
      <c r="E30" s="15" t="inlineStr"/>
      <c r="F30" s="14" t="inlineStr"/>
      <c r="G30" s="14">
        <f>IFERROR(E30*F30,0)</f>
        <v/>
      </c>
      <c r="H30" s="16">
        <f>MaterialMarkup</f>
        <v/>
      </c>
      <c r="I30" s="14">
        <f>IFERROR(G30*(1+H30),0)</f>
        <v/>
      </c>
      <c r="J30" s="13" t="n"/>
    </row>
    <row r="31">
      <c r="A31" s="13">
        <f>IF(C31="","",ROW()-4)</f>
        <v/>
      </c>
      <c r="B31" s="13" t="inlineStr">
        <is>
          <t>09 91 00</t>
        </is>
      </c>
      <c r="C31" s="13" t="inlineStr">
        <is>
          <t>Touch-Up Primer (welds + abrasions)</t>
        </is>
      </c>
      <c r="D31" s="13" t="inlineStr">
        <is>
          <t>GAL</t>
        </is>
      </c>
      <c r="E31" s="15" t="inlineStr"/>
      <c r="F31" s="14" t="inlineStr"/>
      <c r="G31" s="14">
        <f>IFERROR(E31*F31,0)</f>
        <v/>
      </c>
      <c r="H31" s="16">
        <f>MaterialMarkup</f>
        <v/>
      </c>
      <c r="I31" s="14">
        <f>IFERROR(G31*(1+H31),0)</f>
        <v/>
      </c>
      <c r="J31" s="13" t="n"/>
    </row>
    <row r="32">
      <c r="A32" s="13">
        <f>IF(C32="","",ROW()-4)</f>
        <v/>
      </c>
      <c r="B32" s="13" t="inlineStr"/>
      <c r="C32" s="13" t="inlineStr"/>
      <c r="D32" s="13" t="inlineStr"/>
      <c r="E32" s="15" t="inlineStr"/>
      <c r="F32" s="14" t="inlineStr"/>
      <c r="G32" s="14">
        <f>IFERROR(E32*F32,0)</f>
        <v/>
      </c>
      <c r="H32" s="16">
        <f>MaterialMarkup</f>
        <v/>
      </c>
      <c r="I32" s="14">
        <f>IFERROR(G32*(1+H32),0)</f>
        <v/>
      </c>
      <c r="J32" s="13" t="n"/>
    </row>
    <row r="33">
      <c r="A33" s="13">
        <f>IF(C33="","",ROW()-4)</f>
        <v/>
      </c>
      <c r="B33" s="13" t="inlineStr"/>
      <c r="C33" s="13" t="inlineStr"/>
      <c r="D33" s="13" t="inlineStr"/>
      <c r="E33" s="15" t="inlineStr"/>
      <c r="F33" s="14" t="inlineStr"/>
      <c r="G33" s="14">
        <f>IFERROR(E33*F33,0)</f>
        <v/>
      </c>
      <c r="H33" s="16">
        <f>MaterialMarkup</f>
        <v/>
      </c>
      <c r="I33" s="14">
        <f>IFERROR(G33*(1+H33),0)</f>
        <v/>
      </c>
      <c r="J33" s="13" t="n"/>
    </row>
    <row r="34">
      <c r="A34" s="13">
        <f>IF(C34="","",ROW()-4)</f>
        <v/>
      </c>
      <c r="B34" s="13" t="inlineStr"/>
      <c r="C34" s="13" t="inlineStr"/>
      <c r="D34" s="13" t="inlineStr"/>
      <c r="E34" s="15" t="inlineStr"/>
      <c r="F34" s="14" t="inlineStr"/>
      <c r="G34" s="14">
        <f>IFERROR(E34*F34,0)</f>
        <v/>
      </c>
      <c r="H34" s="16">
        <f>MaterialMarkup</f>
        <v/>
      </c>
      <c r="I34" s="14">
        <f>IFERROR(G34*(1+H34),0)</f>
        <v/>
      </c>
      <c r="J34" s="13" t="n"/>
    </row>
    <row r="35">
      <c r="A35" s="13">
        <f>IF(C35="","",ROW()-4)</f>
        <v/>
      </c>
      <c r="B35" s="13" t="inlineStr"/>
      <c r="C35" s="13" t="inlineStr"/>
      <c r="D35" s="13" t="inlineStr"/>
      <c r="E35" s="15" t="inlineStr"/>
      <c r="F35" s="14" t="inlineStr"/>
      <c r="G35" s="14">
        <f>IFERROR(E35*F35,0)</f>
        <v/>
      </c>
      <c r="H35" s="16">
        <f>MaterialMarkup</f>
        <v/>
      </c>
      <c r="I35" s="14">
        <f>IFERROR(G35*(1+H35),0)</f>
        <v/>
      </c>
      <c r="J35" s="13" t="n"/>
    </row>
    <row r="36">
      <c r="C36" s="17" t="inlineStr">
        <is>
          <t>MATERIAL TOTAL</t>
        </is>
      </c>
      <c r="G36" s="18">
        <f>SUMIFS(G5:G35,C5:C35,"&lt;&gt;")</f>
        <v/>
      </c>
      <c r="I36" s="18">
        <f>SUMIFS(I5:I35,C5:C35,"&lt;&gt;")</f>
        <v/>
      </c>
    </row>
  </sheetData>
  <mergeCells count="2">
    <mergeCell ref="A1:J1"/>
    <mergeCell ref="A2:J2"/>
  </mergeCells>
  <dataValidations count="1">
    <dataValidation sqref="B5:B45" showDropDown="0" showInputMessage="0" showErrorMessage="0" allowBlank="1" type="list">
      <formula1>"03 30 00,05 12 23,05 12 33,05 21 19,05 21 23,05 31 13,05 31 23,05 31 33,05 41 00,05 50 00,05 51 13,05 51 33,05 52 13,05 71 13,05 73 16,05 75 00,07 81 00,09 91 00,13 34 19,33 16 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2"/>
  <sheetViews>
    <sheetView showGridLines="0" workbookViewId="0">
      <selection activeCell="A1" sqref="A1"/>
    </sheetView>
  </sheetViews>
  <sheetFormatPr baseColWidth="8" defaultRowHeight="15"/>
  <cols>
    <col width="30" customWidth="1" min="1" max="1"/>
    <col width="12" customWidth="1" min="2" max="2"/>
    <col width="12" customWidth="1" min="3" max="3"/>
    <col width="8" customWidth="1" min="4" max="4"/>
    <col width="16" customWidth="1" min="5" max="5"/>
    <col width="14" customWidth="1" min="6" max="6"/>
    <col width="14" customWidth="1" min="7" max="7"/>
    <col width="16" customWidth="1" min="8" max="8"/>
    <col width="16" customWidth="1" min="9" max="9"/>
    <col width="22" customWidth="1" min="10" max="10"/>
  </cols>
  <sheetData>
    <row r="1" ht="32" customHeight="1">
      <c r="A1" s="1" t="inlineStr">
        <is>
          <t>LABOR ESTIMATE — Productivity × Crew × Rate</t>
        </is>
      </c>
    </row>
    <row r="2" ht="32" customHeight="1">
      <c r="A2" s="11" t="inlineStr">
        <is>
          <t>Productivity = crew-hours per unit of work (e.g., 3.50 crew-hrs/ton = a 5-person crew working an 8-hour day erects roughly 11.5 tons/day). Pull quantities from Material Takeoff. Avg Crew Rate is the loaded (burdened + marked-up) blended hourly rate across the crew composition.</t>
        </is>
      </c>
    </row>
    <row r="3" ht="36" customHeight="1">
      <c r="A3" s="19" t="inlineStr">
        <is>
          <t>⚠ CALIBRATE AGAINST YOUR LAST 3 COMPLETED JOBS BEFORE TRUSTING THESE NUMBERS. Defaults are commercial-South non-union industry averages. Union work, cold climates, AESS, or congested sites typically run 20-40% slower.</t>
        </is>
      </c>
    </row>
    <row r="5" ht="30" customHeight="1">
      <c r="A5" s="12" t="inlineStr">
        <is>
          <t>Activity</t>
        </is>
      </c>
      <c r="B5" s="12" t="inlineStr">
        <is>
          <t>CSI Section</t>
        </is>
      </c>
      <c r="C5" s="12" t="inlineStr">
        <is>
          <t>Quantity</t>
        </is>
      </c>
      <c r="D5" s="12" t="inlineStr">
        <is>
          <t>UOM</t>
        </is>
      </c>
      <c r="E5" s="12" t="inlineStr">
        <is>
          <t>Productivity (hrs/UOM)</t>
        </is>
      </c>
      <c r="F5" s="12" t="inlineStr">
        <is>
          <t>Crew Composition (#)</t>
        </is>
      </c>
      <c r="G5" s="12" t="inlineStr">
        <is>
          <t>Total Labor Hours</t>
        </is>
      </c>
      <c r="H5" s="12" t="inlineStr">
        <is>
          <t>Avg Crew Rate ($/hr)</t>
        </is>
      </c>
      <c r="I5" s="12" t="inlineStr">
        <is>
          <t>Labor Total ($)</t>
        </is>
      </c>
      <c r="J5" s="12" t="inlineStr">
        <is>
          <t>Notes</t>
        </is>
      </c>
    </row>
    <row r="6">
      <c r="A6" s="13" t="inlineStr">
        <is>
          <t>Erect structural steel — typical</t>
        </is>
      </c>
      <c r="B6" s="13" t="inlineStr">
        <is>
          <t>05 12 23</t>
        </is>
      </c>
      <c r="C6" s="15" t="inlineStr"/>
      <c r="D6" s="13" t="inlineStr">
        <is>
          <t>TON</t>
        </is>
      </c>
      <c r="E6" s="20" t="n">
        <v>3.5</v>
      </c>
      <c r="F6" s="21" t="n">
        <v>5</v>
      </c>
      <c r="G6" s="15">
        <f>IFERROR(C6*E6,0)</f>
        <v/>
      </c>
      <c r="H6" s="14" t="n">
        <v>46</v>
      </c>
      <c r="I6" s="14">
        <f>IFERROR(G6*H6*(1+FringeBurden)*(1+LaborOH)*(1+LaborProfit),0)</f>
        <v/>
      </c>
      <c r="J6" s="13" t="n"/>
    </row>
    <row r="7">
      <c r="A7" s="13" t="inlineStr">
        <is>
          <t>Erect structural steel — AESS (premium)</t>
        </is>
      </c>
      <c r="B7" s="13" t="inlineStr">
        <is>
          <t>05 12 33</t>
        </is>
      </c>
      <c r="C7" s="15" t="inlineStr"/>
      <c r="D7" s="13" t="inlineStr">
        <is>
          <t>TON</t>
        </is>
      </c>
      <c r="E7" s="20" t="n">
        <v>6.5</v>
      </c>
      <c r="F7" s="21" t="n">
        <v>5</v>
      </c>
      <c r="G7" s="15">
        <f>IFERROR(C7*E7,0)</f>
        <v/>
      </c>
      <c r="H7" s="14" t="n">
        <v>46</v>
      </c>
      <c r="I7" s="14">
        <f>IFERROR(G7*H7*(1+FringeBurden)*(1+LaborOH)*(1+LaborProfit),0)</f>
        <v/>
      </c>
      <c r="J7" s="13" t="n"/>
    </row>
    <row r="8">
      <c r="A8" s="13" t="inlineStr">
        <is>
          <t>Erect open-web joists</t>
        </is>
      </c>
      <c r="B8" s="13" t="inlineStr">
        <is>
          <t>05 21 19</t>
        </is>
      </c>
      <c r="C8" s="15" t="inlineStr"/>
      <c r="D8" s="13" t="inlineStr">
        <is>
          <t>EA</t>
        </is>
      </c>
      <c r="E8" s="20" t="n">
        <v>0.4</v>
      </c>
      <c r="F8" s="21" t="n">
        <v>4</v>
      </c>
      <c r="G8" s="15">
        <f>IFERROR(C8*E8,0)</f>
        <v/>
      </c>
      <c r="H8" s="14" t="n">
        <v>44</v>
      </c>
      <c r="I8" s="14">
        <f>IFERROR(G8*H8*(1+FringeBurden)*(1+LaborOH)*(1+LaborProfit),0)</f>
        <v/>
      </c>
      <c r="J8" s="13" t="n"/>
    </row>
    <row r="9">
      <c r="A9" s="13" t="inlineStr">
        <is>
          <t>Erect joist girders</t>
        </is>
      </c>
      <c r="B9" s="13" t="inlineStr">
        <is>
          <t>05 21 23</t>
        </is>
      </c>
      <c r="C9" s="15" t="inlineStr"/>
      <c r="D9" s="13" t="inlineStr">
        <is>
          <t>EA</t>
        </is>
      </c>
      <c r="E9" s="20" t="n">
        <v>1.5</v>
      </c>
      <c r="F9" s="21" t="n">
        <v>4</v>
      </c>
      <c r="G9" s="15">
        <f>IFERROR(C9*E9,0)</f>
        <v/>
      </c>
      <c r="H9" s="14" t="n">
        <v>46</v>
      </c>
      <c r="I9" s="14">
        <f>IFERROR(G9*H9*(1+FringeBurden)*(1+LaborOH)*(1+LaborProfit),0)</f>
        <v/>
      </c>
      <c r="J9" s="13" t="n"/>
    </row>
    <row r="10">
      <c r="A10" s="13" t="inlineStr">
        <is>
          <t>Install floor decking</t>
        </is>
      </c>
      <c r="B10" s="13" t="inlineStr">
        <is>
          <t>05 31 13</t>
        </is>
      </c>
      <c r="C10" s="15" t="inlineStr"/>
      <c r="D10" s="13" t="inlineStr">
        <is>
          <t>SF</t>
        </is>
      </c>
      <c r="E10" s="20" t="n">
        <v>0.02</v>
      </c>
      <c r="F10" s="21" t="n">
        <v>4</v>
      </c>
      <c r="G10" s="15">
        <f>IFERROR(C10*E10,0)</f>
        <v/>
      </c>
      <c r="H10" s="14" t="n">
        <v>42</v>
      </c>
      <c r="I10" s="14">
        <f>IFERROR(G10*H10*(1+FringeBurden)*(1+LaborOH)*(1+LaborProfit),0)</f>
        <v/>
      </c>
      <c r="J10" s="13" t="n"/>
    </row>
    <row r="11">
      <c r="A11" s="13" t="inlineStr">
        <is>
          <t>Install roof decking</t>
        </is>
      </c>
      <c r="B11" s="13" t="inlineStr">
        <is>
          <t>05 31 23</t>
        </is>
      </c>
      <c r="C11" s="15" t="inlineStr"/>
      <c r="D11" s="13" t="inlineStr">
        <is>
          <t>SF</t>
        </is>
      </c>
      <c r="E11" s="20" t="n">
        <v>0.018</v>
      </c>
      <c r="F11" s="21" t="n">
        <v>4</v>
      </c>
      <c r="G11" s="15">
        <f>IFERROR(C11*E11,0)</f>
        <v/>
      </c>
      <c r="H11" s="14" t="n">
        <v>42</v>
      </c>
      <c r="I11" s="14">
        <f>IFERROR(G11*H11*(1+FringeBurden)*(1+LaborOH)*(1+LaborProfit),0)</f>
        <v/>
      </c>
      <c r="J11" s="13" t="n"/>
    </row>
    <row r="12">
      <c r="A12" s="13" t="inlineStr">
        <is>
          <t>Install shear studs (Nelson-stud welding)</t>
        </is>
      </c>
      <c r="B12" s="13" t="inlineStr">
        <is>
          <t>05 31 13</t>
        </is>
      </c>
      <c r="C12" s="15" t="inlineStr"/>
      <c r="D12" s="13" t="inlineStr">
        <is>
          <t>EA</t>
        </is>
      </c>
      <c r="E12" s="20" t="n">
        <v>0.08</v>
      </c>
      <c r="F12" s="21" t="n">
        <v>2</v>
      </c>
      <c r="G12" s="15">
        <f>IFERROR(C12*E12,0)</f>
        <v/>
      </c>
      <c r="H12" s="14" t="n">
        <v>48</v>
      </c>
      <c r="I12" s="14">
        <f>IFERROR(G12*H12*(1+FringeBurden)*(1+LaborOH)*(1+LaborProfit),0)</f>
        <v/>
      </c>
      <c r="J12" s="13" t="n"/>
    </row>
    <row r="13">
      <c r="A13" s="13" t="inlineStr">
        <is>
          <t>Set / shim embeds and base plates</t>
        </is>
      </c>
      <c r="B13" s="13" t="inlineStr">
        <is>
          <t>05 12 23</t>
        </is>
      </c>
      <c r="C13" s="15" t="inlineStr"/>
      <c r="D13" s="13" t="inlineStr">
        <is>
          <t>EA</t>
        </is>
      </c>
      <c r="E13" s="20" t="n">
        <v>0.5</v>
      </c>
      <c r="F13" s="21" t="n">
        <v>2</v>
      </c>
      <c r="G13" s="15">
        <f>IFERROR(C13*E13,0)</f>
        <v/>
      </c>
      <c r="H13" s="14" t="n">
        <v>44</v>
      </c>
      <c r="I13" s="14">
        <f>IFERROR(G13*H13*(1+FringeBurden)*(1+LaborOH)*(1+LaborProfit),0)</f>
        <v/>
      </c>
      <c r="J13" s="13" t="n"/>
    </row>
    <row r="14">
      <c r="A14" s="13" t="inlineStr">
        <is>
          <t>Install misc metals (embeds, lintels)</t>
        </is>
      </c>
      <c r="B14" s="13" t="inlineStr">
        <is>
          <t>05 50 00</t>
        </is>
      </c>
      <c r="C14" s="15" t="inlineStr"/>
      <c r="D14" s="13" t="inlineStr">
        <is>
          <t>EA</t>
        </is>
      </c>
      <c r="E14" s="20" t="n">
        <v>1</v>
      </c>
      <c r="F14" s="21" t="n">
        <v>2</v>
      </c>
      <c r="G14" s="15">
        <f>IFERROR(C14*E14,0)</f>
        <v/>
      </c>
      <c r="H14" s="14" t="n">
        <v>44</v>
      </c>
      <c r="I14" s="14">
        <f>IFERROR(G14*H14*(1+FringeBurden)*(1+LaborOH)*(1+LaborProfit),0)</f>
        <v/>
      </c>
      <c r="J14" s="13" t="n"/>
    </row>
    <row r="15">
      <c r="A15" s="13" t="inlineStr">
        <is>
          <t>Install metal pan stairs (per riser)</t>
        </is>
      </c>
      <c r="B15" s="13" t="inlineStr">
        <is>
          <t>05 51 13</t>
        </is>
      </c>
      <c r="C15" s="15" t="inlineStr"/>
      <c r="D15" s="13" t="inlineStr">
        <is>
          <t>EA</t>
        </is>
      </c>
      <c r="E15" s="20" t="n">
        <v>0.6</v>
      </c>
      <c r="F15" s="21" t="n">
        <v>3</v>
      </c>
      <c r="G15" s="15">
        <f>IFERROR(C15*E15,0)</f>
        <v/>
      </c>
      <c r="H15" s="14" t="n">
        <v>46</v>
      </c>
      <c r="I15" s="14">
        <f>IFERROR(G15*H15*(1+FringeBurden)*(1+LaborOH)*(1+LaborProfit),0)</f>
        <v/>
      </c>
      <c r="J15" s="13" t="n"/>
    </row>
    <row r="16">
      <c r="A16" s="13" t="inlineStr">
        <is>
          <t>Install pipe railings</t>
        </is>
      </c>
      <c r="B16" s="13" t="inlineStr">
        <is>
          <t>05 52 13</t>
        </is>
      </c>
      <c r="C16" s="15" t="inlineStr"/>
      <c r="D16" s="13" t="inlineStr">
        <is>
          <t>LF</t>
        </is>
      </c>
      <c r="E16" s="20" t="n">
        <v>0.3</v>
      </c>
      <c r="F16" s="21" t="n">
        <v>2</v>
      </c>
      <c r="G16" s="15">
        <f>IFERROR(C16*E16,0)</f>
        <v/>
      </c>
      <c r="H16" s="14" t="n">
        <v>42</v>
      </c>
      <c r="I16" s="14">
        <f>IFERROR(G16*H16*(1+FringeBurden)*(1+LaborOH)*(1+LaborProfit),0)</f>
        <v/>
      </c>
      <c r="J16" s="13" t="n"/>
    </row>
    <row r="17">
      <c r="A17" s="13" t="inlineStr">
        <is>
          <t>Bolt-up (high-strength, turn-of-nut)</t>
        </is>
      </c>
      <c r="B17" s="13" t="inlineStr">
        <is>
          <t>05 12 23</t>
        </is>
      </c>
      <c r="C17" s="15" t="inlineStr"/>
      <c r="D17" s="13" t="inlineStr">
        <is>
          <t>EA</t>
        </is>
      </c>
      <c r="E17" s="20" t="n">
        <v>0.08</v>
      </c>
      <c r="F17" s="21" t="n">
        <v>2</v>
      </c>
      <c r="G17" s="15">
        <f>IFERROR(C17*E17,0)</f>
        <v/>
      </c>
      <c r="H17" s="14" t="n">
        <v>42</v>
      </c>
      <c r="I17" s="14">
        <f>IFERROR(G17*H17*(1+FringeBurden)*(1+LaborOH)*(1+LaborProfit),0)</f>
        <v/>
      </c>
      <c r="J17" s="13" t="n"/>
    </row>
    <row r="18">
      <c r="A18" s="13" t="inlineStr">
        <is>
          <t>Field welding (per joint)</t>
        </is>
      </c>
      <c r="B18" s="13" t="inlineStr">
        <is>
          <t>05 12 23</t>
        </is>
      </c>
      <c r="C18" s="15" t="inlineStr"/>
      <c r="D18" s="13" t="inlineStr">
        <is>
          <t>EA</t>
        </is>
      </c>
      <c r="E18" s="20" t="n">
        <v>0.35</v>
      </c>
      <c r="F18" s="21" t="n">
        <v>2</v>
      </c>
      <c r="G18" s="15">
        <f>IFERROR(C18*E18,0)</f>
        <v/>
      </c>
      <c r="H18" s="14" t="n">
        <v>52</v>
      </c>
      <c r="I18" s="14">
        <f>IFERROR(G18*H18*(1+FringeBurden)*(1+LaborOH)*(1+LaborProfit),0)</f>
        <v/>
      </c>
      <c r="J18" s="13" t="n"/>
    </row>
    <row r="19">
      <c r="A19" s="13" t="inlineStr">
        <is>
          <t>Touch-up primer (after erection)</t>
        </is>
      </c>
      <c r="B19" s="13" t="inlineStr">
        <is>
          <t>09 91 00</t>
        </is>
      </c>
      <c r="C19" s="15" t="inlineStr"/>
      <c r="D19" s="13" t="inlineStr">
        <is>
          <t>GAL</t>
        </is>
      </c>
      <c r="E19" s="20" t="n">
        <v>0.5</v>
      </c>
      <c r="F19" s="21" t="n">
        <v>1</v>
      </c>
      <c r="G19" s="15">
        <f>IFERROR(C19*E19,0)</f>
        <v/>
      </c>
      <c r="H19" s="14" t="n">
        <v>42</v>
      </c>
      <c r="I19" s="14">
        <f>IFERROR(G19*H19*(1+FringeBurden)*(1+LaborOH)*(1+LaborProfit),0)</f>
        <v/>
      </c>
      <c r="J19" s="13" t="n"/>
    </row>
    <row r="20">
      <c r="A20" s="13" t="inlineStr">
        <is>
          <t>Plumb-and-true survey (per bay)</t>
        </is>
      </c>
      <c r="B20" s="13" t="inlineStr">
        <is>
          <t>05 12 23</t>
        </is>
      </c>
      <c r="C20" s="15" t="inlineStr"/>
      <c r="D20" s="13" t="inlineStr">
        <is>
          <t>EA</t>
        </is>
      </c>
      <c r="E20" s="20" t="n">
        <v>0.75</v>
      </c>
      <c r="F20" s="21" t="n">
        <v>2</v>
      </c>
      <c r="G20" s="15">
        <f>IFERROR(C20*E20,0)</f>
        <v/>
      </c>
      <c r="H20" s="14" t="n">
        <v>50</v>
      </c>
      <c r="I20" s="14">
        <f>IFERROR(G20*H20*(1+FringeBurden)*(1+LaborOH)*(1+LaborProfit),0)</f>
        <v/>
      </c>
      <c r="J20" s="13" t="n"/>
    </row>
    <row r="21">
      <c r="A21" s="13" t="inlineStr">
        <is>
          <t>Final cleanup / demobilization</t>
        </is>
      </c>
      <c r="B21" s="13" t="inlineStr">
        <is>
          <t>05 12 23</t>
        </is>
      </c>
      <c r="C21" s="15" t="inlineStr"/>
      <c r="D21" s="13" t="inlineStr">
        <is>
          <t>DAY</t>
        </is>
      </c>
      <c r="E21" s="20" t="n">
        <v>8</v>
      </c>
      <c r="F21" s="21" t="n">
        <v>4</v>
      </c>
      <c r="G21" s="15">
        <f>IFERROR(C21*E21,0)</f>
        <v/>
      </c>
      <c r="H21" s="14" t="n">
        <v>42</v>
      </c>
      <c r="I21" s="14">
        <f>IFERROR(G21*H21*(1+FringeBurden)*(1+LaborOH)*(1+LaborProfit),0)</f>
        <v/>
      </c>
      <c r="J21" s="13" t="n"/>
    </row>
    <row r="22">
      <c r="A22" s="17" t="inlineStr">
        <is>
          <t>LABOR TOTAL</t>
        </is>
      </c>
      <c r="G22" s="22">
        <f>SUM(G6:G21)</f>
        <v/>
      </c>
      <c r="I22" s="18">
        <f>SUM(I6:I21)</f>
        <v/>
      </c>
    </row>
  </sheetData>
  <mergeCells count="3">
    <mergeCell ref="A1:J1"/>
    <mergeCell ref="A3:J3"/>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36" customWidth="1" min="1" max="1"/>
    <col width="24" customWidth="1" min="2" max="2"/>
    <col width="10" customWidth="1" min="3" max="3"/>
    <col width="14" customWidth="1" min="4" max="4"/>
    <col width="14" customWidth="1" min="5" max="5"/>
    <col width="12" customWidth="1" min="6" max="6"/>
    <col width="14" customWidth="1" min="7" max="7"/>
    <col width="22" customWidth="1" min="8" max="8"/>
  </cols>
  <sheetData>
    <row r="1" ht="32" customHeight="1">
      <c r="A1" s="1" t="inlineStr">
        <is>
          <t>EQUIPMENT ESTIMATE</t>
        </is>
      </c>
    </row>
    <row r="2">
      <c r="A2" s="11" t="inlineStr">
        <is>
          <t>Days = total billable days on the project. Crane phase typically = structural steel + joists + girders + decking days. Some equipment (welder, generator) runs the full erection duration.</t>
        </is>
      </c>
    </row>
    <row r="4" ht="30" customHeight="1">
      <c r="A4" s="12" t="inlineStr">
        <is>
          <t>Equipment</t>
        </is>
      </c>
      <c r="B4" s="12" t="inlineStr">
        <is>
          <t>Phase / Activity</t>
        </is>
      </c>
      <c r="C4" s="12" t="inlineStr">
        <is>
          <t>Days</t>
        </is>
      </c>
      <c r="D4" s="12" t="inlineStr">
        <is>
          <t>Daily Rate ($)</t>
        </is>
      </c>
      <c r="E4" s="12" t="inlineStr">
        <is>
          <t>Subtotal ($)</t>
        </is>
      </c>
      <c r="F4" s="12" t="inlineStr">
        <is>
          <t>Markup %</t>
        </is>
      </c>
      <c r="G4" s="12" t="inlineStr">
        <is>
          <t>Total ($)</t>
        </is>
      </c>
      <c r="H4" s="12" t="inlineStr">
        <is>
          <t>Notes</t>
        </is>
      </c>
    </row>
    <row r="5">
      <c r="A5" s="13" t="inlineStr">
        <is>
          <t>Primary crane (e.g., 150T crawler)</t>
        </is>
      </c>
      <c r="B5" s="13" t="inlineStr">
        <is>
          <t>Steel + joists + decking</t>
        </is>
      </c>
      <c r="C5" s="21" t="inlineStr"/>
      <c r="D5" s="14" t="n">
        <v>3100</v>
      </c>
      <c r="E5" s="14">
        <f>IFERROR(C5*D5,0)</f>
        <v/>
      </c>
      <c r="F5" s="16">
        <f>EquipRentedMarkup</f>
        <v/>
      </c>
      <c r="G5" s="14">
        <f>IFERROR(E5*(1+F5),0)</f>
        <v/>
      </c>
      <c r="H5" s="13" t="n"/>
    </row>
    <row r="6">
      <c r="A6" s="13" t="inlineStr">
        <is>
          <t>Secondary crane (e.g., 80T)</t>
        </is>
      </c>
      <c r="B6" s="13" t="inlineStr">
        <is>
          <t>Misc lifts / overflow</t>
        </is>
      </c>
      <c r="C6" s="21" t="inlineStr"/>
      <c r="D6" s="14" t="n">
        <v>1850</v>
      </c>
      <c r="E6" s="14">
        <f>IFERROR(C6*D6,0)</f>
        <v/>
      </c>
      <c r="F6" s="16">
        <f>EquipRentedMarkup</f>
        <v/>
      </c>
      <c r="G6" s="14">
        <f>IFERROR(E6*(1+F6),0)</f>
        <v/>
      </c>
      <c r="H6" s="13" t="n"/>
    </row>
    <row r="7">
      <c r="A7" s="13" t="inlineStr">
        <is>
          <t>Boom truck / carrydeck</t>
        </is>
      </c>
      <c r="B7" s="13" t="inlineStr">
        <is>
          <t>Bolt-up + misc</t>
        </is>
      </c>
      <c r="C7" s="21" t="inlineStr"/>
      <c r="D7" s="14" t="n">
        <v>950</v>
      </c>
      <c r="E7" s="14">
        <f>IFERROR(C7*D7,0)</f>
        <v/>
      </c>
      <c r="F7" s="16">
        <f>EquipRentedMarkup</f>
        <v/>
      </c>
      <c r="G7" s="14">
        <f>IFERROR(E7*(1+F7),0)</f>
        <v/>
      </c>
      <c r="H7" s="13" t="n"/>
    </row>
    <row r="8">
      <c r="A8" s="13" t="inlineStr">
        <is>
          <t>Aerial lift — boom 60-85'</t>
        </is>
      </c>
      <c r="B8" s="13" t="inlineStr">
        <is>
          <t>Connection / welding</t>
        </is>
      </c>
      <c r="C8" s="21" t="inlineStr"/>
      <c r="D8" s="14" t="n">
        <v>980</v>
      </c>
      <c r="E8" s="14">
        <f>IFERROR(C8*D8,0)</f>
        <v/>
      </c>
      <c r="F8" s="16">
        <f>EquipRentedMarkup</f>
        <v/>
      </c>
      <c r="G8" s="14">
        <f>IFERROR(E8*(1+F8),0)</f>
        <v/>
      </c>
      <c r="H8" s="13" t="n"/>
    </row>
    <row r="9">
      <c r="A9" s="13" t="inlineStr">
        <is>
          <t>Aerial lift — scissor</t>
        </is>
      </c>
      <c r="B9" s="13" t="inlineStr">
        <is>
          <t>Decking / detailing</t>
        </is>
      </c>
      <c r="C9" s="21" t="inlineStr"/>
      <c r="D9" s="14" t="n">
        <v>480</v>
      </c>
      <c r="E9" s="14">
        <f>IFERROR(C9*D9,0)</f>
        <v/>
      </c>
      <c r="F9" s="16">
        <f>EquipRentedMarkup</f>
        <v/>
      </c>
      <c r="G9" s="14">
        <f>IFERROR(E9*(1+F9),0)</f>
        <v/>
      </c>
      <c r="H9" s="13" t="n"/>
    </row>
    <row r="10">
      <c r="A10" s="13" t="inlineStr">
        <is>
          <t>Engine-drive welder</t>
        </is>
      </c>
      <c r="B10" s="13" t="inlineStr">
        <is>
          <t>Field welding</t>
        </is>
      </c>
      <c r="C10" s="21" t="inlineStr"/>
      <c r="D10" s="14" t="n">
        <v>180</v>
      </c>
      <c r="E10" s="14">
        <f>IFERROR(C10*D10,0)</f>
        <v/>
      </c>
      <c r="F10" s="16">
        <f>EquipRentedMarkup</f>
        <v/>
      </c>
      <c r="G10" s="14">
        <f>IFERROR(E10*(1+F10),0)</f>
        <v/>
      </c>
      <c r="H10" s="13" t="n"/>
    </row>
    <row r="11">
      <c r="A11" s="13" t="inlineStr">
        <is>
          <t>Telehandler / forklift</t>
        </is>
      </c>
      <c r="B11" s="13" t="inlineStr">
        <is>
          <t>Material handling</t>
        </is>
      </c>
      <c r="C11" s="21" t="inlineStr"/>
      <c r="D11" s="14" t="n">
        <v>720</v>
      </c>
      <c r="E11" s="14">
        <f>IFERROR(C11*D11,0)</f>
        <v/>
      </c>
      <c r="F11" s="16">
        <f>EquipRentedMarkup</f>
        <v/>
      </c>
      <c r="G11" s="14">
        <f>IFERROR(E11*(1+F11),0)</f>
        <v/>
      </c>
      <c r="H11" s="13" t="n"/>
    </row>
    <row r="12">
      <c r="A12" s="13" t="inlineStr">
        <is>
          <t>Air compressor</t>
        </is>
      </c>
      <c r="B12" s="13" t="inlineStr">
        <is>
          <t>Bolting / impact</t>
        </is>
      </c>
      <c r="C12" s="21" t="inlineStr"/>
      <c r="D12" s="14" t="n">
        <v>140</v>
      </c>
      <c r="E12" s="14">
        <f>IFERROR(C12*D12,0)</f>
        <v/>
      </c>
      <c r="F12" s="16">
        <f>EquipRentedMarkup</f>
        <v/>
      </c>
      <c r="G12" s="14">
        <f>IFERROR(E12*(1+F12),0)</f>
        <v/>
      </c>
      <c r="H12" s="13" t="n"/>
    </row>
    <row r="13">
      <c r="A13" s="13" t="inlineStr">
        <is>
          <t>Generator</t>
        </is>
      </c>
      <c r="B13" s="13" t="inlineStr">
        <is>
          <t>Power for tools</t>
        </is>
      </c>
      <c r="C13" s="21" t="inlineStr"/>
      <c r="D13" s="14" t="n">
        <v>120</v>
      </c>
      <c r="E13" s="14">
        <f>IFERROR(C13*D13,0)</f>
        <v/>
      </c>
      <c r="F13" s="16">
        <f>EquipRentedMarkup</f>
        <v/>
      </c>
      <c r="G13" s="14">
        <f>IFERROR(E13*(1+F13),0)</f>
        <v/>
      </c>
      <c r="H13" s="13" t="n"/>
    </row>
    <row r="14">
      <c r="A14" s="13" t="inlineStr">
        <is>
          <t>Mobilization / demobilization (allowance)</t>
        </is>
      </c>
      <c r="B14" s="13" t="inlineStr">
        <is>
          <t>Each crane move</t>
        </is>
      </c>
      <c r="C14" s="21" t="inlineStr"/>
      <c r="D14" s="14" t="n">
        <v>0</v>
      </c>
      <c r="E14" s="14">
        <f>IFERROR(C14*D14,0)</f>
        <v/>
      </c>
      <c r="F14" s="16">
        <f>EquipRentedMarkup</f>
        <v/>
      </c>
      <c r="G14" s="14">
        <f>IFERROR(E14*(1+F14),0)</f>
        <v/>
      </c>
      <c r="H14" s="13" t="n"/>
    </row>
    <row r="15">
      <c r="A15" s="13" t="inlineStr"/>
      <c r="B15" s="13" t="inlineStr"/>
      <c r="C15" s="21" t="inlineStr"/>
      <c r="D15" s="14" t="n">
        <v>0</v>
      </c>
      <c r="E15" s="14">
        <f>IFERROR(C15*D15,0)</f>
        <v/>
      </c>
      <c r="F15" s="16">
        <f>EquipRentedMarkup</f>
        <v/>
      </c>
      <c r="G15" s="14">
        <f>IFERROR(E15*(1+F15),0)</f>
        <v/>
      </c>
      <c r="H15" s="13" t="n"/>
    </row>
    <row r="16">
      <c r="A16" s="17" t="inlineStr">
        <is>
          <t>EQUIPMENT TOTAL</t>
        </is>
      </c>
      <c r="E16" s="18">
        <f>SUM(E5:E15)</f>
        <v/>
      </c>
      <c r="G16" s="18">
        <f>SUM(G5:G15)</f>
        <v/>
      </c>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showGridLines="0" workbookViewId="0">
      <selection activeCell="A1" sqref="A1"/>
    </sheetView>
  </sheetViews>
  <sheetFormatPr baseColWidth="8" defaultRowHeight="15"/>
  <cols>
    <col width="36" customWidth="1" min="1" max="1"/>
    <col width="12" customWidth="1" min="2" max="2"/>
    <col width="14" customWidth="1" min="3" max="3"/>
    <col width="12" customWidth="1" min="4" max="4"/>
    <col width="14" customWidth="1" min="5" max="5"/>
    <col width="24" customWidth="1" min="6" max="6"/>
    <col width="22" customWidth="1" min="7" max="7"/>
  </cols>
  <sheetData>
    <row r="1" ht="32" customHeight="1">
      <c r="A1" s="1" t="inlineStr">
        <is>
          <t>SUBCONTRACT ESTIMATE — Lower-Tier Work</t>
        </is>
      </c>
    </row>
    <row r="2" ht="32" customHeight="1">
      <c r="A2" s="11" t="inlineStr">
        <is>
          <t>Scopes commonly subbed by a steel erector: high-strength bolting, certified welding, spray-applied fireproofing, painting/galvanizing touch-up, decking install (if not self-performed). Get firm quotes from the lower-tier sub before bid day; lump-sum or unit-price.</t>
        </is>
      </c>
    </row>
    <row r="4" ht="30" customHeight="1">
      <c r="A4" s="12" t="inlineStr">
        <is>
          <t>Scope</t>
        </is>
      </c>
      <c r="B4" s="12" t="inlineStr">
        <is>
          <t>CSI Section</t>
        </is>
      </c>
      <c r="C4" s="12" t="inlineStr">
        <is>
          <t>Sub Quote ($)</t>
        </is>
      </c>
      <c r="D4" s="12" t="inlineStr">
        <is>
          <t>Markup %</t>
        </is>
      </c>
      <c r="E4" s="12" t="inlineStr">
        <is>
          <t>Total ($)</t>
        </is>
      </c>
      <c r="F4" s="12" t="inlineStr">
        <is>
          <t>Sub Name</t>
        </is>
      </c>
      <c r="G4" s="12" t="inlineStr">
        <is>
          <t>Notes</t>
        </is>
      </c>
    </row>
    <row r="5">
      <c r="A5" s="13" t="inlineStr">
        <is>
          <t>High-strength bolting (TC bolts, calibrated wrench)</t>
        </is>
      </c>
      <c r="B5" s="13" t="inlineStr">
        <is>
          <t>05 12 23</t>
        </is>
      </c>
      <c r="C5" s="14" t="inlineStr"/>
      <c r="D5" s="16">
        <f>SubMarkup</f>
        <v/>
      </c>
      <c r="E5" s="14">
        <f>IFERROR(C5*(1+D5),0)</f>
        <v/>
      </c>
      <c r="F5" s="13" t="inlineStr"/>
      <c r="G5" s="13" t="inlineStr"/>
    </row>
    <row r="6">
      <c r="A6" s="13" t="inlineStr">
        <is>
          <t>Certified welding (AWS D1.1 structural)</t>
        </is>
      </c>
      <c r="B6" s="13" t="inlineStr">
        <is>
          <t>05 12 23</t>
        </is>
      </c>
      <c r="C6" s="14" t="inlineStr"/>
      <c r="D6" s="16">
        <f>SubMarkup</f>
        <v/>
      </c>
      <c r="E6" s="14">
        <f>IFERROR(C6*(1+D6),0)</f>
        <v/>
      </c>
      <c r="F6" s="13" t="inlineStr"/>
      <c r="G6" s="13" t="inlineStr"/>
    </row>
    <row r="7">
      <c r="A7" s="13" t="inlineStr">
        <is>
          <t>Spray-applied fireproofing (SFRM)</t>
        </is>
      </c>
      <c r="B7" s="13" t="inlineStr">
        <is>
          <t>07 81 00</t>
        </is>
      </c>
      <c r="C7" s="14" t="inlineStr"/>
      <c r="D7" s="16">
        <f>SubMarkup</f>
        <v/>
      </c>
      <c r="E7" s="14">
        <f>IFERROR(C7*(1+D7),0)</f>
        <v/>
      </c>
      <c r="F7" s="13" t="inlineStr"/>
      <c r="G7" s="13" t="inlineStr"/>
    </row>
    <row r="8">
      <c r="A8" s="13" t="inlineStr">
        <is>
          <t>Touch-up primer / paint</t>
        </is>
      </c>
      <c r="B8" s="13" t="inlineStr">
        <is>
          <t>09 91 00</t>
        </is>
      </c>
      <c r="C8" s="14" t="inlineStr"/>
      <c r="D8" s="16">
        <f>SubMarkup</f>
        <v/>
      </c>
      <c r="E8" s="14">
        <f>IFERROR(C8*(1+D8),0)</f>
        <v/>
      </c>
      <c r="F8" s="13" t="inlineStr"/>
      <c r="G8" s="13" t="inlineStr"/>
    </row>
    <row r="9">
      <c r="A9" s="13" t="inlineStr">
        <is>
          <t>Galvanizing repair (cold-galv compound)</t>
        </is>
      </c>
      <c r="B9" s="13" t="inlineStr">
        <is>
          <t>05 12 23</t>
        </is>
      </c>
      <c r="C9" s="14" t="inlineStr"/>
      <c r="D9" s="16">
        <f>SubMarkup</f>
        <v/>
      </c>
      <c r="E9" s="14">
        <f>IFERROR(C9*(1+D9),0)</f>
        <v/>
      </c>
      <c r="F9" s="13" t="inlineStr"/>
      <c r="G9" s="13" t="inlineStr"/>
    </row>
    <row r="10">
      <c r="A10" s="13" t="inlineStr">
        <is>
          <t>Decking install (if not self-performed)</t>
        </is>
      </c>
      <c r="B10" s="13" t="inlineStr">
        <is>
          <t>05 31 13</t>
        </is>
      </c>
      <c r="C10" s="14" t="inlineStr"/>
      <c r="D10" s="16">
        <f>SubMarkup</f>
        <v/>
      </c>
      <c r="E10" s="14">
        <f>IFERROR(C10*(1+D10),0)</f>
        <v/>
      </c>
      <c r="F10" s="13" t="inlineStr"/>
      <c r="G10" s="13" t="inlineStr"/>
    </row>
    <row r="11">
      <c r="A11" s="13" t="inlineStr">
        <is>
          <t>Bolt inspection (third-party)</t>
        </is>
      </c>
      <c r="B11" s="13" t="inlineStr">
        <is>
          <t>05 12 23</t>
        </is>
      </c>
      <c r="C11" s="14" t="inlineStr"/>
      <c r="D11" s="16">
        <f>SubMarkup</f>
        <v/>
      </c>
      <c r="E11" s="14">
        <f>IFERROR(C11*(1+D11),0)</f>
        <v/>
      </c>
      <c r="F11" s="13" t="inlineStr"/>
      <c r="G11" s="13" t="inlineStr"/>
    </row>
    <row r="12">
      <c r="A12" s="13" t="inlineStr">
        <is>
          <t>Welding inspection (third-party UT/MT/PT)</t>
        </is>
      </c>
      <c r="B12" s="13" t="inlineStr">
        <is>
          <t>05 12 23</t>
        </is>
      </c>
      <c r="C12" s="14" t="inlineStr"/>
      <c r="D12" s="16">
        <f>SubMarkup</f>
        <v/>
      </c>
      <c r="E12" s="14">
        <f>IFERROR(C12*(1+D12),0)</f>
        <v/>
      </c>
      <c r="F12" s="13" t="inlineStr"/>
      <c r="G12" s="13" t="inlineStr"/>
    </row>
    <row r="13">
      <c r="A13" s="13" t="inlineStr"/>
      <c r="B13" s="13" t="inlineStr"/>
      <c r="C13" s="14" t="inlineStr"/>
      <c r="D13" s="16">
        <f>SubMarkup</f>
        <v/>
      </c>
      <c r="E13" s="14">
        <f>IFERROR(C13*(1+D13),0)</f>
        <v/>
      </c>
      <c r="F13" s="13" t="inlineStr"/>
      <c r="G13" s="13" t="inlineStr"/>
    </row>
    <row r="14">
      <c r="A14" s="13" t="inlineStr"/>
      <c r="B14" s="13" t="inlineStr"/>
      <c r="C14" s="14" t="inlineStr"/>
      <c r="D14" s="16">
        <f>SubMarkup</f>
        <v/>
      </c>
      <c r="E14" s="14">
        <f>IFERROR(C14*(1+D14),0)</f>
        <v/>
      </c>
      <c r="F14" s="13" t="inlineStr"/>
      <c r="G14" s="13" t="inlineStr"/>
    </row>
    <row r="15">
      <c r="A15" s="17" t="inlineStr">
        <is>
          <t>SUBCONTRACT TOTAL</t>
        </is>
      </c>
      <c r="C15" s="18">
        <f>SUM(C5:C14)</f>
        <v/>
      </c>
      <c r="E15" s="18">
        <f>SUM(E5:E14)</f>
        <v/>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E17"/>
  <sheetViews>
    <sheetView showGridLines="0" workbookViewId="0">
      <selection activeCell="A1" sqref="A1"/>
    </sheetView>
  </sheetViews>
  <sheetFormatPr baseColWidth="8" defaultRowHeight="15"/>
  <cols>
    <col width="4" customWidth="1" min="1" max="1"/>
    <col width="50" customWidth="1" min="2" max="2"/>
    <col width="16" customWidth="1" min="3" max="3"/>
    <col width="16" customWidth="1" min="4" max="4"/>
    <col width="36" customWidth="1" min="5" max="5"/>
  </cols>
  <sheetData>
    <row r="1" ht="32" customHeight="1">
      <c r="B1" s="1" t="inlineStr">
        <is>
          <t>PREMIUMS &amp; CONDITIONS — Risk Adders</t>
        </is>
      </c>
    </row>
    <row r="2">
      <c r="B2" s="11" t="inlineStr">
        <is>
          <t>Percentage adders applied to the base labor + equipment + subcontract subtotal. Use when a project attribute materially increases productivity loss, risk, or carrying cost.</t>
        </is>
      </c>
    </row>
    <row r="4" ht="30" customHeight="1">
      <c r="B4" s="12" t="inlineStr">
        <is>
          <t>Condition</t>
        </is>
      </c>
      <c r="C4" s="12" t="inlineStr">
        <is>
          <t>Applies?</t>
        </is>
      </c>
      <c r="D4" s="12" t="inlineStr">
        <is>
          <t>Premium %</t>
        </is>
      </c>
      <c r="E4" s="12" t="inlineStr">
        <is>
          <t>Basis / Notes</t>
        </is>
      </c>
    </row>
    <row r="5">
      <c r="B5" s="5" t="inlineStr">
        <is>
          <t>Working at heights &gt;50 ft (OSHA 1926.760 fall protection)</t>
        </is>
      </c>
      <c r="C5" s="23">
        <f>HeightPremium</f>
        <v/>
      </c>
      <c r="D5" s="24" t="n">
        <v>0.07000000000000001</v>
      </c>
      <c r="E5" s="25" t="inlineStr">
        <is>
          <t>Productivity loss, equipment for fall protection</t>
        </is>
      </c>
    </row>
    <row r="6">
      <c r="B6" s="5" t="inlineStr">
        <is>
          <t>After-hours / weekend / night work (shift premium)</t>
        </is>
      </c>
      <c r="C6" s="23">
        <f>AfterHours</f>
        <v/>
      </c>
      <c r="D6" s="24" t="n">
        <v>0.15</v>
      </c>
      <c r="E6" s="25" t="inlineStr">
        <is>
          <t>1.5× OT or shift differential</t>
        </is>
      </c>
    </row>
    <row r="7">
      <c r="B7" s="5" t="inlineStr">
        <is>
          <t>Distance from shop &gt;50 miles</t>
        </is>
      </c>
      <c r="C7" s="23">
        <f>IF(DistanceFromShop&gt;50,"Yes","No")</f>
        <v/>
      </c>
      <c r="D7" s="24" t="n">
        <v>0.04</v>
      </c>
      <c r="E7" s="25" t="inlineStr">
        <is>
          <t>Per-diem, travel time, equipment-move cost</t>
        </is>
      </c>
    </row>
    <row r="8">
      <c r="B8" s="5" t="inlineStr">
        <is>
          <t>Architecturally Exposed Steel (AESS — Tier 2 or higher)</t>
        </is>
      </c>
      <c r="C8" s="23">
        <f>IsAESS</f>
        <v/>
      </c>
      <c r="D8" s="24" t="n">
        <v>0.12</v>
      </c>
      <c r="E8" s="25" t="inlineStr">
        <is>
          <t>Slower productivity, higher tolerance, more handling</t>
        </is>
      </c>
    </row>
    <row r="9">
      <c r="B9" s="5" t="inlineStr">
        <is>
          <t>Complex geometry (curved, slanted, twisted, offsets)</t>
        </is>
      </c>
      <c r="C9" s="23">
        <f>IsComplex</f>
        <v/>
      </c>
      <c r="D9" s="24" t="n">
        <v>0.1</v>
      </c>
      <c r="E9" s="25" t="inlineStr">
        <is>
          <t>Slower placement, more shimming, more rework</t>
        </is>
      </c>
    </row>
    <row r="10">
      <c r="B10" s="5" t="inlineStr">
        <is>
          <t>Constrained site (urban, occupied, phased, tight crane swing)</t>
        </is>
      </c>
      <c r="C10" s="23">
        <f>AccessConstrained</f>
        <v/>
      </c>
      <c r="D10" s="24" t="n">
        <v>0.08</v>
      </c>
      <c r="E10" s="25" t="inlineStr">
        <is>
          <t>Slower productivity + more crane positions</t>
        </is>
      </c>
    </row>
    <row r="11">
      <c r="B11" s="5" t="inlineStr">
        <is>
          <t>Winter weather (Nov-Mar in cold climates)</t>
        </is>
      </c>
      <c r="C11" s="23" t="inlineStr">
        <is>
          <t>No</t>
        </is>
      </c>
      <c r="D11" s="24" t="n">
        <v>0.06</v>
      </c>
      <c r="E11" s="25" t="inlineStr">
        <is>
          <t>Lost days, equipment heating, ice/snow removal</t>
        </is>
      </c>
    </row>
    <row r="12">
      <c r="B12" s="5" t="inlineStr">
        <is>
          <t>Hurricane / wind contingency (coastal projects)</t>
        </is>
      </c>
      <c r="C12" s="23" t="inlineStr">
        <is>
          <t>No</t>
        </is>
      </c>
      <c r="D12" s="24" t="n">
        <v>0.03</v>
      </c>
      <c r="E12" s="25" t="inlineStr">
        <is>
          <t>Stoppage during named storms, anchor verification</t>
        </is>
      </c>
    </row>
    <row r="13">
      <c r="B13" s="5" t="inlineStr">
        <is>
          <t>Davis-Bacon / state prevailing wage</t>
        </is>
      </c>
      <c r="C13" s="23">
        <f>IsPrevailingWage</f>
        <v/>
      </c>
      <c r="D13" s="24" t="n">
        <v>0</v>
      </c>
      <c r="E13" s="25" t="inlineStr">
        <is>
          <t>Already captured in wage rates — informational</t>
        </is>
      </c>
    </row>
    <row r="14">
      <c r="B14" s="5" t="inlineStr">
        <is>
          <t>Project-specific PPE (FR, arc-flash, special tie-off)</t>
        </is>
      </c>
      <c r="C14" s="23" t="inlineStr">
        <is>
          <t>No</t>
        </is>
      </c>
      <c r="D14" s="24" t="n">
        <v>0.01</v>
      </c>
      <c r="E14" s="25" t="inlineStr">
        <is>
          <t>PPE replacement frequency</t>
        </is>
      </c>
    </row>
    <row r="15">
      <c r="B15" s="5" t="inlineStr"/>
      <c r="C15" s="23" t="inlineStr"/>
      <c r="D15" s="24" t="n">
        <v>0</v>
      </c>
      <c r="E15" s="25" t="inlineStr"/>
    </row>
    <row r="16">
      <c r="B16" s="5" t="inlineStr"/>
      <c r="C16" s="23" t="inlineStr"/>
      <c r="D16" s="24" t="n">
        <v>0</v>
      </c>
      <c r="E16" s="25" t="inlineStr"/>
    </row>
    <row r="17">
      <c r="B17" s="4" t="inlineStr">
        <is>
          <t>TOTAL PREMIUM % (applied to labor + equip + sub)</t>
        </is>
      </c>
      <c r="D17" s="26">
        <f>SUMPRODUCT((C5:C16="Yes")*D5:D16)</f>
        <v/>
      </c>
    </row>
  </sheetData>
  <mergeCells count="2">
    <mergeCell ref="B1:E1"/>
    <mergeCell ref="B2:E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E35"/>
  <sheetViews>
    <sheetView showGridLines="0" workbookViewId="0">
      <selection activeCell="A1" sqref="A1"/>
    </sheetView>
  </sheetViews>
  <sheetFormatPr baseColWidth="8" defaultRowHeight="15"/>
  <cols>
    <col width="4" customWidth="1" min="1" max="1"/>
    <col width="50" customWidth="1" min="2" max="2"/>
    <col width="22" customWidth="1" min="3" max="3"/>
    <col width="18" customWidth="1" min="4" max="4"/>
    <col width="28" customWidth="1" min="5" max="5"/>
  </cols>
  <sheetData>
    <row r="1" ht="32" customHeight="1">
      <c r="B1" s="1" t="inlineStr">
        <is>
          <t>BID SUMMARY — Roll-Up to Final Bid</t>
        </is>
      </c>
    </row>
    <row r="2">
      <c r="B2" s="27" t="inlineStr">
        <is>
          <t>Project: =ProjectName    GC: =GCName</t>
        </is>
      </c>
    </row>
    <row r="4">
      <c r="B4" s="8" t="inlineStr">
        <is>
          <t>DIRECT COST ROLL-UP</t>
        </is>
      </c>
    </row>
    <row r="5">
      <c r="B5" s="4" t="inlineStr">
        <is>
          <t>Material (from Material Takeoff)</t>
        </is>
      </c>
      <c r="C5" s="28">
        <f>'Material Takeoff'!I36</f>
        <v/>
      </c>
    </row>
    <row r="6">
      <c r="B6" s="4" t="inlineStr">
        <is>
          <t>Labor (from Labor Estimate)</t>
        </is>
      </c>
      <c r="C6" s="28">
        <f>'Labor Estimate'!I22</f>
        <v/>
      </c>
    </row>
    <row r="7">
      <c r="B7" s="4" t="inlineStr">
        <is>
          <t>Equipment (from Equipment Estimate)</t>
        </is>
      </c>
      <c r="C7" s="28">
        <f>'Equipment Estimate'!G16</f>
        <v/>
      </c>
    </row>
    <row r="8">
      <c r="B8" s="4" t="inlineStr">
        <is>
          <t>Subcontract (from Subcontract Estimate)</t>
        </is>
      </c>
      <c r="C8" s="28">
        <f>'Subcontract Estimate'!E15</f>
        <v/>
      </c>
    </row>
    <row r="9">
      <c r="B9" s="4" t="inlineStr">
        <is>
          <t>DIRECT COST SUBTOTAL</t>
        </is>
      </c>
      <c r="C9" s="18">
        <f>SUM(C5:C8)</f>
        <v/>
      </c>
    </row>
    <row r="11">
      <c r="B11" s="4" t="inlineStr">
        <is>
          <t>Premium (heights, after-hours, distance, AESS, etc.)</t>
        </is>
      </c>
      <c r="C11" s="29">
        <f>C9*TotalPremiumPct</f>
        <v/>
      </c>
      <c r="D11" s="24">
        <f>TotalPremiumPct</f>
        <v/>
      </c>
    </row>
    <row r="12">
      <c r="B12" s="4" t="inlineStr">
        <is>
          <t>COST OF WORK SUBTOTAL</t>
        </is>
      </c>
      <c r="C12" s="18">
        <f>C9+C11</f>
        <v/>
      </c>
    </row>
    <row r="13">
      <c r="B13" s="4" t="inlineStr">
        <is>
          <t>Contingency</t>
        </is>
      </c>
      <c r="C13" s="29">
        <f>C12*Contingency</f>
        <v/>
      </c>
      <c r="D13" s="24">
        <f>Contingency</f>
        <v/>
      </c>
    </row>
    <row r="14">
      <c r="B14" s="4" t="inlineStr">
        <is>
          <t>Project Overhead (general conditions, supervision)</t>
        </is>
      </c>
      <c r="C14" s="29">
        <f>C12*ProjectOH</f>
        <v/>
      </c>
      <c r="D14" s="24">
        <f>ProjectOH</f>
        <v/>
      </c>
    </row>
    <row r="15">
      <c r="B15" s="4" t="inlineStr">
        <is>
          <t>Profit</t>
        </is>
      </c>
      <c r="C15" s="29">
        <f>C12*ProjectProfit</f>
        <v/>
      </c>
      <c r="D15" s="24">
        <f>ProjectProfit</f>
        <v/>
      </c>
    </row>
    <row r="16">
      <c r="B16" s="4" t="inlineStr">
        <is>
          <t>BID BEFORE BOND</t>
        </is>
      </c>
      <c r="C16" s="18">
        <f>C12+C13+C14+C15</f>
        <v/>
      </c>
    </row>
    <row r="17">
      <c r="B17" s="4" t="inlineStr">
        <is>
          <t>Performance + Payment Bond</t>
        </is>
      </c>
      <c r="C17" s="29">
        <f>C16*BondPct/(1-BondPct)</f>
        <v/>
      </c>
      <c r="D17" s="24">
        <f>BondPct</f>
        <v/>
      </c>
      <c r="E17" s="11" t="inlineStr">
        <is>
          <t>Of final bid</t>
        </is>
      </c>
    </row>
    <row r="19" ht="38" customHeight="1">
      <c r="B19" s="30" t="inlineStr">
        <is>
          <t>FINAL BID NUMBER</t>
        </is>
      </c>
      <c r="C19" s="31">
        <f>C16+C17</f>
        <v/>
      </c>
    </row>
    <row r="22">
      <c r="B22" s="8" t="inlineStr">
        <is>
          <t>SANITY CHECKS</t>
        </is>
      </c>
    </row>
    <row r="23">
      <c r="B23" s="32" t="inlineStr">
        <is>
          <t>$/Ton (final bid / total structural tons)</t>
        </is>
      </c>
      <c r="C23" s="28">
        <f>IFERROR(C19/(SUMIFS('Material Takeoff'!E:E,'Material Takeoff'!B:B,"05 12 23",'Material Takeoff'!D:D,"TON")+SUMIFS('Material Takeoff'!E:E,'Material Takeoff'!B:B,"05 12 33",'Material Takeoff'!D:D,"TON")),0)</f>
        <v/>
      </c>
    </row>
    <row r="24">
      <c r="B24" s="32" t="inlineStr">
        <is>
          <t>$/SF Decking (subcontract + decking labor)</t>
        </is>
      </c>
      <c r="C24" s="28">
        <f>IFERROR((SUMIFS('Labor Estimate'!I:I,'Labor Estimate'!B:B,"05 31 13")+SUMIFS('Labor Estimate'!I:I,'Labor Estimate'!B:B,"05 31 23"))/(SUMIFS('Material Takeoff'!E:E,'Material Takeoff'!B:B,"05 31 13",'Material Takeoff'!D:D,"SF")+SUMIFS('Material Takeoff'!E:E,'Material Takeoff'!B:B,"05 31 23",'Material Takeoff'!D:D,"SF")),0)</f>
        <v/>
      </c>
    </row>
    <row r="25">
      <c r="B25" s="32" t="inlineStr">
        <is>
          <t>Labor % of final bid (sanity: typically 25-45%)</t>
        </is>
      </c>
      <c r="C25" s="9">
        <f>IFERROR('Labor Estimate'!I22/C19,0)</f>
        <v/>
      </c>
    </row>
    <row r="26">
      <c r="B26" s="32" t="inlineStr">
        <is>
          <t>Equipment % of final bid (sanity: typically 8-18%)</t>
        </is>
      </c>
      <c r="C26" s="9">
        <f>IFERROR('Equipment Estimate'!G16/C19,0)</f>
        <v/>
      </c>
    </row>
    <row r="27">
      <c r="B27" s="32" t="inlineStr">
        <is>
          <t>Markup % effective (above raw direct cost)</t>
        </is>
      </c>
      <c r="C27" s="9">
        <f>IFERROR((C19-C9)/C9,0)</f>
        <v/>
      </c>
    </row>
    <row r="30">
      <c r="B30" s="8" t="inlineStr">
        <is>
          <t>CSI DIVISION ROLL-UP (for Sub Schedule of Values)</t>
        </is>
      </c>
    </row>
    <row r="31" ht="30" customHeight="1">
      <c r="B31" s="12" t="inlineStr">
        <is>
          <t>CSI Division</t>
        </is>
      </c>
      <c r="C31" s="12" t="inlineStr">
        <is>
          <t>Material ($)</t>
        </is>
      </c>
      <c r="D31" s="12" t="inlineStr">
        <is>
          <t>Labor ($)</t>
        </is>
      </c>
      <c r="E31" s="12" t="inlineStr">
        <is>
          <t>Total ($)</t>
        </is>
      </c>
    </row>
    <row r="32">
      <c r="B32" s="5" t="inlineStr">
        <is>
          <t>03 — Cast-in-Place Concrete (embeds cross-ref)</t>
        </is>
      </c>
      <c r="C32" s="29">
        <f>SUMPRODUCT((LEFT('Material Takeoff'!B5:B40,2)="03")*'Material Takeoff'!I5:I40)</f>
        <v/>
      </c>
      <c r="D32" s="29">
        <f>SUMPRODUCT((LEFT('Labor Estimate'!B5:B25,2)="03")*'Labor Estimate'!I5:I25)</f>
        <v/>
      </c>
      <c r="E32" s="29">
        <f>C32+D32</f>
        <v/>
      </c>
    </row>
    <row r="33">
      <c r="B33" s="5" t="inlineStr">
        <is>
          <t>05 — Metals</t>
        </is>
      </c>
      <c r="C33" s="29">
        <f>SUMPRODUCT((LEFT('Material Takeoff'!B5:B40,2)="05")*'Material Takeoff'!I5:I40)</f>
        <v/>
      </c>
      <c r="D33" s="29">
        <f>SUMPRODUCT((LEFT('Labor Estimate'!B5:B25,2)="05")*'Labor Estimate'!I5:I25)</f>
        <v/>
      </c>
      <c r="E33" s="29">
        <f>C33+D33</f>
        <v/>
      </c>
    </row>
    <row r="34">
      <c r="B34" s="5" t="inlineStr">
        <is>
          <t>07 — Thermal &amp; Moisture (fireproofing cross-ref)</t>
        </is>
      </c>
      <c r="C34" s="29">
        <f>SUMPRODUCT((LEFT('Material Takeoff'!B5:B40,2)="07")*'Material Takeoff'!I5:I40)</f>
        <v/>
      </c>
      <c r="D34" s="29">
        <f>SUMPRODUCT((LEFT('Labor Estimate'!B5:B25,2)="07")*'Labor Estimate'!I5:I25)</f>
        <v/>
      </c>
      <c r="E34" s="29">
        <f>C34+D34</f>
        <v/>
      </c>
    </row>
    <row r="35">
      <c r="B35" s="5" t="inlineStr">
        <is>
          <t>09 — Finishes (paint cross-ref)</t>
        </is>
      </c>
      <c r="C35" s="29">
        <f>SUMPRODUCT((LEFT('Material Takeoff'!B5:B40,2)="09")*'Material Takeoff'!I5:I40)</f>
        <v/>
      </c>
      <c r="D35" s="29">
        <f>SUMPRODUCT((LEFT('Labor Estimate'!B5:B25,2)="09")*'Labor Estimate'!I5:I25)</f>
        <v/>
      </c>
      <c r="E35" s="29">
        <f>C35+D35</f>
        <v/>
      </c>
    </row>
  </sheetData>
  <mergeCells count="2">
    <mergeCell ref="B1:E1"/>
    <mergeCell ref="B2:E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14" customWidth="1" min="1" max="1"/>
    <col width="50" customWidth="1" min="2" max="2"/>
    <col width="60" customWidth="1" min="3" max="3"/>
  </cols>
  <sheetData>
    <row r="1">
      <c r="A1" s="8" t="inlineStr">
        <is>
          <t>CSI MasterFormat — Steel Erector Scope</t>
        </is>
      </c>
    </row>
    <row r="3">
      <c r="A3" s="33" t="inlineStr">
        <is>
          <t>Section</t>
        </is>
      </c>
      <c r="B3" s="33" t="inlineStr">
        <is>
          <t>Title</t>
        </is>
      </c>
      <c r="C3" s="33" t="inlineStr">
        <is>
          <t>Scope Notes</t>
        </is>
      </c>
    </row>
    <row r="4">
      <c r="A4" s="5" t="inlineStr">
        <is>
          <t>05 12 23</t>
        </is>
      </c>
      <c r="B4" s="5" t="inlineStr">
        <is>
          <t>Structural Steel Framing</t>
        </is>
      </c>
      <c r="C4" s="5" t="inlineStr">
        <is>
          <t>Primary structural steel members (W, HSS, C, L, MC shapes)</t>
        </is>
      </c>
    </row>
    <row r="5">
      <c r="A5" s="5" t="inlineStr">
        <is>
          <t>05 12 33</t>
        </is>
      </c>
      <c r="B5" s="5" t="inlineStr">
        <is>
          <t>Architecturally Exposed Structural Steel (AESS)</t>
        </is>
      </c>
      <c r="C5" s="5" t="inlineStr">
        <is>
          <t>AESS tier finish steel — higher tolerance, more prep</t>
        </is>
      </c>
    </row>
    <row r="6">
      <c r="A6" s="5" t="inlineStr">
        <is>
          <t>05 21 19</t>
        </is>
      </c>
      <c r="B6" s="5" t="inlineStr">
        <is>
          <t>Open-Web Steel Joists</t>
        </is>
      </c>
      <c r="C6" s="5" t="inlineStr">
        <is>
          <t>K-series, LH-series, DLH-series joists</t>
        </is>
      </c>
    </row>
    <row r="7">
      <c r="A7" s="5" t="inlineStr">
        <is>
          <t>05 21 23</t>
        </is>
      </c>
      <c r="B7" s="5" t="inlineStr">
        <is>
          <t>Joist Girders</t>
        </is>
      </c>
      <c r="C7" s="5" t="inlineStr">
        <is>
          <t>Long-span joist girders supporting joists</t>
        </is>
      </c>
    </row>
    <row r="8">
      <c r="A8" s="5" t="inlineStr">
        <is>
          <t>05 31 13</t>
        </is>
      </c>
      <c r="B8" s="5" t="inlineStr">
        <is>
          <t>Steel Floor Decking</t>
        </is>
      </c>
      <c r="C8" s="5" t="inlineStr">
        <is>
          <t>Composite or non-composite floor deck (1.5VL, 2VL, 3VL, etc.)</t>
        </is>
      </c>
    </row>
    <row r="9">
      <c r="A9" s="5" t="inlineStr">
        <is>
          <t>05 31 23</t>
        </is>
      </c>
      <c r="B9" s="5" t="inlineStr">
        <is>
          <t>Steel Roof Decking</t>
        </is>
      </c>
      <c r="C9" s="5" t="inlineStr">
        <is>
          <t>Roof deck (1.5B, 2B, 3B, 1.5BR, etc.)</t>
        </is>
      </c>
    </row>
    <row r="10">
      <c r="A10" s="5" t="inlineStr">
        <is>
          <t>05 31 33</t>
        </is>
      </c>
      <c r="B10" s="5" t="inlineStr">
        <is>
          <t>Steel Form Decking</t>
        </is>
      </c>
      <c r="C10" s="5" t="inlineStr">
        <is>
          <t>Permanent metal form decking</t>
        </is>
      </c>
    </row>
    <row r="11">
      <c r="A11" s="5" t="inlineStr">
        <is>
          <t>05 41 00</t>
        </is>
      </c>
      <c r="B11" s="5" t="inlineStr">
        <is>
          <t>Structural Metal Stud Framing</t>
        </is>
      </c>
      <c r="C11" s="5" t="inlineStr">
        <is>
          <t>Load-bearing metal stud framing (rare for erector)</t>
        </is>
      </c>
    </row>
    <row r="12">
      <c r="A12" s="5" t="inlineStr">
        <is>
          <t>05 50 00</t>
        </is>
      </c>
      <c r="B12" s="5" t="inlineStr">
        <is>
          <t>Metal Fabrications</t>
        </is>
      </c>
      <c r="C12" s="5" t="inlineStr">
        <is>
          <t>Miscellaneous metals — railings, ladders, embed plates</t>
        </is>
      </c>
    </row>
    <row r="13">
      <c r="A13" s="5" t="inlineStr">
        <is>
          <t>05 51 13</t>
        </is>
      </c>
      <c r="B13" s="5" t="inlineStr">
        <is>
          <t>Metal Pan Stairs</t>
        </is>
      </c>
      <c r="C13" s="5" t="inlineStr">
        <is>
          <t>Metal pan stairs installed by erector</t>
        </is>
      </c>
    </row>
    <row r="14">
      <c r="A14" s="5" t="inlineStr">
        <is>
          <t>05 51 33</t>
        </is>
      </c>
      <c r="B14" s="5" t="inlineStr">
        <is>
          <t>Metal Ladders</t>
        </is>
      </c>
      <c r="C14" s="5" t="inlineStr">
        <is>
          <t>Caged/uncaged metal ladders</t>
        </is>
      </c>
    </row>
    <row r="15">
      <c r="A15" s="5" t="inlineStr">
        <is>
          <t>05 52 13</t>
        </is>
      </c>
      <c r="B15" s="5" t="inlineStr">
        <is>
          <t>Pipe and Tube Railings</t>
        </is>
      </c>
      <c r="C15" s="5" t="inlineStr">
        <is>
          <t>Stair, balcony, and platform railings</t>
        </is>
      </c>
    </row>
    <row r="16">
      <c r="A16" s="5" t="inlineStr">
        <is>
          <t>05 71 13</t>
        </is>
      </c>
      <c r="B16" s="5" t="inlineStr">
        <is>
          <t>Fabricated Metal Spiral Stairs</t>
        </is>
      </c>
      <c r="C16" s="5" t="inlineStr">
        <is>
          <t>Spiral stairs (often shop-fab + field erect)</t>
        </is>
      </c>
    </row>
    <row r="17">
      <c r="A17" s="5" t="inlineStr">
        <is>
          <t>05 73 16</t>
        </is>
      </c>
      <c r="B17" s="5" t="inlineStr">
        <is>
          <t>Wire Rope Decorative Metal Railings</t>
        </is>
      </c>
      <c r="C17" s="5" t="inlineStr">
        <is>
          <t>Tension wire-rope cable rail systems</t>
        </is>
      </c>
    </row>
    <row r="18">
      <c r="A18" s="5" t="inlineStr">
        <is>
          <t>03 30 00</t>
        </is>
      </c>
      <c r="B18" s="5" t="inlineStr">
        <is>
          <t>Cast-in-Place Concrete (embeds)</t>
        </is>
      </c>
      <c r="C18" s="5" t="inlineStr">
        <is>
          <t>Embed plates / anchor rods — supplied by erector, set by concrete contractor</t>
        </is>
      </c>
    </row>
    <row r="19">
      <c r="A19" s="5" t="inlineStr">
        <is>
          <t>05 75 00</t>
        </is>
      </c>
      <c r="B19" s="5" t="inlineStr">
        <is>
          <t>Decorative Formed Metal</t>
        </is>
      </c>
      <c r="C19" s="5" t="inlineStr">
        <is>
          <t>Decorative cladding / canopies</t>
        </is>
      </c>
    </row>
    <row r="20">
      <c r="A20" s="5" t="inlineStr">
        <is>
          <t>07 81 00</t>
        </is>
      </c>
      <c r="B20" s="5" t="inlineStr">
        <is>
          <t>Applied Fireproofing</t>
        </is>
      </c>
      <c r="C20" s="5" t="inlineStr">
        <is>
          <t>Spray-applied fireproofing on steel (typically separate sub)</t>
        </is>
      </c>
    </row>
    <row r="21">
      <c r="A21" s="5" t="inlineStr">
        <is>
          <t>09 91 00</t>
        </is>
      </c>
      <c r="B21" s="5" t="inlineStr">
        <is>
          <t>Painting (Touch-Up)</t>
        </is>
      </c>
      <c r="C21" s="5" t="inlineStr">
        <is>
          <t>Shop primer touch-up on welds/abrasions</t>
        </is>
      </c>
    </row>
    <row r="22">
      <c r="A22" s="5" t="inlineStr">
        <is>
          <t>13 34 19</t>
        </is>
      </c>
      <c r="B22" s="5" t="inlineStr">
        <is>
          <t>Pre-Engineered Metal Buildings</t>
        </is>
      </c>
      <c r="C22" s="5" t="inlineStr">
        <is>
          <t>PEMB — if erector takes on the metal-building scope</t>
        </is>
      </c>
    </row>
    <row r="23">
      <c r="A23" s="5" t="inlineStr">
        <is>
          <t>33 16 00</t>
        </is>
      </c>
      <c r="B23" s="5" t="inlineStr">
        <is>
          <t>Water Utility Storage Tanks (Steel)</t>
        </is>
      </c>
      <c r="C23" s="5" t="inlineStr">
        <is>
          <t>Bolted/welded steel water tanks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2026-05-17T14:25:39Z</dcterms:created>
  <dcterms:modified xmlns:dcterms="http://purl.org/dc/terms/" xmlns:xsi="http://www.w3.org/2001/XMLSchema-instance" xsi:type="dcterms:W3CDTF">2026-05-17T14:25:39Z</dcterms:modified>
</cp:coreProperties>
</file>