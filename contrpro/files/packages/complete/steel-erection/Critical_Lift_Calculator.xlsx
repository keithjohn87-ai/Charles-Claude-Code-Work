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Lift Identification" sheetId="2" state="visible" r:id="rId2"/>
    <sheet xmlns:r="http://schemas.openxmlformats.org/officeDocument/2006/relationships" name="Pick Weight" sheetId="3" state="visible" r:id="rId3"/>
    <sheet xmlns:r="http://schemas.openxmlformats.org/officeDocument/2006/relationships" name="Crane Capacity Check" sheetId="4" state="visible" r:id="rId4"/>
    <sheet xmlns:r="http://schemas.openxmlformats.org/officeDocument/2006/relationships" name="Sling Angle Check" sheetId="5" state="visible" r:id="rId5"/>
    <sheet xmlns:r="http://schemas.openxmlformats.org/officeDocument/2006/relationships" name="Ground Bearing Check" sheetId="6" state="visible" r:id="rId6"/>
    <sheet xmlns:r="http://schemas.openxmlformats.org/officeDocument/2006/relationships" name="Tandem Lift" sheetId="7" state="visible" r:id="rId7"/>
    <sheet xmlns:r="http://schemas.openxmlformats.org/officeDocument/2006/relationships" name="Lift Permit Summary" sheetId="8" state="visible" r:id="rId8"/>
  </sheets>
  <definedNames>
    <definedName name="ProjectName">'Lift Identification'!$C$3</definedName>
    <definedName name="LiftPermit">'Lift Identification'!$C$7</definedName>
    <definedName name="LiftElement">'Lift Identification'!$C$9</definedName>
    <definedName name="LiftDirector">'Lift Identification'!$C$11</definedName>
    <definedName name="LiftOperator">'Lift Identification'!$C$12</definedName>
    <definedName name="TotalPickWeight">'Pick Weight'!$C$14</definedName>
    <definedName name="CriticalThreshold">'Pick Weight'!$C$17</definedName>
    <definedName name="WarningThreshold">'Pick Weight'!$C$18</definedName>
    <definedName name="NetCapacity">'Crane Capacity Check'!$C$14</definedName>
    <definedName name="PctCapacity">'Crane Capacity Check'!$C$17</definedName>
    <definedName name="LiftFlag">'Crane Capacity Check'!$C$18</definedName>
    <definedName name="LiftRadius">'Crane Capacity Check'!$C$9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_(* #,##0_);_(* (#,##0);_(* &quot;-&quot;_);_(@_)"/>
    <numFmt numFmtId="165" formatCode="0.0%"/>
    <numFmt numFmtId="166" formatCode="0.0"/>
    <numFmt numFmtId="167" formatCode="#,##0.0&quot; ft&quot;"/>
    <numFmt numFmtId="168" formatCode="#,##0.0&quot;°&quot;"/>
  </numFmts>
  <fonts count="8">
    <font>
      <name val="Calibri"/>
      <family val="2"/>
      <color theme="1"/>
      <sz val="11"/>
      <scheme val="minor"/>
    </font>
    <font>
      <name val="Calibri"/>
      <b val="1"/>
      <color rgb="001E3A5F"/>
      <sz val="22"/>
    </font>
    <font>
      <name val="Calibri"/>
      <sz val="11"/>
    </font>
    <font>
      <name val="Calibri"/>
      <b val="1"/>
      <color rgb="001E3A5F"/>
      <sz val="12"/>
    </font>
    <font>
      <name val="Calibri"/>
      <b val="1"/>
      <sz val="11"/>
    </font>
    <font>
      <name val="Calibri"/>
      <i val="1"/>
      <color rgb="00808080"/>
      <sz val="11"/>
    </font>
    <font>
      <name val="Calibri"/>
      <b val="1"/>
      <color rgb="001E3A5F"/>
      <sz val="18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D6E0EC"/>
      </patternFill>
    </fill>
    <fill>
      <patternFill patternType="solid">
        <fgColor rgb="001E3A5F"/>
      </patternFill>
    </fill>
  </fills>
  <borders count="2">
    <border>
      <left/>
      <right/>
      <top/>
      <bottom/>
      <diagonal/>
    </border>
    <border>
      <left style="thin">
        <color rgb="00B0B7BF"/>
      </left>
      <right style="thin">
        <color rgb="00B0B7BF"/>
      </right>
      <top style="thin">
        <color rgb="00B0B7BF"/>
      </top>
      <bottom style="thin">
        <color rgb="00B0B7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pivotButton="0" quotePrefix="0" xfId="0"/>
    <xf numFmtId="0" fontId="2" fillId="0" borderId="1" pivotButton="0" quotePrefix="0" xfId="0"/>
    <xf numFmtId="0" fontId="5" fillId="0" borderId="0" pivotButton="0" quotePrefix="0" xfId="0"/>
    <xf numFmtId="0" fontId="2" fillId="2" borderId="1" pivotButton="0" quotePrefix="0" xfId="0"/>
    <xf numFmtId="164" fontId="2" fillId="0" borderId="1" pivotButton="0" quotePrefix="0" xfId="0"/>
    <xf numFmtId="164" fontId="6" fillId="2" borderId="1" pivotButton="0" quotePrefix="0" xfId="0"/>
    <xf numFmtId="165" fontId="2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4" fontId="0" fillId="0" borderId="1" pivotButton="0" quotePrefix="0" xfId="0"/>
    <xf numFmtId="167" fontId="0" fillId="0" borderId="1" pivotButton="0" quotePrefix="0" xfId="0"/>
    <xf numFmtId="168" fontId="0" fillId="0" borderId="1" pivotButton="0" quotePrefix="0" xfId="0"/>
    <xf numFmtId="0" fontId="2" fillId="0" borderId="0" pivotButton="0" quotePrefix="0" xfId="0"/>
    <xf numFmtId="165" fontId="6" fillId="0" borderId="1" pivotButton="0" quotePrefix="0" xfId="0"/>
    <xf numFmtId="0" fontId="4" fillId="0" borderId="1" pivotButton="0" quotePrefix="0" xfId="0"/>
    <xf numFmtId="2" fontId="0" fillId="0" borderId="1" pivotButton="0" quotePrefix="0" xfId="0"/>
    <xf numFmtId="0" fontId="3" fillId="0" borderId="0" pivotButton="0" quotePrefix="0" xfId="0"/>
    <xf numFmtId="0" fontId="7" fillId="3" borderId="1" applyAlignment="1" pivotButton="0" quotePrefix="0" xfId="0">
      <alignment horizontal="center" vertical="center" wrapText="1"/>
    </xf>
    <xf numFmtId="165" fontId="0" fillId="0" borderId="1" pivotButton="0" quotePrefix="0" xfId="0"/>
    <xf numFmtId="164" fontId="0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dxfs count="4">
    <dxf>
      <font>
        <b val="1"/>
        <color rgb="009C0006"/>
      </font>
      <fill>
        <patternFill patternType="solid">
          <fgColor rgb="00FFC7CE"/>
        </patternFill>
      </fill>
    </dxf>
    <dxf>
      <font>
        <b val="1"/>
        <color rgb="009C5700"/>
      </font>
      <fill>
        <patternFill patternType="solid">
          <fgColor rgb="00FFEB9C"/>
        </patternFill>
      </fill>
    </dxf>
    <dxf>
      <font>
        <b val="1"/>
        <color rgb="00006100"/>
      </font>
      <fill>
        <patternFill patternType="solid">
          <fgColor rgb="00C6EFCE"/>
        </patternFill>
      </fill>
    </dxf>
    <dxf>
      <font>
        <color rgb="009C5700"/>
      </font>
      <fill>
        <patternFill patternType="solid">
          <fgColor rgb="00FFE4B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2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 ht="36" customHeight="1">
      <c r="A1" s="1" t="inlineStr">
        <is>
          <t>CRITICAL LIFT CALCULATOR — Instructions</t>
        </is>
      </c>
    </row>
    <row r="2">
      <c r="A2" s="2" t="inlineStr"/>
    </row>
    <row r="3">
      <c r="A3" s="3" t="inlineStr">
        <is>
          <t>WHAT THIS WORKBOOK COMPUTES</t>
        </is>
      </c>
    </row>
    <row r="4">
      <c r="A4" s="2" t="inlineStr">
        <is>
          <t>Pick weight (structural + rigging + crane block), percent of crane capacity at the lift radius, sling angle de-rate, ground bearing pressure under outriggers, and a roll-up suitable for the Critical Lift Permit (Section 11 of the Lift Plan HTML).</t>
        </is>
      </c>
    </row>
    <row r="5">
      <c r="A5" s="2" t="inlineStr"/>
    </row>
    <row r="6">
      <c r="A6" s="3" t="inlineStr">
        <is>
          <t>WORKFLOW</t>
        </is>
      </c>
    </row>
    <row r="7">
      <c r="A7" s="2" t="inlineStr">
        <is>
          <t>1. Lift Identification: project, lift #, element, date.</t>
        </is>
      </c>
    </row>
    <row r="8">
      <c r="A8" s="2" t="inlineStr">
        <is>
          <t>2. Pick Weight: enter structural weight (from shop drawings or MTRs), rigging weights, hook block.</t>
        </is>
      </c>
    </row>
    <row r="9">
      <c r="A9" s="2" t="inlineStr">
        <is>
          <t>3. Crane Capacity Check: enter crane configuration + load chart capacity at the lift radius. The workbook computes % of capacity used. Critical-lift trigger fires at ≥ 75%.</t>
        </is>
      </c>
    </row>
    <row r="10">
      <c r="A10" s="2" t="inlineStr">
        <is>
          <t>4. Sling Angle Check: enter sling configuration (length, sling-to-load attachment geometry). The workbook computes sling angle and per-sling load. Sling angles below 45° from horizontal are FLAGGED — choose longer slings or a spreader bar.</t>
        </is>
      </c>
    </row>
    <row r="11">
      <c r="A11" s="2" t="inlineStr">
        <is>
          <t>5. Ground Bearing Check: enter outrigger pad / mat dimensions + crane manufacturer's reported outrigger reaction force at this load and radius. The workbook computes bearing pressure and compares to soils-report capacity.</t>
        </is>
      </c>
    </row>
    <row r="12">
      <c r="A12" s="2" t="inlineStr">
        <is>
          <t>6. Tandem Lift (optional): if two cranes share the load, enter each crane's share and radius — the workbook checks both cranes individually for ≥ 75% capacity threshold.</t>
        </is>
      </c>
    </row>
    <row r="13">
      <c r="A13" s="2" t="inlineStr">
        <is>
          <t>7. Lift Permit Summary: print this tab as the back-up sheet to the Critical Lift Permit in the Lift Plan HTML.</t>
        </is>
      </c>
    </row>
    <row r="14">
      <c r="A14" s="2" t="inlineStr"/>
    </row>
    <row r="15">
      <c r="A15" s="3" t="inlineStr">
        <is>
          <t>CRITICAL-LIFT THRESHOLD</t>
        </is>
      </c>
    </row>
    <row r="16">
      <c r="A16" s="2" t="inlineStr">
        <is>
          <t>Per most commercial lift plans, a critical lift is triggered at ≥ 75% of crane capacity at the operating radius. Some firms use 80% as a slightly more relaxed threshold; some use 50% on more conservative programs. Adjust the threshold on Pick Weight tab if your firm's policy differs.</t>
        </is>
      </c>
    </row>
    <row r="17">
      <c r="A17" s="2" t="inlineStr"/>
    </row>
    <row r="18">
      <c r="A18" s="3" t="inlineStr">
        <is>
          <t>SLING ANGLE — CRITICAL CHECK</t>
        </is>
      </c>
    </row>
    <row r="19">
      <c r="A19" s="2" t="inlineStr">
        <is>
          <t>Sling angle is the angle between the sling and the horizontal at the load. Below 60° the share of load on each sling rises sharply: at 30° each sling sees 2× the vertical share. The workbook computes both the sling angle and the per-sling load with de-rate. Slings must have a working load limit (WLL) ≥ the per-sling load.</t>
        </is>
      </c>
    </row>
    <row r="20">
      <c r="A20" s="2" t="inlineStr"/>
    </row>
    <row r="21">
      <c r="A21" s="3" t="inlineStr">
        <is>
          <t>GROUND BEARING — CRITICAL CHECK</t>
        </is>
      </c>
    </row>
    <row r="22">
      <c r="A22" s="2" t="inlineStr">
        <is>
          <t>Outrigger float pressure = outrigger reaction force ÷ outrigger pad area. The reaction force at the worst-case outrigger is given by the crane manufacturer's outrigger reaction chart at the lift configuration. Bearing pressure must be ≤ soils-report capacity / factor of safety (typically 2.0). If a mat is used instead of a pad, mat area takes the place of pad area in the formula.</t>
        </is>
      </c>
    </row>
    <row r="23">
      <c r="A23" s="2" t="inlineStr"/>
    </row>
    <row r="24">
      <c r="A24" s="3" t="inlineStr">
        <is>
          <t>ROUNDING + SAFETY MARGINS</t>
        </is>
      </c>
    </row>
    <row r="25">
      <c r="A25" s="2" t="inlineStr">
        <is>
          <t>The workbook rounds DOWN on capacities and UP on loads. Always design with a margin: even when the workbook reports 73%, treat anything above 65% as 'a critical lift in waiting' and run the full critical-lift procedure if conditions could push it higher (wind, hung-up sling, swing).</t>
        </is>
      </c>
    </row>
    <row r="26">
      <c r="A26" s="2" t="inlineStr"/>
    </row>
    <row r="27">
      <c r="A27" s="3" t="inlineStr">
        <is>
          <t>WHAT THIS WORKBOOK DOES NOT DO</t>
        </is>
      </c>
    </row>
    <row r="28">
      <c r="A28" s="2" t="inlineStr">
        <is>
          <t xml:space="preserve">  - Verify crane operator certification. (Check the operator's NCCCO card.)</t>
        </is>
      </c>
    </row>
    <row r="29">
      <c r="A29" s="2" t="inlineStr">
        <is>
          <t xml:space="preserve">  - Verify rigging certification. (Inspect slings, shackles, hooks before lift.)</t>
        </is>
      </c>
    </row>
    <row r="30">
      <c r="A30" s="2" t="inlineStr">
        <is>
          <t xml:space="preserve">  - Substitute for the operator's load chart. (Use the manufacturer's chart for the specific crane in the specific configuration on the specific outrigger set.)</t>
        </is>
      </c>
    </row>
    <row r="31">
      <c r="A31" s="2" t="inlineStr">
        <is>
          <t xml:space="preserve">  - Compute crane stability or boom-deflection effects. (Manufacturer's chart already does this.)</t>
        </is>
      </c>
    </row>
    <row r="32">
      <c r="A32" s="2" t="inlineStr">
        <is>
          <t xml:space="preserve">  - Make critical-lift policy decisions. (The Lift Director and the EOR own that call.)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1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38" customWidth="1" min="3" max="3"/>
  </cols>
  <sheetData>
    <row r="1" ht="32" customHeight="1">
      <c r="B1" s="1" t="inlineStr">
        <is>
          <t>LIFT IDENTIFICATION</t>
        </is>
      </c>
    </row>
    <row r="3">
      <c r="B3" s="4" t="inlineStr">
        <is>
          <t>Project Name</t>
        </is>
      </c>
      <c r="C3" s="5" t="inlineStr"/>
    </row>
    <row r="4">
      <c r="B4" s="4" t="inlineStr">
        <is>
          <t>Project Address</t>
        </is>
      </c>
      <c r="C4" s="5" t="inlineStr"/>
    </row>
    <row r="5">
      <c r="B5" s="4" t="inlineStr">
        <is>
          <t>Controlling Contractor (GC)</t>
        </is>
      </c>
      <c r="C5" s="5" t="inlineStr"/>
    </row>
    <row r="6">
      <c r="B6" s="4" t="inlineStr">
        <is>
          <t>Steel Erector</t>
        </is>
      </c>
      <c r="C6" s="5" t="inlineStr"/>
    </row>
    <row r="7">
      <c r="B7" s="4" t="inlineStr">
        <is>
          <t>Lift Permit No.</t>
        </is>
      </c>
      <c r="C7" s="5" t="inlineStr"/>
    </row>
    <row r="8">
      <c r="B8" s="4" t="inlineStr">
        <is>
          <t>Lift Date / Time</t>
        </is>
      </c>
      <c r="C8" s="5" t="inlineStr"/>
    </row>
    <row r="9">
      <c r="B9" s="4" t="inlineStr">
        <is>
          <t>Element / Description</t>
        </is>
      </c>
      <c r="C9" s="5" t="inlineStr"/>
    </row>
    <row r="10">
      <c r="B10" s="4" t="inlineStr">
        <is>
          <t>Gridline / Location</t>
        </is>
      </c>
      <c r="C10" s="5" t="inlineStr"/>
    </row>
    <row r="11">
      <c r="B11" s="4" t="inlineStr">
        <is>
          <t>Lift Director</t>
        </is>
      </c>
      <c r="C11" s="5" t="inlineStr"/>
    </row>
    <row r="12">
      <c r="B12" s="4" t="inlineStr">
        <is>
          <t>Crane Operator</t>
        </is>
      </c>
      <c r="C12" s="5" t="inlineStr"/>
    </row>
    <row r="13">
      <c r="B13" s="4" t="inlineStr">
        <is>
          <t>Signal Person</t>
        </is>
      </c>
      <c r="C13" s="5" t="inlineStr"/>
    </row>
    <row r="14">
      <c r="B14" s="4" t="inlineStr">
        <is>
          <t>Rigger</t>
        </is>
      </c>
      <c r="C14" s="5" t="inlineStr"/>
    </row>
    <row r="15">
      <c r="B15" s="4" t="inlineStr">
        <is>
          <t>Spotter (energized lines, if applicable)</t>
        </is>
      </c>
      <c r="C15" s="5" t="inlineStr"/>
    </row>
    <row r="16">
      <c r="B16" s="4" t="inlineStr">
        <is>
          <t>EOR Review Required? (Yes/No)</t>
        </is>
      </c>
      <c r="C16" s="5" t="inlineStr">
        <is>
          <t>No</t>
        </is>
      </c>
    </row>
    <row r="17">
      <c r="B17" s="4" t="inlineStr">
        <is>
          <t>EOR Review Date / Reviewer</t>
        </is>
      </c>
      <c r="C17" s="5" t="inlineStr"/>
    </row>
  </sheetData>
  <mergeCells count="1">
    <mergeCell ref="B1:C1"/>
  </mergeCells>
  <dataValidations count="1">
    <dataValidation sqref="C16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D1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18" customWidth="1" min="3" max="3"/>
    <col width="36" customWidth="1" min="4" max="4"/>
  </cols>
  <sheetData>
    <row r="1" ht="32" customHeight="1">
      <c r="B1" s="1" t="inlineStr">
        <is>
          <t>PICK WEIGHT CALCULATION</t>
        </is>
      </c>
    </row>
    <row r="2">
      <c r="B2" s="6" t="inlineStr">
        <is>
          <t>Total pick weight = structural element + all rigging components + hook block + reeving below the hook. Source structural weight from shop drawings or MTRs; use vendor-stated rigging weights.</t>
        </is>
      </c>
    </row>
    <row r="4">
      <c r="B4" s="7" t="inlineStr">
        <is>
          <t>Structural element weight (lb)</t>
        </is>
      </c>
      <c r="C4" s="8" t="n">
        <v>0</v>
      </c>
    </row>
    <row r="5">
      <c r="B5" s="7" t="inlineStr">
        <is>
          <t>Allowance for paint / fireproofing / accessories (lb)</t>
        </is>
      </c>
      <c r="C5" s="8" t="n">
        <v>0</v>
      </c>
    </row>
    <row r="6">
      <c r="B6" s="7" t="inlineStr">
        <is>
          <t>Primary sling(s) total weight (lb)</t>
        </is>
      </c>
      <c r="C6" s="8" t="n">
        <v>0</v>
      </c>
    </row>
    <row r="7">
      <c r="B7" s="7" t="inlineStr">
        <is>
          <t>Secondary sling(s) / chokers (lb)</t>
        </is>
      </c>
      <c r="C7" s="8" t="n">
        <v>0</v>
      </c>
    </row>
    <row r="8">
      <c r="B8" s="7" t="inlineStr">
        <is>
          <t>Spreader bar / lifting beam (lb)</t>
        </is>
      </c>
      <c r="C8" s="8" t="n">
        <v>0</v>
      </c>
    </row>
    <row r="9">
      <c r="B9" s="7" t="inlineStr">
        <is>
          <t>Shackles, hooks, swivels (lb)</t>
        </is>
      </c>
      <c r="C9" s="8" t="n">
        <v>0</v>
      </c>
    </row>
    <row r="10">
      <c r="B10" s="7" t="inlineStr">
        <is>
          <t>Hook block (below pulleys) (lb)</t>
        </is>
      </c>
      <c r="C10" s="8" t="n">
        <v>0</v>
      </c>
    </row>
    <row r="11">
      <c r="B11" s="7" t="inlineStr">
        <is>
          <t>Reeving below the block (lb)</t>
        </is>
      </c>
      <c r="C11" s="8" t="n">
        <v>0</v>
      </c>
    </row>
    <row r="12">
      <c r="B12" s="7" t="inlineStr">
        <is>
          <t>Tag-line weight (lb)</t>
        </is>
      </c>
      <c r="C12" s="8" t="n">
        <v>0</v>
      </c>
    </row>
    <row r="13">
      <c r="B13" s="7" t="inlineStr">
        <is>
          <t>Misc. attachments / equalizer (lb)</t>
        </is>
      </c>
      <c r="C13" s="8" t="n">
        <v>0</v>
      </c>
    </row>
    <row r="14">
      <c r="B14" s="4" t="inlineStr">
        <is>
          <t>TOTAL PICK WEIGHT (lb)</t>
        </is>
      </c>
      <c r="C14" s="9">
        <f>SUM(C4:C13)</f>
        <v/>
      </c>
    </row>
    <row r="17">
      <c r="B17" s="4" t="inlineStr">
        <is>
          <t>CRITICAL LIFT THRESHOLD (% of crane capacity)</t>
        </is>
      </c>
      <c r="C17" s="10" t="n">
        <v>0.75</v>
      </c>
      <c r="D17" s="6" t="inlineStr">
        <is>
          <t>Industry-typical = 75%. Lower for conservative programs.</t>
        </is>
      </c>
    </row>
    <row r="18">
      <c r="B18" s="4" t="inlineStr">
        <is>
          <t>NEAR CRITICAL WARNING THRESHOLD (% — flags margin-thin lifts)</t>
        </is>
      </c>
      <c r="C18" s="10" t="n">
        <v>0.6</v>
      </c>
      <c r="D18" s="6" t="inlineStr">
        <is>
          <t>Lifts above this but below Critical Threshold get a yellow margin-warning flag.</t>
        </is>
      </c>
    </row>
  </sheetData>
  <mergeCells count="2">
    <mergeCell ref="B1:D1"/>
    <mergeCell ref="B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D1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6" customWidth="1" min="2" max="2"/>
    <col width="20" customWidth="1" min="3" max="3"/>
    <col width="32" customWidth="1" min="4" max="4"/>
  </cols>
  <sheetData>
    <row r="1" ht="32" customHeight="1">
      <c r="B1" s="1" t="inlineStr">
        <is>
          <t>CRANE CAPACITY CHECK</t>
        </is>
      </c>
    </row>
    <row r="2">
      <c r="B2" s="6" t="inlineStr">
        <is>
          <t>Pull capacity values directly from the crane manufacturer's load chart for THIS crane in THIS configuration on THIS outrigger set at THIS radius. Never approximate from a generic chart.</t>
        </is>
      </c>
    </row>
    <row r="4">
      <c r="B4" s="7" t="inlineStr">
        <is>
          <t>Crane make / model</t>
        </is>
      </c>
      <c r="C4" s="11" t="inlineStr"/>
    </row>
    <row r="5">
      <c r="B5" s="7" t="inlineStr">
        <is>
          <t>Boom length (ft)</t>
        </is>
      </c>
      <c r="C5" s="12" t="n">
        <v>0</v>
      </c>
    </row>
    <row r="6">
      <c r="B6" s="7" t="inlineStr">
        <is>
          <t>Jib / fly configuration</t>
        </is>
      </c>
      <c r="C6" s="11" t="inlineStr"/>
    </row>
    <row r="7">
      <c r="B7" s="7" t="inlineStr">
        <is>
          <t>Counterweight (lb)</t>
        </is>
      </c>
      <c r="C7" s="13" t="n">
        <v>0</v>
      </c>
    </row>
    <row r="8">
      <c r="B8" s="7" t="inlineStr">
        <is>
          <t>Outrigger configuration</t>
        </is>
      </c>
      <c r="C8" s="11" t="inlineStr">
        <is>
          <t>Fully extended</t>
        </is>
      </c>
    </row>
    <row r="9">
      <c r="B9" s="7" t="inlineStr">
        <is>
          <t>Lift radius (ft from center pin)</t>
        </is>
      </c>
      <c r="C9" s="14" t="n">
        <v>0</v>
      </c>
    </row>
    <row r="10">
      <c r="B10" s="7" t="inlineStr">
        <is>
          <t>Boom angle at lift (degrees)</t>
        </is>
      </c>
      <c r="C10" s="15" t="n">
        <v>0</v>
      </c>
    </row>
    <row r="11">
      <c r="B11" s="7" t="inlineStr">
        <is>
          <t>Capacity at this radius — from manufacturer's load chart (lb)</t>
        </is>
      </c>
      <c r="C11" s="13" t="n">
        <v>0</v>
      </c>
    </row>
    <row r="12">
      <c r="B12" s="7" t="inlineStr">
        <is>
          <t>Deduction for hook block + reeving already in chart? (Yes/No)</t>
        </is>
      </c>
      <c r="C12" s="11" t="inlineStr">
        <is>
          <t>No</t>
        </is>
      </c>
    </row>
    <row r="13">
      <c r="B13" s="7" t="inlineStr">
        <is>
          <t>If No, deduction (lb)</t>
        </is>
      </c>
      <c r="C13" s="13" t="n">
        <v>0</v>
      </c>
    </row>
    <row r="14">
      <c r="B14" s="4" t="inlineStr">
        <is>
          <t>NET CRANE CAPACITY (lb)</t>
        </is>
      </c>
      <c r="C14" s="13">
        <f>C11 - IF(C12="No",C13,0)</f>
        <v/>
      </c>
    </row>
    <row r="15">
      <c r="B15" s="16" t="inlineStr"/>
    </row>
    <row r="16">
      <c r="B16" s="7" t="inlineStr">
        <is>
          <t>Total Pick Weight (from Pick Weight tab)</t>
        </is>
      </c>
      <c r="C16" s="13">
        <f>TotalPickWeight</f>
        <v/>
      </c>
    </row>
    <row r="17">
      <c r="B17" s="7" t="inlineStr">
        <is>
          <t>% of Capacity Used</t>
        </is>
      </c>
      <c r="C17" s="17">
        <f>IFERROR(C16/C14,0)</f>
        <v/>
      </c>
    </row>
    <row r="18">
      <c r="B18" s="4" t="inlineStr">
        <is>
          <t>Critical Lift Flag</t>
        </is>
      </c>
      <c r="C18" s="18">
        <f>IF(C17&gt;=1,"OVERLOAD — DO NOT LIFT",IF(C17&gt;=CriticalThreshold,"CRITICAL LIFT — full procedure required",IF(C17&gt;=WarningThreshold,"NEAR CRITICAL — review margin","Routine lift")))</f>
        <v/>
      </c>
    </row>
  </sheetData>
  <mergeCells count="2">
    <mergeCell ref="B1:D1"/>
    <mergeCell ref="B2:D2"/>
  </mergeCells>
  <conditionalFormatting sqref="C18">
    <cfRule type="expression" priority="1" dxfId="0">
      <formula>ISNUMBER(SEARCH("OVERLOAD",C18))</formula>
    </cfRule>
    <cfRule type="expression" priority="2" dxfId="1">
      <formula>ISNUMBER(SEARCH("CRITICAL LIFT",C18))</formula>
    </cfRule>
    <cfRule type="expression" priority="3" dxfId="2">
      <formula>ISNUMBER(SEARCH("Routine",C18))</formula>
    </cfRule>
  </conditionalFormatting>
  <conditionalFormatting sqref="C17">
    <cfRule type="cellIs" priority="4" operator="greaterThanOrEqual" dxfId="0">
      <formula>1</formula>
    </cfRule>
    <cfRule type="cellIs" priority="5" operator="greaterThanOrEqual" dxfId="1">
      <formula>CriticalThreshold</formula>
    </cfRule>
    <cfRule type="cellIs" priority="6" operator="greaterThanOrEqual" dxfId="3">
      <formula>WarningThreshold</formula>
    </cfRule>
  </conditionalFormatting>
  <dataValidations count="1">
    <dataValidation sqref="C12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D2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6" customWidth="1" min="2" max="2"/>
    <col width="20" customWidth="1" min="3" max="3"/>
    <col width="38" customWidth="1" min="4" max="4"/>
  </cols>
  <sheetData>
    <row r="1" ht="32" customHeight="1">
      <c r="B1" s="1" t="inlineStr">
        <is>
          <t>SLING ANGLE &amp;amp; PER-SLING LOAD</t>
        </is>
      </c>
    </row>
    <row r="2">
      <c r="B2" s="6" t="inlineStr">
        <is>
          <t>Sling angle is the angle between the sling and horizontal at the load attachment. Below 60° per-sling load rises sharply; below 45° you should choose longer slings or a spreader bar.</t>
        </is>
      </c>
    </row>
    <row r="4">
      <c r="B4" s="7" t="inlineStr">
        <is>
          <t>Number of slings used</t>
        </is>
      </c>
      <c r="C4" s="11" t="n">
        <v>2</v>
      </c>
    </row>
    <row r="5">
      <c r="B5" s="7" t="inlineStr">
        <is>
          <t>Sling rigged length (ft, center-of-load to hook)</t>
        </is>
      </c>
      <c r="C5" s="11" t="n">
        <v>0</v>
      </c>
    </row>
    <row r="6">
      <c r="B6" s="7" t="inlineStr">
        <is>
          <t>Horizontal distance between sling attachment points on load (ft)</t>
        </is>
      </c>
      <c r="C6" s="11" t="n">
        <v>0</v>
      </c>
    </row>
    <row r="7">
      <c r="B7" s="7" t="inlineStr">
        <is>
          <t>Pick weight share per sling (lb) — assume equal share unless engineered</t>
        </is>
      </c>
      <c r="C7" s="13">
        <f>IFERROR(TotalPickWeight/C4,0)</f>
        <v/>
      </c>
    </row>
    <row r="8">
      <c r="B8" s="7" t="inlineStr">
        <is>
          <t>Sling angle from horizontal (deg) — computed</t>
        </is>
      </c>
      <c r="C8" s="15">
        <f>IFERROR(IF(AND(C5&gt;0,(C6/2)/C5&lt;=1),DEGREES(ACOS((C6/2)/C5)),0),0)</f>
        <v/>
      </c>
    </row>
    <row r="9">
      <c r="B9" s="7" t="inlineStr">
        <is>
          <t>Sling angle factor — load multiplier</t>
        </is>
      </c>
      <c r="C9" s="19">
        <f>IFERROR(IF(C8&gt;0,1/SIN(RADIANS(C8)),1),1)</f>
        <v/>
      </c>
    </row>
    <row r="10">
      <c r="B10" s="7" t="inlineStr">
        <is>
          <t>Per-sling load (lb) — computed</t>
        </is>
      </c>
      <c r="C10" s="13">
        <f>IFERROR(C7*C9,0)</f>
        <v/>
      </c>
    </row>
    <row r="11">
      <c r="B11" s="7" t="inlineStr">
        <is>
          <t>Sling working load limit (WLL) — from sling tag (lb)</t>
        </is>
      </c>
      <c r="C11" s="13" t="n">
        <v>0</v>
      </c>
    </row>
    <row r="12">
      <c r="B12" s="7" t="inlineStr">
        <is>
          <t>Sling Adequacy Check</t>
        </is>
      </c>
      <c r="C12" s="18">
        <f>IF(C11=0,"Enter WLL",IF(C8&lt;45,"ANGLE TOO LOW — increase sling length / use spreader",IF(C10&gt;C11,"OVERLOADED — increase sling capacity",IF(C8&lt;60,"BORDERLINE — verify","OK"))))</f>
        <v/>
      </c>
    </row>
    <row r="15">
      <c r="B15" s="20" t="inlineStr">
        <is>
          <t>SLING-ANGLE LOAD MULTIPLIERS (reference)</t>
        </is>
      </c>
    </row>
    <row r="16">
      <c r="B16" s="5" t="inlineStr">
        <is>
          <t>90° (vertical)</t>
        </is>
      </c>
      <c r="C16" s="5" t="inlineStr">
        <is>
          <t>1.000</t>
        </is>
      </c>
    </row>
    <row r="17">
      <c r="B17" s="5" t="inlineStr">
        <is>
          <t>75°</t>
        </is>
      </c>
      <c r="C17" s="5" t="inlineStr">
        <is>
          <t>1.035</t>
        </is>
      </c>
    </row>
    <row r="18">
      <c r="B18" s="5" t="inlineStr">
        <is>
          <t>60°</t>
        </is>
      </c>
      <c r="C18" s="5" t="inlineStr">
        <is>
          <t>1.155</t>
        </is>
      </c>
    </row>
    <row r="19">
      <c r="B19" s="5" t="inlineStr">
        <is>
          <t>45°</t>
        </is>
      </c>
      <c r="C19" s="5" t="inlineStr">
        <is>
          <t>1.414</t>
        </is>
      </c>
    </row>
    <row r="20">
      <c r="B20" s="5" t="inlineStr">
        <is>
          <t>30°</t>
        </is>
      </c>
      <c r="C20" s="5" t="inlineStr">
        <is>
          <t>2.000</t>
        </is>
      </c>
    </row>
    <row r="21">
      <c r="B21" s="5" t="inlineStr">
        <is>
          <t>15°</t>
        </is>
      </c>
      <c r="C21" s="5" t="inlineStr">
        <is>
          <t>3.864</t>
        </is>
      </c>
    </row>
  </sheetData>
  <mergeCells count="2">
    <mergeCell ref="B1:D1"/>
    <mergeCell ref="B2:D2"/>
  </mergeCells>
  <conditionalFormatting sqref="C12">
    <cfRule type="expression" priority="1" dxfId="0">
      <formula>ISNUMBER(SEARCH("OVERLOADED",C12))</formula>
    </cfRule>
    <cfRule type="expression" priority="2" dxfId="0">
      <formula>ISNUMBER(SEARCH("TOO LOW",C12))</formula>
    </cfRule>
    <cfRule type="expression" priority="3" dxfId="1">
      <formula>ISNUMBER(SEARCH("BORDERLINE",C12))</formula>
    </cfRule>
    <cfRule type="expression" priority="4" dxfId="2">
      <formula>C12="OK"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D1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20" customWidth="1" min="3" max="3"/>
    <col width="36" customWidth="1" min="4" max="4"/>
  </cols>
  <sheetData>
    <row r="1" ht="32" customHeight="1">
      <c r="B1" s="1" t="inlineStr">
        <is>
          <t>GROUND BEARING PRESSURE CHECK</t>
        </is>
      </c>
    </row>
    <row r="2">
      <c r="B2" s="6" t="inlineStr">
        <is>
          <t>Outrigger reaction force is the worst-case load on a single outrigger float at the lift radius — pull from the crane manufacturer's outrigger-reaction chart, NOT computed here. Pad / mat area must be sized so that bearing pressure stays below soils-report capacity / FS.</t>
        </is>
      </c>
    </row>
    <row r="4">
      <c r="B4" s="7" t="inlineStr">
        <is>
          <t>Soils-report allowable bearing capacity (psf)</t>
        </is>
      </c>
      <c r="C4" s="11" t="n">
        <v>0</v>
      </c>
    </row>
    <row r="5">
      <c r="B5" s="7" t="inlineStr">
        <is>
          <t>Factor of safety (typical 2.0)</t>
        </is>
      </c>
      <c r="C5" s="11" t="n">
        <v>2</v>
      </c>
    </row>
    <row r="6">
      <c r="B6" s="7" t="inlineStr">
        <is>
          <t>Allowable bearing pressure (psf) — computed</t>
        </is>
      </c>
      <c r="C6" s="13">
        <f>IFERROR(C4/C5,0)</f>
        <v/>
      </c>
    </row>
    <row r="8">
      <c r="B8" s="7" t="inlineStr">
        <is>
          <t>Worst-case outrigger reaction force at this lift (lb) — from crane mfr chart</t>
        </is>
      </c>
      <c r="C8" s="11" t="n">
        <v>0</v>
      </c>
    </row>
    <row r="9">
      <c r="B9" s="7" t="inlineStr">
        <is>
          <t>Outrigger pad / mat — Length (ft)</t>
        </is>
      </c>
      <c r="C9" s="11" t="n">
        <v>0</v>
      </c>
    </row>
    <row r="10">
      <c r="B10" s="7" t="inlineStr">
        <is>
          <t>Outrigger pad / mat — Width (ft)</t>
        </is>
      </c>
      <c r="C10" s="11" t="n">
        <v>0</v>
      </c>
    </row>
    <row r="11">
      <c r="B11" s="7" t="inlineStr">
        <is>
          <t>Pad / mat area (sq ft) — computed</t>
        </is>
      </c>
      <c r="C11" s="12">
        <f>IFERROR(C9*C10,0)</f>
        <v/>
      </c>
    </row>
    <row r="12">
      <c r="B12" s="7" t="inlineStr">
        <is>
          <t>Bearing pressure under pad / mat (psf) — computed</t>
        </is>
      </c>
      <c r="C12" s="13">
        <f>IFERROR(C8/C11,0)</f>
        <v/>
      </c>
    </row>
    <row r="14">
      <c r="B14" s="7" t="inlineStr">
        <is>
          <t>Ground Bearing Adequacy Check</t>
        </is>
      </c>
      <c r="C14" s="18">
        <f>IF(C12=0,"Enter inputs",IF(C12&gt;C6,"OVER CAPACITY — increase pad/mat or change crane position",IF(C12&gt;C6*0.85,"BORDERLINE — close to limit, verify mat condition","OK")))</f>
        <v/>
      </c>
    </row>
  </sheetData>
  <mergeCells count="2">
    <mergeCell ref="B1:D1"/>
    <mergeCell ref="B2:D2"/>
  </mergeCells>
  <conditionalFormatting sqref="C14">
    <cfRule type="expression" priority="1" dxfId="0">
      <formula>ISNUMBER(SEARCH("OVER CAPACITY",C14))</formula>
    </cfRule>
    <cfRule type="expression" priority="2" dxfId="1">
      <formula>ISNUMBER(SEARCH("BORDERLINE",C14))</formula>
    </cfRule>
    <cfRule type="expression" priority="3" dxfId="2">
      <formula>C14="OK"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E1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18" customWidth="1" min="3" max="3"/>
    <col width="18" customWidth="1" min="4" max="4"/>
    <col width="30" customWidth="1" min="5" max="5"/>
  </cols>
  <sheetData>
    <row r="1" ht="32" customHeight="1">
      <c r="B1" s="1" t="inlineStr">
        <is>
          <t>TANDEM LIFT — Two-Crane Balance Check</t>
        </is>
      </c>
    </row>
    <row r="2">
      <c r="B2" s="6" t="inlineStr">
        <is>
          <t>Use only when two cranes share a single load. Both cranes individually must stay below the critical-lift threshold AT THE LIFT RADIUS. Tandem dynamics also require synchronized motion — see Lift Plan §6.</t>
        </is>
      </c>
    </row>
    <row r="4" ht="30" customHeight="1">
      <c r="B4" s="21" t="inlineStr">
        <is>
          <t>Parameter</t>
        </is>
      </c>
      <c r="C4" s="21" t="inlineStr">
        <is>
          <t>Crane 1 (lead)</t>
        </is>
      </c>
      <c r="D4" s="21" t="inlineStr">
        <is>
          <t>Crane 2 (assist)</t>
        </is>
      </c>
      <c r="E4" s="21" t="inlineStr">
        <is>
          <t>Notes</t>
        </is>
      </c>
    </row>
    <row r="5">
      <c r="B5" s="7" t="inlineStr">
        <is>
          <t>Crane make / model</t>
        </is>
      </c>
      <c r="C5" s="11" t="inlineStr"/>
      <c r="D5" s="11" t="inlineStr"/>
    </row>
    <row r="6">
      <c r="B6" s="7" t="inlineStr">
        <is>
          <t>Operator</t>
        </is>
      </c>
      <c r="C6" s="11" t="inlineStr"/>
      <c r="D6" s="11" t="inlineStr"/>
    </row>
    <row r="7">
      <c r="B7" s="7" t="inlineStr">
        <is>
          <t>Boom length (ft)</t>
        </is>
      </c>
      <c r="C7" s="11" t="n">
        <v>0</v>
      </c>
      <c r="D7" s="11" t="n">
        <v>0</v>
      </c>
    </row>
    <row r="8">
      <c r="B8" s="7" t="inlineStr">
        <is>
          <t>Lift radius (ft)</t>
        </is>
      </c>
      <c r="C8" s="11" t="n">
        <v>0</v>
      </c>
      <c r="D8" s="11" t="n">
        <v>0</v>
      </c>
    </row>
    <row r="9">
      <c r="B9" s="7" t="inlineStr">
        <is>
          <t>Capacity at radius (lb) — from chart</t>
        </is>
      </c>
      <c r="C9" s="11" t="n">
        <v>0</v>
      </c>
      <c r="D9" s="11" t="n">
        <v>0</v>
      </c>
    </row>
    <row r="10">
      <c r="B10" s="7" t="inlineStr">
        <is>
          <t>Share of pick weight (lb)</t>
        </is>
      </c>
      <c r="C10" s="11" t="n">
        <v>0</v>
      </c>
      <c r="D10" s="11" t="n">
        <v>0</v>
      </c>
    </row>
    <row r="11">
      <c r="B11" s="7" t="inlineStr">
        <is>
          <t>% of capacity (computed)</t>
        </is>
      </c>
      <c r="C11" s="22">
        <f>IFERROR(C10/C9,0)</f>
        <v/>
      </c>
      <c r="D11" s="22">
        <f>IFERROR(D10/D9,0)</f>
        <v/>
      </c>
    </row>
    <row r="12">
      <c r="B12" s="7" t="inlineStr">
        <is>
          <t>Status (computed)</t>
        </is>
      </c>
      <c r="C12" s="18">
        <f>IF(C11&gt;=1,"OVERLOAD",IF(C11&gt;=CriticalThreshold,"CRITICAL",IF(C11&gt;=WarningThreshold,"NEAR CRITICAL","OK")))</f>
        <v/>
      </c>
      <c r="D12" s="18">
        <f>IF(D11&gt;=1,"OVERLOAD",IF(D11&gt;=CriticalThreshold,"CRITICAL",IF(D11&gt;=WarningThreshold,"NEAR CRITICAL","OK")))</f>
        <v/>
      </c>
    </row>
    <row r="14">
      <c r="B14" s="4" t="inlineStr">
        <is>
          <t>Sum of shares (should = Total Pick Weight)</t>
        </is>
      </c>
      <c r="C14" s="23">
        <f>C10+D10</f>
        <v/>
      </c>
      <c r="D14" s="23">
        <f>TotalPickWeight</f>
        <v/>
      </c>
      <c r="E14">
        <f>IF(ABS((C14-D14))&lt;10,"OK — balanced","MISMATCH — recompute shares")</f>
        <v/>
      </c>
    </row>
  </sheetData>
  <mergeCells count="2">
    <mergeCell ref="B1:E1"/>
    <mergeCell ref="B2:E2"/>
  </mergeCells>
  <conditionalFormatting sqref="C12">
    <cfRule type="expression" priority="1" dxfId="0">
      <formula>C12="OVERLOAD"</formula>
    </cfRule>
    <cfRule type="expression" priority="2" dxfId="1">
      <formula>C12="CRITICAL"</formula>
    </cfRule>
    <cfRule type="expression" priority="3" dxfId="2">
      <formula>C12="OK"</formula>
    </cfRule>
  </conditionalFormatting>
  <conditionalFormatting sqref="D12">
    <cfRule type="expression" priority="4" dxfId="0">
      <formula>D12="OVERLOAD"</formula>
    </cfRule>
    <cfRule type="expression" priority="5" dxfId="1">
      <formula>D12="CRITICAL"</formula>
    </cfRule>
    <cfRule type="expression" priority="6" dxfId="2">
      <formula>D12="OK"</formula>
    </cfRule>
  </conditionalFormatting>
  <conditionalFormatting sqref="E14">
    <cfRule type="expression" priority="7" dxfId="0">
      <formula>ISNUMBER(SEARCH("MISMATCH",E14))</formula>
    </cfRule>
    <cfRule type="expression" priority="8" dxfId="2">
      <formula>ISNUMBER(SEARCH("OK",E14))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B1:C2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6" customWidth="1" min="2" max="2"/>
    <col width="28" customWidth="1" min="3" max="3"/>
  </cols>
  <sheetData>
    <row r="1" ht="36" customHeight="1">
      <c r="B1" s="1" t="inlineStr">
        <is>
          <t>CRITICAL LIFT — PERMIT SUMMARY</t>
        </is>
      </c>
    </row>
    <row r="2">
      <c r="B2" s="6" t="inlineStr">
        <is>
          <t>Print this tab as the calculator back-up for the Critical Lift Permit.</t>
        </is>
      </c>
    </row>
    <row r="4">
      <c r="B4" s="4" t="inlineStr">
        <is>
          <t>Project</t>
        </is>
      </c>
      <c r="C4" s="5">
        <f>ProjectName</f>
        <v/>
      </c>
    </row>
    <row r="5">
      <c r="B5" s="4" t="inlineStr">
        <is>
          <t>Lift Permit No.</t>
        </is>
      </c>
      <c r="C5" s="5">
        <f>LiftPermit</f>
        <v/>
      </c>
    </row>
    <row r="6">
      <c r="B6" s="4" t="inlineStr">
        <is>
          <t>Element / Description</t>
        </is>
      </c>
      <c r="C6" s="5">
        <f>LiftElement</f>
        <v/>
      </c>
    </row>
    <row r="7">
      <c r="B7" s="4" t="inlineStr">
        <is>
          <t>Lift Director</t>
        </is>
      </c>
      <c r="C7" s="5">
        <f>LiftDirector</f>
        <v/>
      </c>
    </row>
    <row r="8">
      <c r="B8" s="4" t="inlineStr">
        <is>
          <t>Crane Operator</t>
        </is>
      </c>
      <c r="C8" s="5">
        <f>LiftOperator</f>
        <v/>
      </c>
    </row>
    <row r="10">
      <c r="B10" s="4" t="inlineStr">
        <is>
          <t>Total Pick Weight (lb)</t>
        </is>
      </c>
      <c r="C10" s="8">
        <f>TotalPickWeight</f>
        <v/>
      </c>
    </row>
    <row r="11">
      <c r="B11" s="4" t="inlineStr">
        <is>
          <t>Net Crane Capacity at Radius (lb)</t>
        </is>
      </c>
      <c r="C11" s="8">
        <f>NetCapacity</f>
        <v/>
      </c>
    </row>
    <row r="12">
      <c r="B12" s="4" t="inlineStr">
        <is>
          <t>Lift Radius (ft)</t>
        </is>
      </c>
      <c r="C12" s="5">
        <f>LiftRadius</f>
        <v/>
      </c>
    </row>
    <row r="13">
      <c r="B13" s="4" t="inlineStr">
        <is>
          <t>% of Crane Capacity</t>
        </is>
      </c>
      <c r="C13" s="17">
        <f>PctCapacity</f>
        <v/>
      </c>
    </row>
    <row r="14">
      <c r="B14" s="4" t="inlineStr">
        <is>
          <t>Lift Classification</t>
        </is>
      </c>
      <c r="C14" s="5">
        <f>LiftFlag</f>
        <v/>
      </c>
    </row>
    <row r="16">
      <c r="B16" s="4" t="inlineStr">
        <is>
          <t>Critical Lift Threshold</t>
        </is>
      </c>
      <c r="C16" s="17">
        <f>CriticalThreshold</f>
        <v/>
      </c>
    </row>
    <row r="17">
      <c r="B17" s="4" t="inlineStr">
        <is>
          <t>Sling Angle from Horizontal</t>
        </is>
      </c>
      <c r="C17" s="5">
        <f>'Sling Angle Check'!C8</f>
        <v/>
      </c>
    </row>
    <row r="18">
      <c r="B18" s="4" t="inlineStr">
        <is>
          <t>Per-Sling Load (lb)</t>
        </is>
      </c>
      <c r="C18" s="8">
        <f>'Sling Angle Check'!C10</f>
        <v/>
      </c>
    </row>
    <row r="19">
      <c r="B19" s="4" t="inlineStr">
        <is>
          <t>Sling Adequacy</t>
        </is>
      </c>
      <c r="C19" s="5">
        <f>'Sling Angle Check'!C12</f>
        <v/>
      </c>
    </row>
    <row r="21">
      <c r="B21" s="4" t="inlineStr">
        <is>
          <t>Bearing Pressure under Pad (psf)</t>
        </is>
      </c>
      <c r="C21" s="8">
        <f>'Ground Bearing Check'!C12</f>
        <v/>
      </c>
    </row>
    <row r="22">
      <c r="B22" s="4" t="inlineStr">
        <is>
          <t>Allowable Bearing Pressure (psf)</t>
        </is>
      </c>
      <c r="C22" s="8">
        <f>'Ground Bearing Check'!C6</f>
        <v/>
      </c>
    </row>
    <row r="23">
      <c r="B23" s="4" t="inlineStr">
        <is>
          <t>Ground Bearing Adequacy</t>
        </is>
      </c>
      <c r="C23" s="5">
        <f>'Ground Bearing Check'!C14</f>
        <v/>
      </c>
    </row>
    <row r="26">
      <c r="B26" s="20" t="inlineStr">
        <is>
          <t>LIFT DIRECTOR APPROVAL</t>
        </is>
      </c>
    </row>
    <row r="27">
      <c r="B27" s="24" t="inlineStr">
        <is>
          <t>Signature: ____________________________   Date: ____________</t>
        </is>
      </c>
    </row>
    <row r="28">
      <c r="B28" s="6" t="inlineStr">
        <is>
          <t>Posted at crane during the lift. Filed in project record after.</t>
        </is>
      </c>
    </row>
  </sheetData>
  <mergeCells count="2">
    <mergeCell ref="B1:C1"/>
    <mergeCell ref="B2:C2"/>
  </mergeCells>
  <pageMargins left="0.75" right="0.75" top="1" bottom="1" header="0.5" footer="0.5"/>
  <pageSetup orientation="portrait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2026-05-17T14:25:40Z</dcterms:created>
  <dcterms:modified xmlns:dcterms="http://purl.org/dc/terms/" xmlns:xsi="http://www.w3.org/2001/XMLSchema-instance" xsi:type="dcterms:W3CDTF">2026-05-17T14:25:40Z</dcterms:modified>
</cp:coreProperties>
</file>