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ject Info" sheetId="2" state="visible" r:id="rId2"/>
    <sheet xmlns:r="http://schemas.openxmlformats.org/officeDocument/2006/relationships" name="Reference" sheetId="3" state="hidden" r:id="rId3"/>
    <sheet xmlns:r="http://schemas.openxmlformats.org/officeDocument/2006/relationships" name="Bolt Lot Master" sheetId="4" state="visible" r:id="rId4"/>
    <sheet xmlns:r="http://schemas.openxmlformats.org/officeDocument/2006/relationships" name="Pre-Install Verification" sheetId="5" state="visible" r:id="rId5"/>
    <sheet xmlns:r="http://schemas.openxmlformats.org/officeDocument/2006/relationships" name="Connection Log" sheetId="6" state="visible" r:id="rId6"/>
    <sheet xmlns:r="http://schemas.openxmlformats.org/officeDocument/2006/relationships" name="Daily Roll-Up" sheetId="7" state="visible" r:id="rId7"/>
  </sheets>
  <definedNames>
    <definedName name="ProjectName">'Project Info'!$C$3</definedName>
    <definedName name="Erector">'Project Info'!$C$7</definedName>
    <definedName name="Inspector">'Project Info'!$C$10</definedName>
    <definedName name="SkidmoreSerial">'Project Info'!$C$12</definedName>
    <definedName name="PretensionTable">'Reference'!$A$4:$C$21</definedName>
    <definedName name="PretensionSize">'Reference'!$A$4:$A$21</definedName>
    <definedName name="PretensionGrade">'Reference'!$B$4:$B$21</definedName>
    <definedName name="PretensionKips">'Reference'!$C$4:$C$21</definedName>
    <definedName name="LotTable">'Bolt Lot Master'!$A$5:$O$34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&quot; kips&quot;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22"/>
    </font>
    <font>
      <name val="Calibri"/>
      <sz val="11"/>
    </font>
    <font>
      <name val="Calibri"/>
      <b val="1"/>
      <color rgb="001E3A5F"/>
      <sz val="12"/>
    </font>
    <font>
      <name val="Calibri"/>
      <b val="1"/>
      <sz val="11"/>
    </font>
    <font>
      <name val="Calibri"/>
      <b val="1"/>
      <color rgb="00FFFFFF"/>
      <sz val="11"/>
    </font>
    <font>
      <name val="Calibri"/>
      <i val="1"/>
      <color rgb="00808080"/>
      <sz val="11"/>
    </font>
    <font>
      <name val="Calibri"/>
      <b val="1"/>
      <color rgb="001E3A5F"/>
      <sz val="18"/>
    </font>
  </fonts>
  <fills count="4">
    <fill>
      <patternFill/>
    </fill>
    <fill>
      <patternFill patternType="gray125"/>
    </fill>
    <fill>
      <patternFill patternType="solid">
        <fgColor rgb="00D6E0EC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B0B7BF"/>
      </left>
      <right style="thin">
        <color rgb="00B0B7BF"/>
      </right>
      <top style="thin">
        <color rgb="00B0B7BF"/>
      </top>
      <bottom style="thin">
        <color rgb="00B0B7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0" fontId="5" fillId="3" borderId="1" applyAlignment="1" pivotButton="0" quotePrefix="0" xfId="0">
      <alignment horizontal="center"/>
    </xf>
    <xf numFmtId="2" fontId="2" fillId="0" borderId="1" pivotButton="0" quotePrefix="0" xfId="0"/>
    <xf numFmtId="0" fontId="6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2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" fontId="2" fillId="0" borderId="1" applyAlignment="1" pivotButton="0" quotePrefix="0" xfId="0">
      <alignment vertical="center"/>
    </xf>
    <xf numFmtId="0" fontId="4" fillId="2" borderId="0" pivotButton="0" quotePrefix="0" xfId="0"/>
    <xf numFmtId="1" fontId="4" fillId="2" borderId="1" pivotButton="0" quotePrefix="0" xfId="0"/>
    <xf numFmtId="1" fontId="7" fillId="0" borderId="1" pivotButton="0" quotePrefix="0" xfId="0"/>
    <xf numFmtId="1" fontId="4" fillId="0" borderId="1" pivotButton="0" quotePrefix="0" xfId="0"/>
  </cellXfs>
  <cellStyles count="1">
    <cellStyle name="Normal" xfId="0" builtinId="0" hidden="0"/>
  </cellStyles>
  <dxfs count="5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color rgb="009C5700"/>
      </font>
      <fill>
        <patternFill patternType="solid">
          <fgColor rgb="00FFEB9C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36" customHeight="1">
      <c r="A1" s="1" t="inlineStr">
        <is>
          <t>BOLT INSPECTION LOG — Instructions</t>
        </is>
      </c>
    </row>
    <row r="2">
      <c r="A2" s="2" t="inlineStr"/>
    </row>
    <row r="3">
      <c r="A3" s="3" t="inlineStr">
        <is>
          <t>WHAT THIS WORKBOOK IS</t>
        </is>
      </c>
    </row>
    <row r="4">
      <c r="A4" s="2" t="inlineStr">
        <is>
          <t>Daily record-keeping companion to the Bolt Installation &amp; Inspection Guide HTML. Captures the documentation the special inspector (and any post-completion forensic) will demand: bolt lot metadata, pre-installation Skidmore verification, per-connection install records, and a daily roll-up.</t>
        </is>
      </c>
    </row>
    <row r="5">
      <c r="A5" s="2" t="inlineStr"/>
    </row>
    <row r="6">
      <c r="A6" s="3" t="inlineStr">
        <is>
          <t>WORKFLOW — ONE-TIME SETUP</t>
        </is>
      </c>
    </row>
    <row r="7">
      <c r="A7" s="2" t="inlineStr">
        <is>
          <t>1. Project Info: project, GC, erector, special inspector, Skidmore serial.</t>
        </is>
      </c>
    </row>
    <row r="8">
      <c r="A8" s="2" t="inlineStr">
        <is>
          <t>2. Bolt Lot Master: one row per bolt lot received from the fabricator/supplier. MTR # is the key — it must match the paperwork from the supplier and must be on file before any bolt from that lot is installed.</t>
        </is>
      </c>
    </row>
    <row r="9">
      <c r="A9" s="2" t="inlineStr"/>
    </row>
    <row r="10">
      <c r="A10" s="3" t="inlineStr">
        <is>
          <t>WORKFLOW — DAILY</t>
        </is>
      </c>
    </row>
    <row r="11">
      <c r="A11" s="2" t="inlineStr">
        <is>
          <t>1. First thing each shift, perform Skidmore pre-installation verification per RCSC §7.</t>
        </is>
      </c>
    </row>
    <row r="12">
      <c r="A12" s="2" t="inlineStr">
        <is>
          <t>2. Log the verification on Pre-Installation Verification Log. Three bolt-nut-washer assemblies from each active lot, all reading ≥ 105% of RCSC Table 8.1 minimum pretension.</t>
        </is>
      </c>
    </row>
    <row r="13">
      <c r="A13" s="2" t="inlineStr">
        <is>
          <t>3. As bolts are installed during the shift, log each connection on Connection Log (location, method used, bolt lot, count, installer, status).</t>
        </is>
      </c>
    </row>
    <row r="14">
      <c r="A14" s="2" t="inlineStr">
        <is>
          <t>4. After installation, mark installed bolts (typically with a paint slash from bolt head to ply) so missed bolts are visually obvious to the special inspector.</t>
        </is>
      </c>
    </row>
    <row r="15">
      <c r="A15" s="2" t="inlineStr">
        <is>
          <t>5. Inspector verifies installation — logs sign-off on Connection Log.</t>
        </is>
      </c>
    </row>
    <row r="16">
      <c r="A16" s="2" t="inlineStr">
        <is>
          <t>6. End of shift: Daily Roll-Up tab auto-aggregates totals.</t>
        </is>
      </c>
    </row>
    <row r="17">
      <c r="A17" s="2" t="inlineStr"/>
    </row>
    <row r="18">
      <c r="A18" s="3" t="inlineStr">
        <is>
          <t>RCSC TABLE 8.1 — MINIMUM PRETENSION (REFERENCE)</t>
        </is>
      </c>
    </row>
    <row r="19">
      <c r="A19" s="2" t="inlineStr">
        <is>
          <t xml:space="preserve">  3/4" A325: 28 kips     7/8" A325: 39 kips     1" A325: 51 kips</t>
        </is>
      </c>
    </row>
    <row r="20">
      <c r="A20" s="2" t="inlineStr">
        <is>
          <t xml:space="preserve">  3/4" A490: 35 kips     7/8" A490: 49 kips     1" A490: 64 kips</t>
        </is>
      </c>
    </row>
    <row r="21">
      <c r="A21" s="2" t="inlineStr">
        <is>
          <t xml:space="preserve">  See the Bolt Lot Master tab for full table by size + grade.</t>
        </is>
      </c>
    </row>
    <row r="22">
      <c r="A22" s="2" t="inlineStr">
        <is>
          <t xml:space="preserve">  Skidmore target = 105% of these minimums.</t>
        </is>
      </c>
    </row>
    <row r="23">
      <c r="A23" s="2" t="inlineStr"/>
    </row>
    <row r="24">
      <c r="A24" s="2" t="inlineStr">
        <is>
          <t>INSPECTION SAMPLING (RCSC §9.2.2 / Table 9.2)</t>
        </is>
      </c>
    </row>
    <row r="25">
      <c r="A25" s="2" t="inlineStr">
        <is>
          <t xml:space="preserve">  Slip-critical and fatigue-loaded: 100% routine observation during installation.</t>
        </is>
      </c>
    </row>
    <row r="26">
      <c r="A26" s="2" t="inlineStr">
        <is>
          <t xml:space="preserve">  Standard pretensioned: reduced sampling per Special Inspector's program (typically 10-25%).</t>
        </is>
      </c>
    </row>
    <row r="27">
      <c r="A27" s="2" t="inlineStr">
        <is>
          <t xml:space="preserve">  Snug-tight: visual only — no pretension verification required.</t>
        </is>
      </c>
    </row>
    <row r="28">
      <c r="A28" s="2" t="inlineStr"/>
    </row>
    <row r="29">
      <c r="A29" s="3" t="inlineStr">
        <is>
          <t>MARKING CONVENTION</t>
        </is>
      </c>
    </row>
    <row r="30">
      <c r="A30" s="2" t="inlineStr">
        <is>
          <t xml:space="preserve">  Standard color marking on installed-and-inspected bolts:</t>
        </is>
      </c>
    </row>
    <row r="31">
      <c r="A31" s="2" t="inlineStr">
        <is>
          <t xml:space="preserve">  - Yellow paint slash = installed, awaiting inspection</t>
        </is>
      </c>
    </row>
    <row r="32">
      <c r="A32" s="2" t="inlineStr">
        <is>
          <t xml:space="preserve">  - Green paint slash = installed + inspected, accepted</t>
        </is>
      </c>
    </row>
    <row r="33">
      <c r="A33" s="2" t="inlineStr">
        <is>
          <t xml:space="preserve">  - Red paint slash = rejected — bolt to be replaced</t>
        </is>
      </c>
    </row>
    <row r="34">
      <c r="A34" s="2" t="inlineStr">
        <is>
          <t xml:space="preserve">  Use the convention agreed with the special inspector at the pre-erection meeting.</t>
        </is>
      </c>
    </row>
    <row r="35">
      <c r="A35" s="2" t="inlineStr"/>
    </row>
    <row r="36">
      <c r="A36" s="3" t="inlineStr">
        <is>
          <t>RETENTION</t>
        </is>
      </c>
    </row>
    <row r="37">
      <c r="A37" s="2" t="inlineStr">
        <is>
          <t>Retain this workbook + all MTRs + Skidmore calibration certificate + Special Inspector reports for the project life PLUS the state's statute of repose for construction defect claims (typically 6-10 years post-substantial completion).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36" customWidth="1" min="3" max="3"/>
  </cols>
  <sheetData>
    <row r="1" ht="32" customHeight="1">
      <c r="B1" s="1" t="inlineStr">
        <is>
          <t>BOLT INSPECTION PROJECT INFO</t>
        </is>
      </c>
    </row>
    <row r="3">
      <c r="B3" s="4" t="inlineStr">
        <is>
          <t>Project Name</t>
        </is>
      </c>
      <c r="C3" s="5" t="inlineStr"/>
    </row>
    <row r="4">
      <c r="B4" s="4" t="inlineStr">
        <is>
          <t>Project Address</t>
        </is>
      </c>
      <c r="C4" s="5" t="inlineStr"/>
    </row>
    <row r="5">
      <c r="B5" s="4" t="inlineStr">
        <is>
          <t>Owner</t>
        </is>
      </c>
      <c r="C5" s="5" t="inlineStr"/>
    </row>
    <row r="6">
      <c r="B6" s="4" t="inlineStr">
        <is>
          <t>Controlling Contractor (GC)</t>
        </is>
      </c>
      <c r="C6" s="5" t="inlineStr"/>
    </row>
    <row r="7">
      <c r="B7" s="4" t="inlineStr">
        <is>
          <t>Steel Erector</t>
        </is>
      </c>
      <c r="C7" s="5" t="inlineStr"/>
    </row>
    <row r="8">
      <c r="B8" s="4" t="inlineStr">
        <is>
          <t>Fabricator</t>
        </is>
      </c>
      <c r="C8" s="5" t="inlineStr"/>
    </row>
    <row r="9">
      <c r="B9" s="4" t="inlineStr">
        <is>
          <t>Special Inspection Agency (SAA)</t>
        </is>
      </c>
      <c r="C9" s="5" t="inlineStr"/>
    </row>
    <row r="10">
      <c r="B10" s="4" t="inlineStr">
        <is>
          <t>Lead Special Inspector (AWS CWI #)</t>
        </is>
      </c>
      <c r="C10" s="5" t="inlineStr"/>
    </row>
    <row r="11">
      <c r="B11" s="4" t="inlineStr">
        <is>
          <t>EOR</t>
        </is>
      </c>
      <c r="C11" s="5" t="inlineStr"/>
    </row>
    <row r="12">
      <c r="B12" s="4" t="inlineStr">
        <is>
          <t>Skidmore-Wilhelm serial #</t>
        </is>
      </c>
      <c r="C12" s="5" t="inlineStr"/>
    </row>
    <row r="13">
      <c r="B13" s="4" t="inlineStr">
        <is>
          <t>Skidmore calibration certificate date</t>
        </is>
      </c>
      <c r="C13" s="6" t="inlineStr"/>
    </row>
    <row r="14">
      <c r="B14" s="4" t="inlineStr">
        <is>
          <t>Skidmore calibration expiration</t>
        </is>
      </c>
      <c r="C14" s="6" t="inlineStr"/>
    </row>
    <row r="15">
      <c r="B15" s="4" t="inlineStr">
        <is>
          <t>Project Quality Manager (Sub)</t>
        </is>
      </c>
      <c r="C15" s="5" t="inlineStr"/>
    </row>
    <row r="16">
      <c r="B16" s="4" t="inlineStr">
        <is>
          <t>Erection start date</t>
        </is>
      </c>
      <c r="C16" s="6" t="inlineStr"/>
    </row>
    <row r="17">
      <c r="B17" s="4" t="inlineStr">
        <is>
          <t>Anticipated bolt installation completion</t>
        </is>
      </c>
      <c r="C17" s="5" t="inlineStr"/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</cols>
  <sheetData>
    <row r="1">
      <c r="A1" s="7" t="inlineStr">
        <is>
          <t>RCSC Table 8.1 — Min Pretension (kips)</t>
        </is>
      </c>
    </row>
    <row r="3">
      <c r="A3" s="8" t="inlineStr">
        <is>
          <t>Size</t>
        </is>
      </c>
      <c r="B3" s="8" t="inlineStr">
        <is>
          <t>Grade</t>
        </is>
      </c>
      <c r="C3" s="8" t="inlineStr">
        <is>
          <t>Min Pretension (kips)</t>
        </is>
      </c>
    </row>
    <row r="4">
      <c r="A4" s="5" t="inlineStr">
        <is>
          <t>1/2</t>
        </is>
      </c>
      <c r="B4" s="5" t="inlineStr">
        <is>
          <t>A325</t>
        </is>
      </c>
      <c r="C4" s="9" t="n">
        <v>12</v>
      </c>
    </row>
    <row r="5">
      <c r="A5" s="5" t="inlineStr">
        <is>
          <t>5/8</t>
        </is>
      </c>
      <c r="B5" s="5" t="inlineStr">
        <is>
          <t>A325</t>
        </is>
      </c>
      <c r="C5" s="9" t="n">
        <v>19</v>
      </c>
    </row>
    <row r="6">
      <c r="A6" s="5" t="inlineStr">
        <is>
          <t>3/4</t>
        </is>
      </c>
      <c r="B6" s="5" t="inlineStr">
        <is>
          <t>A325</t>
        </is>
      </c>
      <c r="C6" s="9" t="n">
        <v>28</v>
      </c>
    </row>
    <row r="7">
      <c r="A7" s="5" t="inlineStr">
        <is>
          <t>7/8</t>
        </is>
      </c>
      <c r="B7" s="5" t="inlineStr">
        <is>
          <t>A325</t>
        </is>
      </c>
      <c r="C7" s="9" t="n">
        <v>39</v>
      </c>
    </row>
    <row r="8">
      <c r="A8" s="5" t="inlineStr">
        <is>
          <t>1</t>
        </is>
      </c>
      <c r="B8" s="5" t="inlineStr">
        <is>
          <t>A325</t>
        </is>
      </c>
      <c r="C8" s="9" t="n">
        <v>51</v>
      </c>
    </row>
    <row r="9">
      <c r="A9" s="5" t="inlineStr">
        <is>
          <t>1-1/8</t>
        </is>
      </c>
      <c r="B9" s="5" t="inlineStr">
        <is>
          <t>A325</t>
        </is>
      </c>
      <c r="C9" s="9" t="n">
        <v>56</v>
      </c>
    </row>
    <row r="10">
      <c r="A10" s="5" t="inlineStr">
        <is>
          <t>1-1/4</t>
        </is>
      </c>
      <c r="B10" s="5" t="inlineStr">
        <is>
          <t>A325</t>
        </is>
      </c>
      <c r="C10" s="9" t="n">
        <v>71</v>
      </c>
    </row>
    <row r="11">
      <c r="A11" s="5" t="inlineStr">
        <is>
          <t>1-3/8</t>
        </is>
      </c>
      <c r="B11" s="5" t="inlineStr">
        <is>
          <t>A325</t>
        </is>
      </c>
      <c r="C11" s="9" t="n">
        <v>85</v>
      </c>
    </row>
    <row r="12">
      <c r="A12" s="5" t="inlineStr">
        <is>
          <t>1-1/2</t>
        </is>
      </c>
      <c r="B12" s="5" t="inlineStr">
        <is>
          <t>A325</t>
        </is>
      </c>
      <c r="C12" s="9" t="n">
        <v>103</v>
      </c>
    </row>
    <row r="13">
      <c r="A13" s="5" t="inlineStr">
        <is>
          <t>1/2</t>
        </is>
      </c>
      <c r="B13" s="5" t="inlineStr">
        <is>
          <t>A490</t>
        </is>
      </c>
      <c r="C13" s="9" t="n">
        <v>15</v>
      </c>
    </row>
    <row r="14">
      <c r="A14" s="5" t="inlineStr">
        <is>
          <t>5/8</t>
        </is>
      </c>
      <c r="B14" s="5" t="inlineStr">
        <is>
          <t>A490</t>
        </is>
      </c>
      <c r="C14" s="9" t="n">
        <v>24</v>
      </c>
    </row>
    <row r="15">
      <c r="A15" s="5" t="inlineStr">
        <is>
          <t>3/4</t>
        </is>
      </c>
      <c r="B15" s="5" t="inlineStr">
        <is>
          <t>A490</t>
        </is>
      </c>
      <c r="C15" s="9" t="n">
        <v>35</v>
      </c>
    </row>
    <row r="16">
      <c r="A16" s="5" t="inlineStr">
        <is>
          <t>7/8</t>
        </is>
      </c>
      <c r="B16" s="5" t="inlineStr">
        <is>
          <t>A490</t>
        </is>
      </c>
      <c r="C16" s="9" t="n">
        <v>49</v>
      </c>
    </row>
    <row r="17">
      <c r="A17" s="5" t="inlineStr">
        <is>
          <t>1</t>
        </is>
      </c>
      <c r="B17" s="5" t="inlineStr">
        <is>
          <t>A490</t>
        </is>
      </c>
      <c r="C17" s="9" t="n">
        <v>64</v>
      </c>
    </row>
    <row r="18">
      <c r="A18" s="5" t="inlineStr">
        <is>
          <t>1-1/8</t>
        </is>
      </c>
      <c r="B18" s="5" t="inlineStr">
        <is>
          <t>A490</t>
        </is>
      </c>
      <c r="C18" s="9" t="n">
        <v>80</v>
      </c>
    </row>
    <row r="19">
      <c r="A19" s="5" t="inlineStr">
        <is>
          <t>1-1/4</t>
        </is>
      </c>
      <c r="B19" s="5" t="inlineStr">
        <is>
          <t>A490</t>
        </is>
      </c>
      <c r="C19" s="9" t="n">
        <v>102</v>
      </c>
    </row>
    <row r="20">
      <c r="A20" s="5" t="inlineStr">
        <is>
          <t>1-3/8</t>
        </is>
      </c>
      <c r="B20" s="5" t="inlineStr">
        <is>
          <t>A490</t>
        </is>
      </c>
      <c r="C20" s="9" t="n">
        <v>121</v>
      </c>
    </row>
    <row r="21">
      <c r="A21" s="5" t="inlineStr">
        <is>
          <t>1-1/2</t>
        </is>
      </c>
      <c r="B21" s="5" t="inlineStr">
        <is>
          <t>A490</t>
        </is>
      </c>
      <c r="C21" s="9" t="n">
        <v>148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6" customWidth="1" min="5" max="5"/>
    <col width="22" customWidth="1" min="6" max="6"/>
    <col width="16" customWidth="1" min="7" max="7"/>
    <col width="13" customWidth="1" min="8" max="8"/>
    <col width="18" customWidth="1" min="9" max="9"/>
    <col width="18" customWidth="1" min="10" max="10"/>
    <col width="16" customWidth="1" min="11" max="11"/>
    <col width="14" customWidth="1" min="12" max="12"/>
    <col width="14" customWidth="1" min="13" max="13"/>
    <col width="14" customWidth="1" min="14" max="14"/>
    <col width="22" customWidth="1" min="15" max="15"/>
  </cols>
  <sheetData>
    <row r="1" ht="32" customHeight="1">
      <c r="A1" s="1" t="inlineStr">
        <is>
          <t>BOLT LOT MASTER</t>
        </is>
      </c>
    </row>
    <row r="2">
      <c r="A2" s="10" t="inlineStr">
        <is>
          <t>One row per bolt lot received. RCSC minimum pretension auto-fills based on size + grade — Skidmore target is 105% of that minimum.</t>
        </is>
      </c>
    </row>
    <row r="4" ht="28" customHeight="1">
      <c r="A4" s="11" t="inlineStr">
        <is>
          <t>Lot #</t>
        </is>
      </c>
      <c r="B4" s="11" t="inlineStr">
        <is>
          <t>Bolt Size</t>
        </is>
      </c>
      <c r="C4" s="11" t="inlineStr">
        <is>
          <t>Grade</t>
        </is>
      </c>
      <c r="D4" s="11" t="inlineStr">
        <is>
          <t>Length (in)</t>
        </is>
      </c>
      <c r="E4" s="11" t="inlineStr">
        <is>
          <t>Finish</t>
        </is>
      </c>
      <c r="F4" s="11" t="inlineStr">
        <is>
          <t>Manufacturer</t>
        </is>
      </c>
      <c r="G4" s="11" t="inlineStr">
        <is>
          <t>MTR / Cert #</t>
        </is>
      </c>
      <c r="H4" s="11" t="inlineStr">
        <is>
          <t>Date Received</t>
        </is>
      </c>
      <c r="I4" s="11" t="inlineStr">
        <is>
          <t>RCSC Min Pretension (kips)</t>
        </is>
      </c>
      <c r="J4" s="11" t="inlineStr">
        <is>
          <t>Skidmore Target (105% kips)</t>
        </is>
      </c>
      <c r="K4" s="11" t="inlineStr">
        <is>
          <t>Pre-Install Verified?</t>
        </is>
      </c>
      <c r="L4" s="11" t="inlineStr">
        <is>
          <t>Last Verification Date</t>
        </is>
      </c>
      <c r="M4" s="11" t="inlineStr">
        <is>
          <t>Quantity Received</t>
        </is>
      </c>
      <c r="N4" s="11" t="inlineStr">
        <is>
          <t>Quantity Installed</t>
        </is>
      </c>
      <c r="O4" s="11" t="inlineStr">
        <is>
          <t>Notes</t>
        </is>
      </c>
    </row>
    <row r="5">
      <c r="A5" s="12" t="n"/>
      <c r="B5" s="12" t="n"/>
      <c r="C5" s="12" t="n"/>
      <c r="D5" s="13" t="n"/>
      <c r="E5" s="12" t="n"/>
      <c r="F5" s="12" t="n"/>
      <c r="G5" s="12" t="n"/>
      <c r="H5" s="14" t="n"/>
      <c r="I5" s="15">
        <f>IF(OR(B5="",C5=""),"",IFERROR(SUMIFS(PretensionKips,PretensionSize,B5,PretensionGrade,C5),""))</f>
        <v/>
      </c>
      <c r="J5" s="15">
        <f>IFERROR(I5*1.05,"")</f>
        <v/>
      </c>
      <c r="K5" s="12" t="n"/>
      <c r="L5" s="14" t="n"/>
      <c r="M5" s="16" t="n"/>
      <c r="N5" s="16" t="n"/>
      <c r="O5" s="12" t="n"/>
    </row>
    <row r="6">
      <c r="A6" s="12" t="n"/>
      <c r="B6" s="12" t="n"/>
      <c r="C6" s="12" t="n"/>
      <c r="D6" s="13" t="n"/>
      <c r="E6" s="12" t="n"/>
      <c r="F6" s="12" t="n"/>
      <c r="G6" s="12" t="n"/>
      <c r="H6" s="14" t="n"/>
      <c r="I6" s="15">
        <f>IF(OR(B6="",C6=""),"",IFERROR(SUMIFS(PretensionKips,PretensionSize,B6,PretensionGrade,C6),""))</f>
        <v/>
      </c>
      <c r="J6" s="15">
        <f>IFERROR(I6*1.05,"")</f>
        <v/>
      </c>
      <c r="K6" s="12" t="n"/>
      <c r="L6" s="14" t="n"/>
      <c r="M6" s="16" t="n"/>
      <c r="N6" s="16" t="n"/>
      <c r="O6" s="12" t="n"/>
    </row>
    <row r="7">
      <c r="A7" s="12" t="n"/>
      <c r="B7" s="12" t="n"/>
      <c r="C7" s="12" t="n"/>
      <c r="D7" s="13" t="n"/>
      <c r="E7" s="12" t="n"/>
      <c r="F7" s="12" t="n"/>
      <c r="G7" s="12" t="n"/>
      <c r="H7" s="14" t="n"/>
      <c r="I7" s="15">
        <f>IF(OR(B7="",C7=""),"",IFERROR(SUMIFS(PretensionKips,PretensionSize,B7,PretensionGrade,C7),""))</f>
        <v/>
      </c>
      <c r="J7" s="15">
        <f>IFERROR(I7*1.05,"")</f>
        <v/>
      </c>
      <c r="K7" s="12" t="n"/>
      <c r="L7" s="14" t="n"/>
      <c r="M7" s="16" t="n"/>
      <c r="N7" s="16" t="n"/>
      <c r="O7" s="12" t="n"/>
    </row>
    <row r="8">
      <c r="A8" s="12" t="n"/>
      <c r="B8" s="12" t="n"/>
      <c r="C8" s="12" t="n"/>
      <c r="D8" s="13" t="n"/>
      <c r="E8" s="12" t="n"/>
      <c r="F8" s="12" t="n"/>
      <c r="G8" s="12" t="n"/>
      <c r="H8" s="14" t="n"/>
      <c r="I8" s="15">
        <f>IF(OR(B8="",C8=""),"",IFERROR(SUMIFS(PretensionKips,PretensionSize,B8,PretensionGrade,C8),""))</f>
        <v/>
      </c>
      <c r="J8" s="15">
        <f>IFERROR(I8*1.05,"")</f>
        <v/>
      </c>
      <c r="K8" s="12" t="n"/>
      <c r="L8" s="14" t="n"/>
      <c r="M8" s="16" t="n"/>
      <c r="N8" s="16" t="n"/>
      <c r="O8" s="12" t="n"/>
    </row>
    <row r="9">
      <c r="A9" s="12" t="n"/>
      <c r="B9" s="12" t="n"/>
      <c r="C9" s="12" t="n"/>
      <c r="D9" s="13" t="n"/>
      <c r="E9" s="12" t="n"/>
      <c r="F9" s="12" t="n"/>
      <c r="G9" s="12" t="n"/>
      <c r="H9" s="14" t="n"/>
      <c r="I9" s="15">
        <f>IF(OR(B9="",C9=""),"",IFERROR(SUMIFS(PretensionKips,PretensionSize,B9,PretensionGrade,C9),""))</f>
        <v/>
      </c>
      <c r="J9" s="15">
        <f>IFERROR(I9*1.05,"")</f>
        <v/>
      </c>
      <c r="K9" s="12" t="n"/>
      <c r="L9" s="14" t="n"/>
      <c r="M9" s="16" t="n"/>
      <c r="N9" s="16" t="n"/>
      <c r="O9" s="12" t="n"/>
    </row>
    <row r="10">
      <c r="A10" s="12" t="n"/>
      <c r="B10" s="12" t="n"/>
      <c r="C10" s="12" t="n"/>
      <c r="D10" s="13" t="n"/>
      <c r="E10" s="12" t="n"/>
      <c r="F10" s="12" t="n"/>
      <c r="G10" s="12" t="n"/>
      <c r="H10" s="14" t="n"/>
      <c r="I10" s="15">
        <f>IF(OR(B10="",C10=""),"",IFERROR(SUMIFS(PretensionKips,PretensionSize,B10,PretensionGrade,C10),""))</f>
        <v/>
      </c>
      <c r="J10" s="15">
        <f>IFERROR(I10*1.05,"")</f>
        <v/>
      </c>
      <c r="K10" s="12" t="n"/>
      <c r="L10" s="14" t="n"/>
      <c r="M10" s="16" t="n"/>
      <c r="N10" s="16" t="n"/>
      <c r="O10" s="12" t="n"/>
    </row>
    <row r="11">
      <c r="A11" s="12" t="n"/>
      <c r="B11" s="12" t="n"/>
      <c r="C11" s="12" t="n"/>
      <c r="D11" s="13" t="n"/>
      <c r="E11" s="12" t="n"/>
      <c r="F11" s="12" t="n"/>
      <c r="G11" s="12" t="n"/>
      <c r="H11" s="14" t="n"/>
      <c r="I11" s="15">
        <f>IF(OR(B11="",C11=""),"",IFERROR(SUMIFS(PretensionKips,PretensionSize,B11,PretensionGrade,C11),""))</f>
        <v/>
      </c>
      <c r="J11" s="15">
        <f>IFERROR(I11*1.05,"")</f>
        <v/>
      </c>
      <c r="K11" s="12" t="n"/>
      <c r="L11" s="14" t="n"/>
      <c r="M11" s="16" t="n"/>
      <c r="N11" s="16" t="n"/>
      <c r="O11" s="12" t="n"/>
    </row>
    <row r="12">
      <c r="A12" s="12" t="n"/>
      <c r="B12" s="12" t="n"/>
      <c r="C12" s="12" t="n"/>
      <c r="D12" s="13" t="n"/>
      <c r="E12" s="12" t="n"/>
      <c r="F12" s="12" t="n"/>
      <c r="G12" s="12" t="n"/>
      <c r="H12" s="14" t="n"/>
      <c r="I12" s="15">
        <f>IF(OR(B12="",C12=""),"",IFERROR(SUMIFS(PretensionKips,PretensionSize,B12,PretensionGrade,C12),""))</f>
        <v/>
      </c>
      <c r="J12" s="15">
        <f>IFERROR(I12*1.05,"")</f>
        <v/>
      </c>
      <c r="K12" s="12" t="n"/>
      <c r="L12" s="14" t="n"/>
      <c r="M12" s="16" t="n"/>
      <c r="N12" s="16" t="n"/>
      <c r="O12" s="12" t="n"/>
    </row>
    <row r="13">
      <c r="A13" s="12" t="n"/>
      <c r="B13" s="12" t="n"/>
      <c r="C13" s="12" t="n"/>
      <c r="D13" s="13" t="n"/>
      <c r="E13" s="12" t="n"/>
      <c r="F13" s="12" t="n"/>
      <c r="G13" s="12" t="n"/>
      <c r="H13" s="14" t="n"/>
      <c r="I13" s="15">
        <f>IF(OR(B13="",C13=""),"",IFERROR(SUMIFS(PretensionKips,PretensionSize,B13,PretensionGrade,C13),""))</f>
        <v/>
      </c>
      <c r="J13" s="15">
        <f>IFERROR(I13*1.05,"")</f>
        <v/>
      </c>
      <c r="K13" s="12" t="n"/>
      <c r="L13" s="14" t="n"/>
      <c r="M13" s="16" t="n"/>
      <c r="N13" s="16" t="n"/>
      <c r="O13" s="12" t="n"/>
    </row>
    <row r="14">
      <c r="A14" s="12" t="n"/>
      <c r="B14" s="12" t="n"/>
      <c r="C14" s="12" t="n"/>
      <c r="D14" s="13" t="n"/>
      <c r="E14" s="12" t="n"/>
      <c r="F14" s="12" t="n"/>
      <c r="G14" s="12" t="n"/>
      <c r="H14" s="14" t="n"/>
      <c r="I14" s="15">
        <f>IF(OR(B14="",C14=""),"",IFERROR(SUMIFS(PretensionKips,PretensionSize,B14,PretensionGrade,C14),""))</f>
        <v/>
      </c>
      <c r="J14" s="15">
        <f>IFERROR(I14*1.05,"")</f>
        <v/>
      </c>
      <c r="K14" s="12" t="n"/>
      <c r="L14" s="14" t="n"/>
      <c r="M14" s="16" t="n"/>
      <c r="N14" s="16" t="n"/>
      <c r="O14" s="12" t="n"/>
    </row>
    <row r="15">
      <c r="A15" s="12" t="n"/>
      <c r="B15" s="12" t="n"/>
      <c r="C15" s="12" t="n"/>
      <c r="D15" s="13" t="n"/>
      <c r="E15" s="12" t="n"/>
      <c r="F15" s="12" t="n"/>
      <c r="G15" s="12" t="n"/>
      <c r="H15" s="14" t="n"/>
      <c r="I15" s="15">
        <f>IF(OR(B15="",C15=""),"",IFERROR(SUMIFS(PretensionKips,PretensionSize,B15,PretensionGrade,C15),""))</f>
        <v/>
      </c>
      <c r="J15" s="15">
        <f>IFERROR(I15*1.05,"")</f>
        <v/>
      </c>
      <c r="K15" s="12" t="n"/>
      <c r="L15" s="14" t="n"/>
      <c r="M15" s="16" t="n"/>
      <c r="N15" s="16" t="n"/>
      <c r="O15" s="12" t="n"/>
    </row>
    <row r="16">
      <c r="A16" s="12" t="n"/>
      <c r="B16" s="12" t="n"/>
      <c r="C16" s="12" t="n"/>
      <c r="D16" s="13" t="n"/>
      <c r="E16" s="12" t="n"/>
      <c r="F16" s="12" t="n"/>
      <c r="G16" s="12" t="n"/>
      <c r="H16" s="14" t="n"/>
      <c r="I16" s="15">
        <f>IF(OR(B16="",C16=""),"",IFERROR(SUMIFS(PretensionKips,PretensionSize,B16,PretensionGrade,C16),""))</f>
        <v/>
      </c>
      <c r="J16" s="15">
        <f>IFERROR(I16*1.05,"")</f>
        <v/>
      </c>
      <c r="K16" s="12" t="n"/>
      <c r="L16" s="14" t="n"/>
      <c r="M16" s="16" t="n"/>
      <c r="N16" s="16" t="n"/>
      <c r="O16" s="12" t="n"/>
    </row>
    <row r="17">
      <c r="A17" s="12" t="n"/>
      <c r="B17" s="12" t="n"/>
      <c r="C17" s="12" t="n"/>
      <c r="D17" s="13" t="n"/>
      <c r="E17" s="12" t="n"/>
      <c r="F17" s="12" t="n"/>
      <c r="G17" s="12" t="n"/>
      <c r="H17" s="14" t="n"/>
      <c r="I17" s="15">
        <f>IF(OR(B17="",C17=""),"",IFERROR(SUMIFS(PretensionKips,PretensionSize,B17,PretensionGrade,C17),""))</f>
        <v/>
      </c>
      <c r="J17" s="15">
        <f>IFERROR(I17*1.05,"")</f>
        <v/>
      </c>
      <c r="K17" s="12" t="n"/>
      <c r="L17" s="14" t="n"/>
      <c r="M17" s="16" t="n"/>
      <c r="N17" s="16" t="n"/>
      <c r="O17" s="12" t="n"/>
    </row>
    <row r="18">
      <c r="A18" s="12" t="n"/>
      <c r="B18" s="12" t="n"/>
      <c r="C18" s="12" t="n"/>
      <c r="D18" s="13" t="n"/>
      <c r="E18" s="12" t="n"/>
      <c r="F18" s="12" t="n"/>
      <c r="G18" s="12" t="n"/>
      <c r="H18" s="14" t="n"/>
      <c r="I18" s="15">
        <f>IF(OR(B18="",C18=""),"",IFERROR(SUMIFS(PretensionKips,PretensionSize,B18,PretensionGrade,C18),""))</f>
        <v/>
      </c>
      <c r="J18" s="15">
        <f>IFERROR(I18*1.05,"")</f>
        <v/>
      </c>
      <c r="K18" s="12" t="n"/>
      <c r="L18" s="14" t="n"/>
      <c r="M18" s="16" t="n"/>
      <c r="N18" s="16" t="n"/>
      <c r="O18" s="12" t="n"/>
    </row>
    <row r="19">
      <c r="A19" s="12" t="n"/>
      <c r="B19" s="12" t="n"/>
      <c r="C19" s="12" t="n"/>
      <c r="D19" s="13" t="n"/>
      <c r="E19" s="12" t="n"/>
      <c r="F19" s="12" t="n"/>
      <c r="G19" s="12" t="n"/>
      <c r="H19" s="14" t="n"/>
      <c r="I19" s="15">
        <f>IF(OR(B19="",C19=""),"",IFERROR(SUMIFS(PretensionKips,PretensionSize,B19,PretensionGrade,C19),""))</f>
        <v/>
      </c>
      <c r="J19" s="15">
        <f>IFERROR(I19*1.05,"")</f>
        <v/>
      </c>
      <c r="K19" s="12" t="n"/>
      <c r="L19" s="14" t="n"/>
      <c r="M19" s="16" t="n"/>
      <c r="N19" s="16" t="n"/>
      <c r="O19" s="12" t="n"/>
    </row>
    <row r="20">
      <c r="A20" s="12" t="n"/>
      <c r="B20" s="12" t="n"/>
      <c r="C20" s="12" t="n"/>
      <c r="D20" s="13" t="n"/>
      <c r="E20" s="12" t="n"/>
      <c r="F20" s="12" t="n"/>
      <c r="G20" s="12" t="n"/>
      <c r="H20" s="14" t="n"/>
      <c r="I20" s="15">
        <f>IF(OR(B20="",C20=""),"",IFERROR(SUMIFS(PretensionKips,PretensionSize,B20,PretensionGrade,C20),""))</f>
        <v/>
      </c>
      <c r="J20" s="15">
        <f>IFERROR(I20*1.05,"")</f>
        <v/>
      </c>
      <c r="K20" s="12" t="n"/>
      <c r="L20" s="14" t="n"/>
      <c r="M20" s="16" t="n"/>
      <c r="N20" s="16" t="n"/>
      <c r="O20" s="12" t="n"/>
    </row>
    <row r="21">
      <c r="A21" s="12" t="n"/>
      <c r="B21" s="12" t="n"/>
      <c r="C21" s="12" t="n"/>
      <c r="D21" s="13" t="n"/>
      <c r="E21" s="12" t="n"/>
      <c r="F21" s="12" t="n"/>
      <c r="G21" s="12" t="n"/>
      <c r="H21" s="14" t="n"/>
      <c r="I21" s="15">
        <f>IF(OR(B21="",C21=""),"",IFERROR(SUMIFS(PretensionKips,PretensionSize,B21,PretensionGrade,C21),""))</f>
        <v/>
      </c>
      <c r="J21" s="15">
        <f>IFERROR(I21*1.05,"")</f>
        <v/>
      </c>
      <c r="K21" s="12" t="n"/>
      <c r="L21" s="14" t="n"/>
      <c r="M21" s="16" t="n"/>
      <c r="N21" s="16" t="n"/>
      <c r="O21" s="12" t="n"/>
    </row>
    <row r="22">
      <c r="A22" s="12" t="n"/>
      <c r="B22" s="12" t="n"/>
      <c r="C22" s="12" t="n"/>
      <c r="D22" s="13" t="n"/>
      <c r="E22" s="12" t="n"/>
      <c r="F22" s="12" t="n"/>
      <c r="G22" s="12" t="n"/>
      <c r="H22" s="14" t="n"/>
      <c r="I22" s="15">
        <f>IF(OR(B22="",C22=""),"",IFERROR(SUMIFS(PretensionKips,PretensionSize,B22,PretensionGrade,C22),""))</f>
        <v/>
      </c>
      <c r="J22" s="15">
        <f>IFERROR(I22*1.05,"")</f>
        <v/>
      </c>
      <c r="K22" s="12" t="n"/>
      <c r="L22" s="14" t="n"/>
      <c r="M22" s="16" t="n"/>
      <c r="N22" s="16" t="n"/>
      <c r="O22" s="12" t="n"/>
    </row>
    <row r="23">
      <c r="A23" s="12" t="n"/>
      <c r="B23" s="12" t="n"/>
      <c r="C23" s="12" t="n"/>
      <c r="D23" s="13" t="n"/>
      <c r="E23" s="12" t="n"/>
      <c r="F23" s="12" t="n"/>
      <c r="G23" s="12" t="n"/>
      <c r="H23" s="14" t="n"/>
      <c r="I23" s="15">
        <f>IF(OR(B23="",C23=""),"",IFERROR(SUMIFS(PretensionKips,PretensionSize,B23,PretensionGrade,C23),""))</f>
        <v/>
      </c>
      <c r="J23" s="15">
        <f>IFERROR(I23*1.05,"")</f>
        <v/>
      </c>
      <c r="K23" s="12" t="n"/>
      <c r="L23" s="14" t="n"/>
      <c r="M23" s="16" t="n"/>
      <c r="N23" s="16" t="n"/>
      <c r="O23" s="12" t="n"/>
    </row>
    <row r="24">
      <c r="A24" s="12" t="n"/>
      <c r="B24" s="12" t="n"/>
      <c r="C24" s="12" t="n"/>
      <c r="D24" s="13" t="n"/>
      <c r="E24" s="12" t="n"/>
      <c r="F24" s="12" t="n"/>
      <c r="G24" s="12" t="n"/>
      <c r="H24" s="14" t="n"/>
      <c r="I24" s="15">
        <f>IF(OR(B24="",C24=""),"",IFERROR(SUMIFS(PretensionKips,PretensionSize,B24,PretensionGrade,C24),""))</f>
        <v/>
      </c>
      <c r="J24" s="15">
        <f>IFERROR(I24*1.05,"")</f>
        <v/>
      </c>
      <c r="K24" s="12" t="n"/>
      <c r="L24" s="14" t="n"/>
      <c r="M24" s="16" t="n"/>
      <c r="N24" s="16" t="n"/>
      <c r="O24" s="12" t="n"/>
    </row>
    <row r="25">
      <c r="A25" s="12" t="n"/>
      <c r="B25" s="12" t="n"/>
      <c r="C25" s="12" t="n"/>
      <c r="D25" s="13" t="n"/>
      <c r="E25" s="12" t="n"/>
      <c r="F25" s="12" t="n"/>
      <c r="G25" s="12" t="n"/>
      <c r="H25" s="14" t="n"/>
      <c r="I25" s="15">
        <f>IF(OR(B25="",C25=""),"",IFERROR(SUMIFS(PretensionKips,PretensionSize,B25,PretensionGrade,C25),""))</f>
        <v/>
      </c>
      <c r="J25" s="15">
        <f>IFERROR(I25*1.05,"")</f>
        <v/>
      </c>
      <c r="K25" s="12" t="n"/>
      <c r="L25" s="14" t="n"/>
      <c r="M25" s="16" t="n"/>
      <c r="N25" s="16" t="n"/>
      <c r="O25" s="12" t="n"/>
    </row>
    <row r="26">
      <c r="A26" s="12" t="n"/>
      <c r="B26" s="12" t="n"/>
      <c r="C26" s="12" t="n"/>
      <c r="D26" s="13" t="n"/>
      <c r="E26" s="12" t="n"/>
      <c r="F26" s="12" t="n"/>
      <c r="G26" s="12" t="n"/>
      <c r="H26" s="14" t="n"/>
      <c r="I26" s="15">
        <f>IF(OR(B26="",C26=""),"",IFERROR(SUMIFS(PretensionKips,PretensionSize,B26,PretensionGrade,C26),""))</f>
        <v/>
      </c>
      <c r="J26" s="15">
        <f>IFERROR(I26*1.05,"")</f>
        <v/>
      </c>
      <c r="K26" s="12" t="n"/>
      <c r="L26" s="14" t="n"/>
      <c r="M26" s="16" t="n"/>
      <c r="N26" s="16" t="n"/>
      <c r="O26" s="12" t="n"/>
    </row>
    <row r="27">
      <c r="A27" s="12" t="n"/>
      <c r="B27" s="12" t="n"/>
      <c r="C27" s="12" t="n"/>
      <c r="D27" s="13" t="n"/>
      <c r="E27" s="12" t="n"/>
      <c r="F27" s="12" t="n"/>
      <c r="G27" s="12" t="n"/>
      <c r="H27" s="14" t="n"/>
      <c r="I27" s="15">
        <f>IF(OR(B27="",C27=""),"",IFERROR(SUMIFS(PretensionKips,PretensionSize,B27,PretensionGrade,C27),""))</f>
        <v/>
      </c>
      <c r="J27" s="15">
        <f>IFERROR(I27*1.05,"")</f>
        <v/>
      </c>
      <c r="K27" s="12" t="n"/>
      <c r="L27" s="14" t="n"/>
      <c r="M27" s="16" t="n"/>
      <c r="N27" s="16" t="n"/>
      <c r="O27" s="12" t="n"/>
    </row>
    <row r="28">
      <c r="A28" s="12" t="n"/>
      <c r="B28" s="12" t="n"/>
      <c r="C28" s="12" t="n"/>
      <c r="D28" s="13" t="n"/>
      <c r="E28" s="12" t="n"/>
      <c r="F28" s="12" t="n"/>
      <c r="G28" s="12" t="n"/>
      <c r="H28" s="14" t="n"/>
      <c r="I28" s="15">
        <f>IF(OR(B28="",C28=""),"",IFERROR(SUMIFS(PretensionKips,PretensionSize,B28,PretensionGrade,C28),""))</f>
        <v/>
      </c>
      <c r="J28" s="15">
        <f>IFERROR(I28*1.05,"")</f>
        <v/>
      </c>
      <c r="K28" s="12" t="n"/>
      <c r="L28" s="14" t="n"/>
      <c r="M28" s="16" t="n"/>
      <c r="N28" s="16" t="n"/>
      <c r="O28" s="12" t="n"/>
    </row>
    <row r="29">
      <c r="A29" s="12" t="n"/>
      <c r="B29" s="12" t="n"/>
      <c r="C29" s="12" t="n"/>
      <c r="D29" s="13" t="n"/>
      <c r="E29" s="12" t="n"/>
      <c r="F29" s="12" t="n"/>
      <c r="G29" s="12" t="n"/>
      <c r="H29" s="14" t="n"/>
      <c r="I29" s="15">
        <f>IF(OR(B29="",C29=""),"",IFERROR(SUMIFS(PretensionKips,PretensionSize,B29,PretensionGrade,C29),""))</f>
        <v/>
      </c>
      <c r="J29" s="15">
        <f>IFERROR(I29*1.05,"")</f>
        <v/>
      </c>
      <c r="K29" s="12" t="n"/>
      <c r="L29" s="14" t="n"/>
      <c r="M29" s="16" t="n"/>
      <c r="N29" s="16" t="n"/>
      <c r="O29" s="12" t="n"/>
    </row>
    <row r="30">
      <c r="A30" s="12" t="n"/>
      <c r="B30" s="12" t="n"/>
      <c r="C30" s="12" t="n"/>
      <c r="D30" s="13" t="n"/>
      <c r="E30" s="12" t="n"/>
      <c r="F30" s="12" t="n"/>
      <c r="G30" s="12" t="n"/>
      <c r="H30" s="14" t="n"/>
      <c r="I30" s="15">
        <f>IF(OR(B30="",C30=""),"",IFERROR(SUMIFS(PretensionKips,PretensionSize,B30,PretensionGrade,C30),""))</f>
        <v/>
      </c>
      <c r="J30" s="15">
        <f>IFERROR(I30*1.05,"")</f>
        <v/>
      </c>
      <c r="K30" s="12" t="n"/>
      <c r="L30" s="14" t="n"/>
      <c r="M30" s="16" t="n"/>
      <c r="N30" s="16" t="n"/>
      <c r="O30" s="12" t="n"/>
    </row>
    <row r="31">
      <c r="A31" s="12" t="n"/>
      <c r="B31" s="12" t="n"/>
      <c r="C31" s="12" t="n"/>
      <c r="D31" s="13" t="n"/>
      <c r="E31" s="12" t="n"/>
      <c r="F31" s="12" t="n"/>
      <c r="G31" s="12" t="n"/>
      <c r="H31" s="14" t="n"/>
      <c r="I31" s="15">
        <f>IF(OR(B31="",C31=""),"",IFERROR(SUMIFS(PretensionKips,PretensionSize,B31,PretensionGrade,C31),""))</f>
        <v/>
      </c>
      <c r="J31" s="15">
        <f>IFERROR(I31*1.05,"")</f>
        <v/>
      </c>
      <c r="K31" s="12" t="n"/>
      <c r="L31" s="14" t="n"/>
      <c r="M31" s="16" t="n"/>
      <c r="N31" s="16" t="n"/>
      <c r="O31" s="12" t="n"/>
    </row>
    <row r="32">
      <c r="A32" s="12" t="n"/>
      <c r="B32" s="12" t="n"/>
      <c r="C32" s="12" t="n"/>
      <c r="D32" s="13" t="n"/>
      <c r="E32" s="12" t="n"/>
      <c r="F32" s="12" t="n"/>
      <c r="G32" s="12" t="n"/>
      <c r="H32" s="14" t="n"/>
      <c r="I32" s="15">
        <f>IF(OR(B32="",C32=""),"",IFERROR(SUMIFS(PretensionKips,PretensionSize,B32,PretensionGrade,C32),""))</f>
        <v/>
      </c>
      <c r="J32" s="15">
        <f>IFERROR(I32*1.05,"")</f>
        <v/>
      </c>
      <c r="K32" s="12" t="n"/>
      <c r="L32" s="14" t="n"/>
      <c r="M32" s="16" t="n"/>
      <c r="N32" s="16" t="n"/>
      <c r="O32" s="12" t="n"/>
    </row>
    <row r="33">
      <c r="A33" s="12" t="n"/>
      <c r="B33" s="12" t="n"/>
      <c r="C33" s="12" t="n"/>
      <c r="D33" s="13" t="n"/>
      <c r="E33" s="12" t="n"/>
      <c r="F33" s="12" t="n"/>
      <c r="G33" s="12" t="n"/>
      <c r="H33" s="14" t="n"/>
      <c r="I33" s="15">
        <f>IF(OR(B33="",C33=""),"",IFERROR(SUMIFS(PretensionKips,PretensionSize,B33,PretensionGrade,C33),""))</f>
        <v/>
      </c>
      <c r="J33" s="15">
        <f>IFERROR(I33*1.05,"")</f>
        <v/>
      </c>
      <c r="K33" s="12" t="n"/>
      <c r="L33" s="14" t="n"/>
      <c r="M33" s="16" t="n"/>
      <c r="N33" s="16" t="n"/>
      <c r="O33" s="12" t="n"/>
    </row>
    <row r="34">
      <c r="A34" s="12" t="n"/>
      <c r="B34" s="12" t="n"/>
      <c r="C34" s="12" t="n"/>
      <c r="D34" s="13" t="n"/>
      <c r="E34" s="12" t="n"/>
      <c r="F34" s="12" t="n"/>
      <c r="G34" s="12" t="n"/>
      <c r="H34" s="14" t="n"/>
      <c r="I34" s="15">
        <f>IF(OR(B34="",C34=""),"",IFERROR(SUMIFS(PretensionKips,PretensionSize,B34,PretensionGrade,C34),""))</f>
        <v/>
      </c>
      <c r="J34" s="15">
        <f>IFERROR(I34*1.05,"")</f>
        <v/>
      </c>
      <c r="K34" s="12" t="n"/>
      <c r="L34" s="14" t="n"/>
      <c r="M34" s="16" t="n"/>
      <c r="N34" s="16" t="n"/>
      <c r="O34" s="12" t="n"/>
    </row>
  </sheetData>
  <mergeCells count="2">
    <mergeCell ref="A1:O1"/>
    <mergeCell ref="A2:O2"/>
  </mergeCells>
  <conditionalFormatting sqref="K5:K34">
    <cfRule type="expression" priority="1" dxfId="0">
      <formula>K5="Yes"</formula>
    </cfRule>
    <cfRule type="expression" priority="2" dxfId="1">
      <formula>K5="No"</formula>
    </cfRule>
    <cfRule type="expression" priority="3" dxfId="2">
      <formula>K5="Expired"</formula>
    </cfRule>
  </conditionalFormatting>
  <dataValidations count="4">
    <dataValidation sqref="B5:B34" showDropDown="0" showInputMessage="0" showErrorMessage="0" allowBlank="1" type="list">
      <formula1>"1/2,5/8,3/4,7/8,1,1-1/8,1-1/4,1-3/8,1-1/2"</formula1>
    </dataValidation>
    <dataValidation sqref="C5:C34" showDropDown="0" showInputMessage="0" showErrorMessage="0" allowBlank="1" type="list">
      <formula1>"A325,A490,F1852,F2280,F3148"</formula1>
    </dataValidation>
    <dataValidation sqref="E5:E34" showDropDown="0" showInputMessage="0" showErrorMessage="0" allowBlank="1" type="list">
      <formula1>"Plain,Mechanically Galvanized,Hot-Dip Galvanized,Weathering,Zinc/Aluminum Coated"</formula1>
    </dataValidation>
    <dataValidation sqref="K5:K34" showDropDown="0" showInputMessage="0" showErrorMessage="0" allowBlank="1" type="list">
      <formula1>"Yes,No,Expired"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0" customWidth="1" min="5" max="5"/>
    <col width="18" customWidth="1" min="6" max="6"/>
    <col width="16" customWidth="1" min="7" max="7"/>
    <col width="16" customWidth="1" min="8" max="8"/>
    <col width="16" customWidth="1" min="9" max="9"/>
    <col width="14" customWidth="1" min="10" max="10"/>
    <col width="12" customWidth="1" min="11" max="11"/>
    <col width="18" customWidth="1" min="12" max="12"/>
    <col width="18" customWidth="1" min="13" max="13"/>
    <col width="20" customWidth="1" min="14" max="14"/>
  </cols>
  <sheetData>
    <row r="1" ht="32" customHeight="1">
      <c r="A1" s="1" t="inlineStr">
        <is>
          <t>PRE-INSTALLATION VERIFICATION LOG</t>
        </is>
      </c>
    </row>
    <row r="2">
      <c r="A2" s="10" t="inlineStr">
        <is>
          <t>RCSC §7. Test 3 bolt-nut-washer assemblies from each active lot at start of shift OR when anything changes. All 3 readings must meet or exceed the 105% target.</t>
        </is>
      </c>
    </row>
    <row r="4" ht="28" customHeight="1">
      <c r="A4" s="11" t="inlineStr">
        <is>
          <t>Date</t>
        </is>
      </c>
      <c r="B4" s="11" t="inlineStr">
        <is>
          <t>Time</t>
        </is>
      </c>
      <c r="C4" s="11" t="inlineStr">
        <is>
          <t>Lot #</t>
        </is>
      </c>
      <c r="D4" s="11" t="inlineStr">
        <is>
          <t>Bolt Size</t>
        </is>
      </c>
      <c r="E4" s="11" t="inlineStr">
        <is>
          <t>Grade</t>
        </is>
      </c>
      <c r="F4" s="11" t="inlineStr">
        <is>
          <t>Method</t>
        </is>
      </c>
      <c r="G4" s="11" t="inlineStr">
        <is>
          <t>Test #1 Pretension (kips)</t>
        </is>
      </c>
      <c r="H4" s="11" t="inlineStr">
        <is>
          <t>Test #2 Pretension (kips)</t>
        </is>
      </c>
      <c r="I4" s="11" t="inlineStr">
        <is>
          <t>Test #3 Pretension (kips)</t>
        </is>
      </c>
      <c r="J4" s="11" t="inlineStr">
        <is>
          <t>Target (105% min)</t>
        </is>
      </c>
      <c r="K4" s="11" t="inlineStr">
        <is>
          <t>Pass / Fail</t>
        </is>
      </c>
      <c r="L4" s="11" t="inlineStr">
        <is>
          <t>Ironworker</t>
        </is>
      </c>
      <c r="M4" s="11" t="inlineStr">
        <is>
          <t>Inspector</t>
        </is>
      </c>
      <c r="N4" s="11" t="inlineStr">
        <is>
          <t>Notes</t>
        </is>
      </c>
    </row>
    <row r="5">
      <c r="A5" s="14" t="n"/>
      <c r="B5" s="12" t="n"/>
      <c r="C5" s="12" t="n"/>
      <c r="D5" s="12" t="n"/>
      <c r="E5" s="12" t="n"/>
      <c r="F5" s="12" t="n"/>
      <c r="G5" s="15" t="n"/>
      <c r="H5" s="15" t="n"/>
      <c r="I5" s="15" t="n"/>
      <c r="J5" s="15">
        <f>IFERROR(VLOOKUP(C5,LotTable,10,FALSE),"")</f>
        <v/>
      </c>
      <c r="K5" s="12">
        <f>IF(OR(G5="",H5="",I5="",J5=""),"",IF(AND(G5&gt;=J5,H5&gt;=J5,I5&gt;=J5),"Pass","Fail"))</f>
        <v/>
      </c>
      <c r="L5" s="12" t="n"/>
      <c r="M5" s="12" t="n"/>
      <c r="N5" s="12" t="n"/>
    </row>
    <row r="6">
      <c r="A6" s="14" t="n"/>
      <c r="B6" s="12" t="n"/>
      <c r="C6" s="12" t="n"/>
      <c r="D6" s="12" t="n"/>
      <c r="E6" s="12" t="n"/>
      <c r="F6" s="12" t="n"/>
      <c r="G6" s="15" t="n"/>
      <c r="H6" s="15" t="n"/>
      <c r="I6" s="15" t="n"/>
      <c r="J6" s="15">
        <f>IFERROR(VLOOKUP(C6,LotTable,10,FALSE),"")</f>
        <v/>
      </c>
      <c r="K6" s="12">
        <f>IF(OR(G6="",H6="",I6="",J6=""),"",IF(AND(G6&gt;=J6,H6&gt;=J6,I6&gt;=J6),"Pass","Fail"))</f>
        <v/>
      </c>
      <c r="L6" s="12" t="n"/>
      <c r="M6" s="12" t="n"/>
      <c r="N6" s="12" t="n"/>
    </row>
    <row r="7">
      <c r="A7" s="14" t="n"/>
      <c r="B7" s="12" t="n"/>
      <c r="C7" s="12" t="n"/>
      <c r="D7" s="12" t="n"/>
      <c r="E7" s="12" t="n"/>
      <c r="F7" s="12" t="n"/>
      <c r="G7" s="15" t="n"/>
      <c r="H7" s="15" t="n"/>
      <c r="I7" s="15" t="n"/>
      <c r="J7" s="15">
        <f>IFERROR(VLOOKUP(C7,LotTable,10,FALSE),"")</f>
        <v/>
      </c>
      <c r="K7" s="12">
        <f>IF(OR(G7="",H7="",I7="",J7=""),"",IF(AND(G7&gt;=J7,H7&gt;=J7,I7&gt;=J7),"Pass","Fail"))</f>
        <v/>
      </c>
      <c r="L7" s="12" t="n"/>
      <c r="M7" s="12" t="n"/>
      <c r="N7" s="12" t="n"/>
    </row>
    <row r="8">
      <c r="A8" s="14" t="n"/>
      <c r="B8" s="12" t="n"/>
      <c r="C8" s="12" t="n"/>
      <c r="D8" s="12" t="n"/>
      <c r="E8" s="12" t="n"/>
      <c r="F8" s="12" t="n"/>
      <c r="G8" s="15" t="n"/>
      <c r="H8" s="15" t="n"/>
      <c r="I8" s="15" t="n"/>
      <c r="J8" s="15">
        <f>IFERROR(VLOOKUP(C8,LotTable,10,FALSE),"")</f>
        <v/>
      </c>
      <c r="K8" s="12">
        <f>IF(OR(G8="",H8="",I8="",J8=""),"",IF(AND(G8&gt;=J8,H8&gt;=J8,I8&gt;=J8),"Pass","Fail"))</f>
        <v/>
      </c>
      <c r="L8" s="12" t="n"/>
      <c r="M8" s="12" t="n"/>
      <c r="N8" s="12" t="n"/>
    </row>
    <row r="9">
      <c r="A9" s="14" t="n"/>
      <c r="B9" s="12" t="n"/>
      <c r="C9" s="12" t="n"/>
      <c r="D9" s="12" t="n"/>
      <c r="E9" s="12" t="n"/>
      <c r="F9" s="12" t="n"/>
      <c r="G9" s="15" t="n"/>
      <c r="H9" s="15" t="n"/>
      <c r="I9" s="15" t="n"/>
      <c r="J9" s="15">
        <f>IFERROR(VLOOKUP(C9,LotTable,10,FALSE),"")</f>
        <v/>
      </c>
      <c r="K9" s="12">
        <f>IF(OR(G9="",H9="",I9="",J9=""),"",IF(AND(G9&gt;=J9,H9&gt;=J9,I9&gt;=J9),"Pass","Fail"))</f>
        <v/>
      </c>
      <c r="L9" s="12" t="n"/>
      <c r="M9" s="12" t="n"/>
      <c r="N9" s="12" t="n"/>
    </row>
    <row r="10">
      <c r="A10" s="14" t="n"/>
      <c r="B10" s="12" t="n"/>
      <c r="C10" s="12" t="n"/>
      <c r="D10" s="12" t="n"/>
      <c r="E10" s="12" t="n"/>
      <c r="F10" s="12" t="n"/>
      <c r="G10" s="15" t="n"/>
      <c r="H10" s="15" t="n"/>
      <c r="I10" s="15" t="n"/>
      <c r="J10" s="15">
        <f>IFERROR(VLOOKUP(C10,LotTable,10,FALSE),"")</f>
        <v/>
      </c>
      <c r="K10" s="12">
        <f>IF(OR(G10="",H10="",I10="",J10=""),"",IF(AND(G10&gt;=J10,H10&gt;=J10,I10&gt;=J10),"Pass","Fail"))</f>
        <v/>
      </c>
      <c r="L10" s="12" t="n"/>
      <c r="M10" s="12" t="n"/>
      <c r="N10" s="12" t="n"/>
    </row>
    <row r="11">
      <c r="A11" s="14" t="n"/>
      <c r="B11" s="12" t="n"/>
      <c r="C11" s="12" t="n"/>
      <c r="D11" s="12" t="n"/>
      <c r="E11" s="12" t="n"/>
      <c r="F11" s="12" t="n"/>
      <c r="G11" s="15" t="n"/>
      <c r="H11" s="15" t="n"/>
      <c r="I11" s="15" t="n"/>
      <c r="J11" s="15">
        <f>IFERROR(VLOOKUP(C11,LotTable,10,FALSE),"")</f>
        <v/>
      </c>
      <c r="K11" s="12">
        <f>IF(OR(G11="",H11="",I11="",J11=""),"",IF(AND(G11&gt;=J11,H11&gt;=J11,I11&gt;=J11),"Pass","Fail"))</f>
        <v/>
      </c>
      <c r="L11" s="12" t="n"/>
      <c r="M11" s="12" t="n"/>
      <c r="N11" s="12" t="n"/>
    </row>
    <row r="12">
      <c r="A12" s="14" t="n"/>
      <c r="B12" s="12" t="n"/>
      <c r="C12" s="12" t="n"/>
      <c r="D12" s="12" t="n"/>
      <c r="E12" s="12" t="n"/>
      <c r="F12" s="12" t="n"/>
      <c r="G12" s="15" t="n"/>
      <c r="H12" s="15" t="n"/>
      <c r="I12" s="15" t="n"/>
      <c r="J12" s="15">
        <f>IFERROR(VLOOKUP(C12,LotTable,10,FALSE),"")</f>
        <v/>
      </c>
      <c r="K12" s="12">
        <f>IF(OR(G12="",H12="",I12="",J12=""),"",IF(AND(G12&gt;=J12,H12&gt;=J12,I12&gt;=J12),"Pass","Fail"))</f>
        <v/>
      </c>
      <c r="L12" s="12" t="n"/>
      <c r="M12" s="12" t="n"/>
      <c r="N12" s="12" t="n"/>
    </row>
    <row r="13">
      <c r="A13" s="14" t="n"/>
      <c r="B13" s="12" t="n"/>
      <c r="C13" s="12" t="n"/>
      <c r="D13" s="12" t="n"/>
      <c r="E13" s="12" t="n"/>
      <c r="F13" s="12" t="n"/>
      <c r="G13" s="15" t="n"/>
      <c r="H13" s="15" t="n"/>
      <c r="I13" s="15" t="n"/>
      <c r="J13" s="15">
        <f>IFERROR(VLOOKUP(C13,LotTable,10,FALSE),"")</f>
        <v/>
      </c>
      <c r="K13" s="12">
        <f>IF(OR(G13="",H13="",I13="",J13=""),"",IF(AND(G13&gt;=J13,H13&gt;=J13,I13&gt;=J13),"Pass","Fail"))</f>
        <v/>
      </c>
      <c r="L13" s="12" t="n"/>
      <c r="M13" s="12" t="n"/>
      <c r="N13" s="12" t="n"/>
    </row>
    <row r="14">
      <c r="A14" s="14" t="n"/>
      <c r="B14" s="12" t="n"/>
      <c r="C14" s="12" t="n"/>
      <c r="D14" s="12" t="n"/>
      <c r="E14" s="12" t="n"/>
      <c r="F14" s="12" t="n"/>
      <c r="G14" s="15" t="n"/>
      <c r="H14" s="15" t="n"/>
      <c r="I14" s="15" t="n"/>
      <c r="J14" s="15">
        <f>IFERROR(VLOOKUP(C14,LotTable,10,FALSE),"")</f>
        <v/>
      </c>
      <c r="K14" s="12">
        <f>IF(OR(G14="",H14="",I14="",J14=""),"",IF(AND(G14&gt;=J14,H14&gt;=J14,I14&gt;=J14),"Pass","Fail"))</f>
        <v/>
      </c>
      <c r="L14" s="12" t="n"/>
      <c r="M14" s="12" t="n"/>
      <c r="N14" s="12" t="n"/>
    </row>
    <row r="15">
      <c r="A15" s="14" t="n"/>
      <c r="B15" s="12" t="n"/>
      <c r="C15" s="12" t="n"/>
      <c r="D15" s="12" t="n"/>
      <c r="E15" s="12" t="n"/>
      <c r="F15" s="12" t="n"/>
      <c r="G15" s="15" t="n"/>
      <c r="H15" s="15" t="n"/>
      <c r="I15" s="15" t="n"/>
      <c r="J15" s="15">
        <f>IFERROR(VLOOKUP(C15,LotTable,10,FALSE),"")</f>
        <v/>
      </c>
      <c r="K15" s="12">
        <f>IF(OR(G15="",H15="",I15="",J15=""),"",IF(AND(G15&gt;=J15,H15&gt;=J15,I15&gt;=J15),"Pass","Fail"))</f>
        <v/>
      </c>
      <c r="L15" s="12" t="n"/>
      <c r="M15" s="12" t="n"/>
      <c r="N15" s="12" t="n"/>
    </row>
    <row r="16">
      <c r="A16" s="14" t="n"/>
      <c r="B16" s="12" t="n"/>
      <c r="C16" s="12" t="n"/>
      <c r="D16" s="12" t="n"/>
      <c r="E16" s="12" t="n"/>
      <c r="F16" s="12" t="n"/>
      <c r="G16" s="15" t="n"/>
      <c r="H16" s="15" t="n"/>
      <c r="I16" s="15" t="n"/>
      <c r="J16" s="15">
        <f>IFERROR(VLOOKUP(C16,LotTable,10,FALSE),"")</f>
        <v/>
      </c>
      <c r="K16" s="12">
        <f>IF(OR(G16="",H16="",I16="",J16=""),"",IF(AND(G16&gt;=J16,H16&gt;=J16,I16&gt;=J16),"Pass","Fail"))</f>
        <v/>
      </c>
      <c r="L16" s="12" t="n"/>
      <c r="M16" s="12" t="n"/>
      <c r="N16" s="12" t="n"/>
    </row>
    <row r="17">
      <c r="A17" s="14" t="n"/>
      <c r="B17" s="12" t="n"/>
      <c r="C17" s="12" t="n"/>
      <c r="D17" s="12" t="n"/>
      <c r="E17" s="12" t="n"/>
      <c r="F17" s="12" t="n"/>
      <c r="G17" s="15" t="n"/>
      <c r="H17" s="15" t="n"/>
      <c r="I17" s="15" t="n"/>
      <c r="J17" s="15">
        <f>IFERROR(VLOOKUP(C17,LotTable,10,FALSE),"")</f>
        <v/>
      </c>
      <c r="K17" s="12">
        <f>IF(OR(G17="",H17="",I17="",J17=""),"",IF(AND(G17&gt;=J17,H17&gt;=J17,I17&gt;=J17),"Pass","Fail"))</f>
        <v/>
      </c>
      <c r="L17" s="12" t="n"/>
      <c r="M17" s="12" t="n"/>
      <c r="N17" s="12" t="n"/>
    </row>
    <row r="18">
      <c r="A18" s="14" t="n"/>
      <c r="B18" s="12" t="n"/>
      <c r="C18" s="12" t="n"/>
      <c r="D18" s="12" t="n"/>
      <c r="E18" s="12" t="n"/>
      <c r="F18" s="12" t="n"/>
      <c r="G18" s="15" t="n"/>
      <c r="H18" s="15" t="n"/>
      <c r="I18" s="15" t="n"/>
      <c r="J18" s="15">
        <f>IFERROR(VLOOKUP(C18,LotTable,10,FALSE),"")</f>
        <v/>
      </c>
      <c r="K18" s="12">
        <f>IF(OR(G18="",H18="",I18="",J18=""),"",IF(AND(G18&gt;=J18,H18&gt;=J18,I18&gt;=J18),"Pass","Fail"))</f>
        <v/>
      </c>
      <c r="L18" s="12" t="n"/>
      <c r="M18" s="12" t="n"/>
      <c r="N18" s="12" t="n"/>
    </row>
    <row r="19">
      <c r="A19" s="14" t="n"/>
      <c r="B19" s="12" t="n"/>
      <c r="C19" s="12" t="n"/>
      <c r="D19" s="12" t="n"/>
      <c r="E19" s="12" t="n"/>
      <c r="F19" s="12" t="n"/>
      <c r="G19" s="15" t="n"/>
      <c r="H19" s="15" t="n"/>
      <c r="I19" s="15" t="n"/>
      <c r="J19" s="15">
        <f>IFERROR(VLOOKUP(C19,LotTable,10,FALSE),"")</f>
        <v/>
      </c>
      <c r="K19" s="12">
        <f>IF(OR(G19="",H19="",I19="",J19=""),"",IF(AND(G19&gt;=J19,H19&gt;=J19,I19&gt;=J19),"Pass","Fail"))</f>
        <v/>
      </c>
      <c r="L19" s="12" t="n"/>
      <c r="M19" s="12" t="n"/>
      <c r="N19" s="12" t="n"/>
    </row>
    <row r="20">
      <c r="A20" s="14" t="n"/>
      <c r="B20" s="12" t="n"/>
      <c r="C20" s="12" t="n"/>
      <c r="D20" s="12" t="n"/>
      <c r="E20" s="12" t="n"/>
      <c r="F20" s="12" t="n"/>
      <c r="G20" s="15" t="n"/>
      <c r="H20" s="15" t="n"/>
      <c r="I20" s="15" t="n"/>
      <c r="J20" s="15">
        <f>IFERROR(VLOOKUP(C20,LotTable,10,FALSE),"")</f>
        <v/>
      </c>
      <c r="K20" s="12">
        <f>IF(OR(G20="",H20="",I20="",J20=""),"",IF(AND(G20&gt;=J20,H20&gt;=J20,I20&gt;=J20),"Pass","Fail"))</f>
        <v/>
      </c>
      <c r="L20" s="12" t="n"/>
      <c r="M20" s="12" t="n"/>
      <c r="N20" s="12" t="n"/>
    </row>
    <row r="21">
      <c r="A21" s="14" t="n"/>
      <c r="B21" s="12" t="n"/>
      <c r="C21" s="12" t="n"/>
      <c r="D21" s="12" t="n"/>
      <c r="E21" s="12" t="n"/>
      <c r="F21" s="12" t="n"/>
      <c r="G21" s="15" t="n"/>
      <c r="H21" s="15" t="n"/>
      <c r="I21" s="15" t="n"/>
      <c r="J21" s="15">
        <f>IFERROR(VLOOKUP(C21,LotTable,10,FALSE),"")</f>
        <v/>
      </c>
      <c r="K21" s="12">
        <f>IF(OR(G21="",H21="",I21="",J21=""),"",IF(AND(G21&gt;=J21,H21&gt;=J21,I21&gt;=J21),"Pass","Fail"))</f>
        <v/>
      </c>
      <c r="L21" s="12" t="n"/>
      <c r="M21" s="12" t="n"/>
      <c r="N21" s="12" t="n"/>
    </row>
    <row r="22">
      <c r="A22" s="14" t="n"/>
      <c r="B22" s="12" t="n"/>
      <c r="C22" s="12" t="n"/>
      <c r="D22" s="12" t="n"/>
      <c r="E22" s="12" t="n"/>
      <c r="F22" s="12" t="n"/>
      <c r="G22" s="15" t="n"/>
      <c r="H22" s="15" t="n"/>
      <c r="I22" s="15" t="n"/>
      <c r="J22" s="15">
        <f>IFERROR(VLOOKUP(C22,LotTable,10,FALSE),"")</f>
        <v/>
      </c>
      <c r="K22" s="12">
        <f>IF(OR(G22="",H22="",I22="",J22=""),"",IF(AND(G22&gt;=J22,H22&gt;=J22,I22&gt;=J22),"Pass","Fail"))</f>
        <v/>
      </c>
      <c r="L22" s="12" t="n"/>
      <c r="M22" s="12" t="n"/>
      <c r="N22" s="12" t="n"/>
    </row>
    <row r="23">
      <c r="A23" s="14" t="n"/>
      <c r="B23" s="12" t="n"/>
      <c r="C23" s="12" t="n"/>
      <c r="D23" s="12" t="n"/>
      <c r="E23" s="12" t="n"/>
      <c r="F23" s="12" t="n"/>
      <c r="G23" s="15" t="n"/>
      <c r="H23" s="15" t="n"/>
      <c r="I23" s="15" t="n"/>
      <c r="J23" s="15">
        <f>IFERROR(VLOOKUP(C23,LotTable,10,FALSE),"")</f>
        <v/>
      </c>
      <c r="K23" s="12">
        <f>IF(OR(G23="",H23="",I23="",J23=""),"",IF(AND(G23&gt;=J23,H23&gt;=J23,I23&gt;=J23),"Pass","Fail"))</f>
        <v/>
      </c>
      <c r="L23" s="12" t="n"/>
      <c r="M23" s="12" t="n"/>
      <c r="N23" s="12" t="n"/>
    </row>
    <row r="24">
      <c r="A24" s="14" t="n"/>
      <c r="B24" s="12" t="n"/>
      <c r="C24" s="12" t="n"/>
      <c r="D24" s="12" t="n"/>
      <c r="E24" s="12" t="n"/>
      <c r="F24" s="12" t="n"/>
      <c r="G24" s="15" t="n"/>
      <c r="H24" s="15" t="n"/>
      <c r="I24" s="15" t="n"/>
      <c r="J24" s="15">
        <f>IFERROR(VLOOKUP(C24,LotTable,10,FALSE),"")</f>
        <v/>
      </c>
      <c r="K24" s="12">
        <f>IF(OR(G24="",H24="",I24="",J24=""),"",IF(AND(G24&gt;=J24,H24&gt;=J24,I24&gt;=J24),"Pass","Fail"))</f>
        <v/>
      </c>
      <c r="L24" s="12" t="n"/>
      <c r="M24" s="12" t="n"/>
      <c r="N24" s="12" t="n"/>
    </row>
    <row r="25">
      <c r="A25" s="14" t="n"/>
      <c r="B25" s="12" t="n"/>
      <c r="C25" s="12" t="n"/>
      <c r="D25" s="12" t="n"/>
      <c r="E25" s="12" t="n"/>
      <c r="F25" s="12" t="n"/>
      <c r="G25" s="15" t="n"/>
      <c r="H25" s="15" t="n"/>
      <c r="I25" s="15" t="n"/>
      <c r="J25" s="15">
        <f>IFERROR(VLOOKUP(C25,LotTable,10,FALSE),"")</f>
        <v/>
      </c>
      <c r="K25" s="12">
        <f>IF(OR(G25="",H25="",I25="",J25=""),"",IF(AND(G25&gt;=J25,H25&gt;=J25,I25&gt;=J25),"Pass","Fail"))</f>
        <v/>
      </c>
      <c r="L25" s="12" t="n"/>
      <c r="M25" s="12" t="n"/>
      <c r="N25" s="12" t="n"/>
    </row>
    <row r="26">
      <c r="A26" s="14" t="n"/>
      <c r="B26" s="12" t="n"/>
      <c r="C26" s="12" t="n"/>
      <c r="D26" s="12" t="n"/>
      <c r="E26" s="12" t="n"/>
      <c r="F26" s="12" t="n"/>
      <c r="G26" s="15" t="n"/>
      <c r="H26" s="15" t="n"/>
      <c r="I26" s="15" t="n"/>
      <c r="J26" s="15">
        <f>IFERROR(VLOOKUP(C26,LotTable,10,FALSE),"")</f>
        <v/>
      </c>
      <c r="K26" s="12">
        <f>IF(OR(G26="",H26="",I26="",J26=""),"",IF(AND(G26&gt;=J26,H26&gt;=J26,I26&gt;=J26),"Pass","Fail"))</f>
        <v/>
      </c>
      <c r="L26" s="12" t="n"/>
      <c r="M26" s="12" t="n"/>
      <c r="N26" s="12" t="n"/>
    </row>
    <row r="27">
      <c r="A27" s="14" t="n"/>
      <c r="B27" s="12" t="n"/>
      <c r="C27" s="12" t="n"/>
      <c r="D27" s="12" t="n"/>
      <c r="E27" s="12" t="n"/>
      <c r="F27" s="12" t="n"/>
      <c r="G27" s="15" t="n"/>
      <c r="H27" s="15" t="n"/>
      <c r="I27" s="15" t="n"/>
      <c r="J27" s="15">
        <f>IFERROR(VLOOKUP(C27,LotTable,10,FALSE),"")</f>
        <v/>
      </c>
      <c r="K27" s="12">
        <f>IF(OR(G27="",H27="",I27="",J27=""),"",IF(AND(G27&gt;=J27,H27&gt;=J27,I27&gt;=J27),"Pass","Fail"))</f>
        <v/>
      </c>
      <c r="L27" s="12" t="n"/>
      <c r="M27" s="12" t="n"/>
      <c r="N27" s="12" t="n"/>
    </row>
    <row r="28">
      <c r="A28" s="14" t="n"/>
      <c r="B28" s="12" t="n"/>
      <c r="C28" s="12" t="n"/>
      <c r="D28" s="12" t="n"/>
      <c r="E28" s="12" t="n"/>
      <c r="F28" s="12" t="n"/>
      <c r="G28" s="15" t="n"/>
      <c r="H28" s="15" t="n"/>
      <c r="I28" s="15" t="n"/>
      <c r="J28" s="15">
        <f>IFERROR(VLOOKUP(C28,LotTable,10,FALSE),"")</f>
        <v/>
      </c>
      <c r="K28" s="12">
        <f>IF(OR(G28="",H28="",I28="",J28=""),"",IF(AND(G28&gt;=J28,H28&gt;=J28,I28&gt;=J28),"Pass","Fail"))</f>
        <v/>
      </c>
      <c r="L28" s="12" t="n"/>
      <c r="M28" s="12" t="n"/>
      <c r="N28" s="12" t="n"/>
    </row>
    <row r="29">
      <c r="A29" s="14" t="n"/>
      <c r="B29" s="12" t="n"/>
      <c r="C29" s="12" t="n"/>
      <c r="D29" s="12" t="n"/>
      <c r="E29" s="12" t="n"/>
      <c r="F29" s="12" t="n"/>
      <c r="G29" s="15" t="n"/>
      <c r="H29" s="15" t="n"/>
      <c r="I29" s="15" t="n"/>
      <c r="J29" s="15">
        <f>IFERROR(VLOOKUP(C29,LotTable,10,FALSE),"")</f>
        <v/>
      </c>
      <c r="K29" s="12">
        <f>IF(OR(G29="",H29="",I29="",J29=""),"",IF(AND(G29&gt;=J29,H29&gt;=J29,I29&gt;=J29),"Pass","Fail"))</f>
        <v/>
      </c>
      <c r="L29" s="12" t="n"/>
      <c r="M29" s="12" t="n"/>
      <c r="N29" s="12" t="n"/>
    </row>
    <row r="30">
      <c r="A30" s="14" t="n"/>
      <c r="B30" s="12" t="n"/>
      <c r="C30" s="12" t="n"/>
      <c r="D30" s="12" t="n"/>
      <c r="E30" s="12" t="n"/>
      <c r="F30" s="12" t="n"/>
      <c r="G30" s="15" t="n"/>
      <c r="H30" s="15" t="n"/>
      <c r="I30" s="15" t="n"/>
      <c r="J30" s="15">
        <f>IFERROR(VLOOKUP(C30,LotTable,10,FALSE),"")</f>
        <v/>
      </c>
      <c r="K30" s="12">
        <f>IF(OR(G30="",H30="",I30="",J30=""),"",IF(AND(G30&gt;=J30,H30&gt;=J30,I30&gt;=J30),"Pass","Fail"))</f>
        <v/>
      </c>
      <c r="L30" s="12" t="n"/>
      <c r="M30" s="12" t="n"/>
      <c r="N30" s="12" t="n"/>
    </row>
    <row r="31">
      <c r="A31" s="14" t="n"/>
      <c r="B31" s="12" t="n"/>
      <c r="C31" s="12" t="n"/>
      <c r="D31" s="12" t="n"/>
      <c r="E31" s="12" t="n"/>
      <c r="F31" s="12" t="n"/>
      <c r="G31" s="15" t="n"/>
      <c r="H31" s="15" t="n"/>
      <c r="I31" s="15" t="n"/>
      <c r="J31" s="15">
        <f>IFERROR(VLOOKUP(C31,LotTable,10,FALSE),"")</f>
        <v/>
      </c>
      <c r="K31" s="12">
        <f>IF(OR(G31="",H31="",I31="",J31=""),"",IF(AND(G31&gt;=J31,H31&gt;=J31,I31&gt;=J31),"Pass","Fail"))</f>
        <v/>
      </c>
      <c r="L31" s="12" t="n"/>
      <c r="M31" s="12" t="n"/>
      <c r="N31" s="12" t="n"/>
    </row>
    <row r="32">
      <c r="A32" s="14" t="n"/>
      <c r="B32" s="12" t="n"/>
      <c r="C32" s="12" t="n"/>
      <c r="D32" s="12" t="n"/>
      <c r="E32" s="12" t="n"/>
      <c r="F32" s="12" t="n"/>
      <c r="G32" s="15" t="n"/>
      <c r="H32" s="15" t="n"/>
      <c r="I32" s="15" t="n"/>
      <c r="J32" s="15">
        <f>IFERROR(VLOOKUP(C32,LotTable,10,FALSE),"")</f>
        <v/>
      </c>
      <c r="K32" s="12">
        <f>IF(OR(G32="",H32="",I32="",J32=""),"",IF(AND(G32&gt;=J32,H32&gt;=J32,I32&gt;=J32),"Pass","Fail"))</f>
        <v/>
      </c>
      <c r="L32" s="12" t="n"/>
      <c r="M32" s="12" t="n"/>
      <c r="N32" s="12" t="n"/>
    </row>
    <row r="33">
      <c r="A33" s="14" t="n"/>
      <c r="B33" s="12" t="n"/>
      <c r="C33" s="12" t="n"/>
      <c r="D33" s="12" t="n"/>
      <c r="E33" s="12" t="n"/>
      <c r="F33" s="12" t="n"/>
      <c r="G33" s="15" t="n"/>
      <c r="H33" s="15" t="n"/>
      <c r="I33" s="15" t="n"/>
      <c r="J33" s="15">
        <f>IFERROR(VLOOKUP(C33,LotTable,10,FALSE),"")</f>
        <v/>
      </c>
      <c r="K33" s="12">
        <f>IF(OR(G33="",H33="",I33="",J33=""),"",IF(AND(G33&gt;=J33,H33&gt;=J33,I33&gt;=J33),"Pass","Fail"))</f>
        <v/>
      </c>
      <c r="L33" s="12" t="n"/>
      <c r="M33" s="12" t="n"/>
      <c r="N33" s="12" t="n"/>
    </row>
    <row r="34">
      <c r="A34" s="14" t="n"/>
      <c r="B34" s="12" t="n"/>
      <c r="C34" s="12" t="n"/>
      <c r="D34" s="12" t="n"/>
      <c r="E34" s="12" t="n"/>
      <c r="F34" s="12" t="n"/>
      <c r="G34" s="15" t="n"/>
      <c r="H34" s="15" t="n"/>
      <c r="I34" s="15" t="n"/>
      <c r="J34" s="15">
        <f>IFERROR(VLOOKUP(C34,LotTable,10,FALSE),"")</f>
        <v/>
      </c>
      <c r="K34" s="12">
        <f>IF(OR(G34="",H34="",I34="",J34=""),"",IF(AND(G34&gt;=J34,H34&gt;=J34,I34&gt;=J34),"Pass","Fail"))</f>
        <v/>
      </c>
      <c r="L34" s="12" t="n"/>
      <c r="M34" s="12" t="n"/>
      <c r="N34" s="12" t="n"/>
    </row>
    <row r="35">
      <c r="A35" s="14" t="n"/>
      <c r="B35" s="12" t="n"/>
      <c r="C35" s="12" t="n"/>
      <c r="D35" s="12" t="n"/>
      <c r="E35" s="12" t="n"/>
      <c r="F35" s="12" t="n"/>
      <c r="G35" s="15" t="n"/>
      <c r="H35" s="15" t="n"/>
      <c r="I35" s="15" t="n"/>
      <c r="J35" s="15">
        <f>IFERROR(VLOOKUP(C35,LotTable,10,FALSE),"")</f>
        <v/>
      </c>
      <c r="K35" s="12">
        <f>IF(OR(G35="",H35="",I35="",J35=""),"",IF(AND(G35&gt;=J35,H35&gt;=J35,I35&gt;=J35),"Pass","Fail"))</f>
        <v/>
      </c>
      <c r="L35" s="12" t="n"/>
      <c r="M35" s="12" t="n"/>
      <c r="N35" s="12" t="n"/>
    </row>
    <row r="36">
      <c r="A36" s="14" t="n"/>
      <c r="B36" s="12" t="n"/>
      <c r="C36" s="12" t="n"/>
      <c r="D36" s="12" t="n"/>
      <c r="E36" s="12" t="n"/>
      <c r="F36" s="12" t="n"/>
      <c r="G36" s="15" t="n"/>
      <c r="H36" s="15" t="n"/>
      <c r="I36" s="15" t="n"/>
      <c r="J36" s="15">
        <f>IFERROR(VLOOKUP(C36,LotTable,10,FALSE),"")</f>
        <v/>
      </c>
      <c r="K36" s="12">
        <f>IF(OR(G36="",H36="",I36="",J36=""),"",IF(AND(G36&gt;=J36,H36&gt;=J36,I36&gt;=J36),"Pass","Fail"))</f>
        <v/>
      </c>
      <c r="L36" s="12" t="n"/>
      <c r="M36" s="12" t="n"/>
      <c r="N36" s="12" t="n"/>
    </row>
    <row r="37">
      <c r="A37" s="14" t="n"/>
      <c r="B37" s="12" t="n"/>
      <c r="C37" s="12" t="n"/>
      <c r="D37" s="12" t="n"/>
      <c r="E37" s="12" t="n"/>
      <c r="F37" s="12" t="n"/>
      <c r="G37" s="15" t="n"/>
      <c r="H37" s="15" t="n"/>
      <c r="I37" s="15" t="n"/>
      <c r="J37" s="15">
        <f>IFERROR(VLOOKUP(C37,LotTable,10,FALSE),"")</f>
        <v/>
      </c>
      <c r="K37" s="12">
        <f>IF(OR(G37="",H37="",I37="",J37=""),"",IF(AND(G37&gt;=J37,H37&gt;=J37,I37&gt;=J37),"Pass","Fail"))</f>
        <v/>
      </c>
      <c r="L37" s="12" t="n"/>
      <c r="M37" s="12" t="n"/>
      <c r="N37" s="12" t="n"/>
    </row>
    <row r="38">
      <c r="A38" s="14" t="n"/>
      <c r="B38" s="12" t="n"/>
      <c r="C38" s="12" t="n"/>
      <c r="D38" s="12" t="n"/>
      <c r="E38" s="12" t="n"/>
      <c r="F38" s="12" t="n"/>
      <c r="G38" s="15" t="n"/>
      <c r="H38" s="15" t="n"/>
      <c r="I38" s="15" t="n"/>
      <c r="J38" s="15">
        <f>IFERROR(VLOOKUP(C38,LotTable,10,FALSE),"")</f>
        <v/>
      </c>
      <c r="K38" s="12">
        <f>IF(OR(G38="",H38="",I38="",J38=""),"",IF(AND(G38&gt;=J38,H38&gt;=J38,I38&gt;=J38),"Pass","Fail"))</f>
        <v/>
      </c>
      <c r="L38" s="12" t="n"/>
      <c r="M38" s="12" t="n"/>
      <c r="N38" s="12" t="n"/>
    </row>
    <row r="39">
      <c r="A39" s="14" t="n"/>
      <c r="B39" s="12" t="n"/>
      <c r="C39" s="12" t="n"/>
      <c r="D39" s="12" t="n"/>
      <c r="E39" s="12" t="n"/>
      <c r="F39" s="12" t="n"/>
      <c r="G39" s="15" t="n"/>
      <c r="H39" s="15" t="n"/>
      <c r="I39" s="15" t="n"/>
      <c r="J39" s="15">
        <f>IFERROR(VLOOKUP(C39,LotTable,10,FALSE),"")</f>
        <v/>
      </c>
      <c r="K39" s="12">
        <f>IF(OR(G39="",H39="",I39="",J39=""),"",IF(AND(G39&gt;=J39,H39&gt;=J39,I39&gt;=J39),"Pass","Fail"))</f>
        <v/>
      </c>
      <c r="L39" s="12" t="n"/>
      <c r="M39" s="12" t="n"/>
      <c r="N39" s="12" t="n"/>
    </row>
    <row r="40">
      <c r="A40" s="14" t="n"/>
      <c r="B40" s="12" t="n"/>
      <c r="C40" s="12" t="n"/>
      <c r="D40" s="12" t="n"/>
      <c r="E40" s="12" t="n"/>
      <c r="F40" s="12" t="n"/>
      <c r="G40" s="15" t="n"/>
      <c r="H40" s="15" t="n"/>
      <c r="I40" s="15" t="n"/>
      <c r="J40" s="15">
        <f>IFERROR(VLOOKUP(C40,LotTable,10,FALSE),"")</f>
        <v/>
      </c>
      <c r="K40" s="12">
        <f>IF(OR(G40="",H40="",I40="",J40=""),"",IF(AND(G40&gt;=J40,H40&gt;=J40,I40&gt;=J40),"Pass","Fail"))</f>
        <v/>
      </c>
      <c r="L40" s="12" t="n"/>
      <c r="M40" s="12" t="n"/>
      <c r="N40" s="12" t="n"/>
    </row>
    <row r="41">
      <c r="A41" s="14" t="n"/>
      <c r="B41" s="12" t="n"/>
      <c r="C41" s="12" t="n"/>
      <c r="D41" s="12" t="n"/>
      <c r="E41" s="12" t="n"/>
      <c r="F41" s="12" t="n"/>
      <c r="G41" s="15" t="n"/>
      <c r="H41" s="15" t="n"/>
      <c r="I41" s="15" t="n"/>
      <c r="J41" s="15">
        <f>IFERROR(VLOOKUP(C41,LotTable,10,FALSE),"")</f>
        <v/>
      </c>
      <c r="K41" s="12">
        <f>IF(OR(G41="",H41="",I41="",J41=""),"",IF(AND(G41&gt;=J41,H41&gt;=J41,I41&gt;=J41),"Pass","Fail"))</f>
        <v/>
      </c>
      <c r="L41" s="12" t="n"/>
      <c r="M41" s="12" t="n"/>
      <c r="N41" s="12" t="n"/>
    </row>
    <row r="42">
      <c r="A42" s="14" t="n"/>
      <c r="B42" s="12" t="n"/>
      <c r="C42" s="12" t="n"/>
      <c r="D42" s="12" t="n"/>
      <c r="E42" s="12" t="n"/>
      <c r="F42" s="12" t="n"/>
      <c r="G42" s="15" t="n"/>
      <c r="H42" s="15" t="n"/>
      <c r="I42" s="15" t="n"/>
      <c r="J42" s="15">
        <f>IFERROR(VLOOKUP(C42,LotTable,10,FALSE),"")</f>
        <v/>
      </c>
      <c r="K42" s="12">
        <f>IF(OR(G42="",H42="",I42="",J42=""),"",IF(AND(G42&gt;=J42,H42&gt;=J42,I42&gt;=J42),"Pass","Fail"))</f>
        <v/>
      </c>
      <c r="L42" s="12" t="n"/>
      <c r="M42" s="12" t="n"/>
      <c r="N42" s="12" t="n"/>
    </row>
    <row r="43">
      <c r="A43" s="14" t="n"/>
      <c r="B43" s="12" t="n"/>
      <c r="C43" s="12" t="n"/>
      <c r="D43" s="12" t="n"/>
      <c r="E43" s="12" t="n"/>
      <c r="F43" s="12" t="n"/>
      <c r="G43" s="15" t="n"/>
      <c r="H43" s="15" t="n"/>
      <c r="I43" s="15" t="n"/>
      <c r="J43" s="15">
        <f>IFERROR(VLOOKUP(C43,LotTable,10,FALSE),"")</f>
        <v/>
      </c>
      <c r="K43" s="12">
        <f>IF(OR(G43="",H43="",I43="",J43=""),"",IF(AND(G43&gt;=J43,H43&gt;=J43,I43&gt;=J43),"Pass","Fail"))</f>
        <v/>
      </c>
      <c r="L43" s="12" t="n"/>
      <c r="M43" s="12" t="n"/>
      <c r="N43" s="12" t="n"/>
    </row>
    <row r="44">
      <c r="A44" s="14" t="n"/>
      <c r="B44" s="12" t="n"/>
      <c r="C44" s="12" t="n"/>
      <c r="D44" s="12" t="n"/>
      <c r="E44" s="12" t="n"/>
      <c r="F44" s="12" t="n"/>
      <c r="G44" s="15" t="n"/>
      <c r="H44" s="15" t="n"/>
      <c r="I44" s="15" t="n"/>
      <c r="J44" s="15">
        <f>IFERROR(VLOOKUP(C44,LotTable,10,FALSE),"")</f>
        <v/>
      </c>
      <c r="K44" s="12">
        <f>IF(OR(G44="",H44="",I44="",J44=""),"",IF(AND(G44&gt;=J44,H44&gt;=J44,I44&gt;=J44),"Pass","Fail"))</f>
        <v/>
      </c>
      <c r="L44" s="12" t="n"/>
      <c r="M44" s="12" t="n"/>
      <c r="N44" s="12" t="n"/>
    </row>
    <row r="45">
      <c r="A45" s="14" t="n"/>
      <c r="B45" s="12" t="n"/>
      <c r="C45" s="12" t="n"/>
      <c r="D45" s="12" t="n"/>
      <c r="E45" s="12" t="n"/>
      <c r="F45" s="12" t="n"/>
      <c r="G45" s="15" t="n"/>
      <c r="H45" s="15" t="n"/>
      <c r="I45" s="15" t="n"/>
      <c r="J45" s="15">
        <f>IFERROR(VLOOKUP(C45,LotTable,10,FALSE),"")</f>
        <v/>
      </c>
      <c r="K45" s="12">
        <f>IF(OR(G45="",H45="",I45="",J45=""),"",IF(AND(G45&gt;=J45,H45&gt;=J45,I45&gt;=J45),"Pass","Fail"))</f>
        <v/>
      </c>
      <c r="L45" s="12" t="n"/>
      <c r="M45" s="12" t="n"/>
      <c r="N45" s="12" t="n"/>
    </row>
    <row r="46">
      <c r="A46" s="14" t="n"/>
      <c r="B46" s="12" t="n"/>
      <c r="C46" s="12" t="n"/>
      <c r="D46" s="12" t="n"/>
      <c r="E46" s="12" t="n"/>
      <c r="F46" s="12" t="n"/>
      <c r="G46" s="15" t="n"/>
      <c r="H46" s="15" t="n"/>
      <c r="I46" s="15" t="n"/>
      <c r="J46" s="15">
        <f>IFERROR(VLOOKUP(C46,LotTable,10,FALSE),"")</f>
        <v/>
      </c>
      <c r="K46" s="12">
        <f>IF(OR(G46="",H46="",I46="",J46=""),"",IF(AND(G46&gt;=J46,H46&gt;=J46,I46&gt;=J46),"Pass","Fail"))</f>
        <v/>
      </c>
      <c r="L46" s="12" t="n"/>
      <c r="M46" s="12" t="n"/>
      <c r="N46" s="12" t="n"/>
    </row>
    <row r="47">
      <c r="A47" s="14" t="n"/>
      <c r="B47" s="12" t="n"/>
      <c r="C47" s="12" t="n"/>
      <c r="D47" s="12" t="n"/>
      <c r="E47" s="12" t="n"/>
      <c r="F47" s="12" t="n"/>
      <c r="G47" s="15" t="n"/>
      <c r="H47" s="15" t="n"/>
      <c r="I47" s="15" t="n"/>
      <c r="J47" s="15">
        <f>IFERROR(VLOOKUP(C47,LotTable,10,FALSE),"")</f>
        <v/>
      </c>
      <c r="K47" s="12">
        <f>IF(OR(G47="",H47="",I47="",J47=""),"",IF(AND(G47&gt;=J47,H47&gt;=J47,I47&gt;=J47),"Pass","Fail"))</f>
        <v/>
      </c>
      <c r="L47" s="12" t="n"/>
      <c r="M47" s="12" t="n"/>
      <c r="N47" s="12" t="n"/>
    </row>
    <row r="48">
      <c r="A48" s="14" t="n"/>
      <c r="B48" s="12" t="n"/>
      <c r="C48" s="12" t="n"/>
      <c r="D48" s="12" t="n"/>
      <c r="E48" s="12" t="n"/>
      <c r="F48" s="12" t="n"/>
      <c r="G48" s="15" t="n"/>
      <c r="H48" s="15" t="n"/>
      <c r="I48" s="15" t="n"/>
      <c r="J48" s="15">
        <f>IFERROR(VLOOKUP(C48,LotTable,10,FALSE),"")</f>
        <v/>
      </c>
      <c r="K48" s="12">
        <f>IF(OR(G48="",H48="",I48="",J48=""),"",IF(AND(G48&gt;=J48,H48&gt;=J48,I48&gt;=J48),"Pass","Fail"))</f>
        <v/>
      </c>
      <c r="L48" s="12" t="n"/>
      <c r="M48" s="12" t="n"/>
      <c r="N48" s="12" t="n"/>
    </row>
    <row r="49">
      <c r="A49" s="14" t="n"/>
      <c r="B49" s="12" t="n"/>
      <c r="C49" s="12" t="n"/>
      <c r="D49" s="12" t="n"/>
      <c r="E49" s="12" t="n"/>
      <c r="F49" s="12" t="n"/>
      <c r="G49" s="15" t="n"/>
      <c r="H49" s="15" t="n"/>
      <c r="I49" s="15" t="n"/>
      <c r="J49" s="15">
        <f>IFERROR(VLOOKUP(C49,LotTable,10,FALSE),"")</f>
        <v/>
      </c>
      <c r="K49" s="12">
        <f>IF(OR(G49="",H49="",I49="",J49=""),"",IF(AND(G49&gt;=J49,H49&gt;=J49,I49&gt;=J49),"Pass","Fail"))</f>
        <v/>
      </c>
      <c r="L49" s="12" t="n"/>
      <c r="M49" s="12" t="n"/>
      <c r="N49" s="12" t="n"/>
    </row>
    <row r="50">
      <c r="A50" s="14" t="n"/>
      <c r="B50" s="12" t="n"/>
      <c r="C50" s="12" t="n"/>
      <c r="D50" s="12" t="n"/>
      <c r="E50" s="12" t="n"/>
      <c r="F50" s="12" t="n"/>
      <c r="G50" s="15" t="n"/>
      <c r="H50" s="15" t="n"/>
      <c r="I50" s="15" t="n"/>
      <c r="J50" s="15">
        <f>IFERROR(VLOOKUP(C50,LotTable,10,FALSE),"")</f>
        <v/>
      </c>
      <c r="K50" s="12">
        <f>IF(OR(G50="",H50="",I50="",J50=""),"",IF(AND(G50&gt;=J50,H50&gt;=J50,I50&gt;=J50),"Pass","Fail"))</f>
        <v/>
      </c>
      <c r="L50" s="12" t="n"/>
      <c r="M50" s="12" t="n"/>
      <c r="N50" s="12" t="n"/>
    </row>
    <row r="51">
      <c r="A51" s="14" t="n"/>
      <c r="B51" s="12" t="n"/>
      <c r="C51" s="12" t="n"/>
      <c r="D51" s="12" t="n"/>
      <c r="E51" s="12" t="n"/>
      <c r="F51" s="12" t="n"/>
      <c r="G51" s="15" t="n"/>
      <c r="H51" s="15" t="n"/>
      <c r="I51" s="15" t="n"/>
      <c r="J51" s="15">
        <f>IFERROR(VLOOKUP(C51,LotTable,10,FALSE),"")</f>
        <v/>
      </c>
      <c r="K51" s="12">
        <f>IF(OR(G51="",H51="",I51="",J51=""),"",IF(AND(G51&gt;=J51,H51&gt;=J51,I51&gt;=J51),"Pass","Fail"))</f>
        <v/>
      </c>
      <c r="L51" s="12" t="n"/>
      <c r="M51" s="12" t="n"/>
      <c r="N51" s="12" t="n"/>
    </row>
    <row r="52">
      <c r="A52" s="14" t="n"/>
      <c r="B52" s="12" t="n"/>
      <c r="C52" s="12" t="n"/>
      <c r="D52" s="12" t="n"/>
      <c r="E52" s="12" t="n"/>
      <c r="F52" s="12" t="n"/>
      <c r="G52" s="15" t="n"/>
      <c r="H52" s="15" t="n"/>
      <c r="I52" s="15" t="n"/>
      <c r="J52" s="15">
        <f>IFERROR(VLOOKUP(C52,LotTable,10,FALSE),"")</f>
        <v/>
      </c>
      <c r="K52" s="12">
        <f>IF(OR(G52="",H52="",I52="",J52=""),"",IF(AND(G52&gt;=J52,H52&gt;=J52,I52&gt;=J52),"Pass","Fail"))</f>
        <v/>
      </c>
      <c r="L52" s="12" t="n"/>
      <c r="M52" s="12" t="n"/>
      <c r="N52" s="12" t="n"/>
    </row>
    <row r="53">
      <c r="A53" s="14" t="n"/>
      <c r="B53" s="12" t="n"/>
      <c r="C53" s="12" t="n"/>
      <c r="D53" s="12" t="n"/>
      <c r="E53" s="12" t="n"/>
      <c r="F53" s="12" t="n"/>
      <c r="G53" s="15" t="n"/>
      <c r="H53" s="15" t="n"/>
      <c r="I53" s="15" t="n"/>
      <c r="J53" s="15">
        <f>IFERROR(VLOOKUP(C53,LotTable,10,FALSE),"")</f>
        <v/>
      </c>
      <c r="K53" s="12">
        <f>IF(OR(G53="",H53="",I53="",J53=""),"",IF(AND(G53&gt;=J53,H53&gt;=J53,I53&gt;=J53),"Pass","Fail"))</f>
        <v/>
      </c>
      <c r="L53" s="12" t="n"/>
      <c r="M53" s="12" t="n"/>
      <c r="N53" s="12" t="n"/>
    </row>
    <row r="54">
      <c r="A54" s="14" t="n"/>
      <c r="B54" s="12" t="n"/>
      <c r="C54" s="12" t="n"/>
      <c r="D54" s="12" t="n"/>
      <c r="E54" s="12" t="n"/>
      <c r="F54" s="12" t="n"/>
      <c r="G54" s="15" t="n"/>
      <c r="H54" s="15" t="n"/>
      <c r="I54" s="15" t="n"/>
      <c r="J54" s="15">
        <f>IFERROR(VLOOKUP(C54,LotTable,10,FALSE),"")</f>
        <v/>
      </c>
      <c r="K54" s="12">
        <f>IF(OR(G54="",H54="",I54="",J54=""),"",IF(AND(G54&gt;=J54,H54&gt;=J54,I54&gt;=J54),"Pass","Fail"))</f>
        <v/>
      </c>
      <c r="L54" s="12" t="n"/>
      <c r="M54" s="12" t="n"/>
      <c r="N54" s="12" t="n"/>
    </row>
    <row r="55">
      <c r="A55" s="14" t="n"/>
      <c r="B55" s="12" t="n"/>
      <c r="C55" s="12" t="n"/>
      <c r="D55" s="12" t="n"/>
      <c r="E55" s="12" t="n"/>
      <c r="F55" s="12" t="n"/>
      <c r="G55" s="15" t="n"/>
      <c r="H55" s="15" t="n"/>
      <c r="I55" s="15" t="n"/>
      <c r="J55" s="15">
        <f>IFERROR(VLOOKUP(C55,LotTable,10,FALSE),"")</f>
        <v/>
      </c>
      <c r="K55" s="12">
        <f>IF(OR(G55="",H55="",I55="",J55=""),"",IF(AND(G55&gt;=J55,H55&gt;=J55,I55&gt;=J55),"Pass","Fail"))</f>
        <v/>
      </c>
      <c r="L55" s="12" t="n"/>
      <c r="M55" s="12" t="n"/>
      <c r="N55" s="12" t="n"/>
    </row>
    <row r="56">
      <c r="A56" s="14" t="n"/>
      <c r="B56" s="12" t="n"/>
      <c r="C56" s="12" t="n"/>
      <c r="D56" s="12" t="n"/>
      <c r="E56" s="12" t="n"/>
      <c r="F56" s="12" t="n"/>
      <c r="G56" s="15" t="n"/>
      <c r="H56" s="15" t="n"/>
      <c r="I56" s="15" t="n"/>
      <c r="J56" s="15">
        <f>IFERROR(VLOOKUP(C56,LotTable,10,FALSE),"")</f>
        <v/>
      </c>
      <c r="K56" s="12">
        <f>IF(OR(G56="",H56="",I56="",J56=""),"",IF(AND(G56&gt;=J56,H56&gt;=J56,I56&gt;=J56),"Pass","Fail"))</f>
        <v/>
      </c>
      <c r="L56" s="12" t="n"/>
      <c r="M56" s="12" t="n"/>
      <c r="N56" s="12" t="n"/>
    </row>
    <row r="57">
      <c r="A57" s="14" t="n"/>
      <c r="B57" s="12" t="n"/>
      <c r="C57" s="12" t="n"/>
      <c r="D57" s="12" t="n"/>
      <c r="E57" s="12" t="n"/>
      <c r="F57" s="12" t="n"/>
      <c r="G57" s="15" t="n"/>
      <c r="H57" s="15" t="n"/>
      <c r="I57" s="15" t="n"/>
      <c r="J57" s="15">
        <f>IFERROR(VLOOKUP(C57,LotTable,10,FALSE),"")</f>
        <v/>
      </c>
      <c r="K57" s="12">
        <f>IF(OR(G57="",H57="",I57="",J57=""),"",IF(AND(G57&gt;=J57,H57&gt;=J57,I57&gt;=J57),"Pass","Fail"))</f>
        <v/>
      </c>
      <c r="L57" s="12" t="n"/>
      <c r="M57" s="12" t="n"/>
      <c r="N57" s="12" t="n"/>
    </row>
    <row r="58">
      <c r="A58" s="14" t="n"/>
      <c r="B58" s="12" t="n"/>
      <c r="C58" s="12" t="n"/>
      <c r="D58" s="12" t="n"/>
      <c r="E58" s="12" t="n"/>
      <c r="F58" s="12" t="n"/>
      <c r="G58" s="15" t="n"/>
      <c r="H58" s="15" t="n"/>
      <c r="I58" s="15" t="n"/>
      <c r="J58" s="15">
        <f>IFERROR(VLOOKUP(C58,LotTable,10,FALSE),"")</f>
        <v/>
      </c>
      <c r="K58" s="12">
        <f>IF(OR(G58="",H58="",I58="",J58=""),"",IF(AND(G58&gt;=J58,H58&gt;=J58,I58&gt;=J58),"Pass","Fail"))</f>
        <v/>
      </c>
      <c r="L58" s="12" t="n"/>
      <c r="M58" s="12" t="n"/>
      <c r="N58" s="12" t="n"/>
    </row>
    <row r="59">
      <c r="A59" s="14" t="n"/>
      <c r="B59" s="12" t="n"/>
      <c r="C59" s="12" t="n"/>
      <c r="D59" s="12" t="n"/>
      <c r="E59" s="12" t="n"/>
      <c r="F59" s="12" t="n"/>
      <c r="G59" s="15" t="n"/>
      <c r="H59" s="15" t="n"/>
      <c r="I59" s="15" t="n"/>
      <c r="J59" s="15">
        <f>IFERROR(VLOOKUP(C59,LotTable,10,FALSE),"")</f>
        <v/>
      </c>
      <c r="K59" s="12">
        <f>IF(OR(G59="",H59="",I59="",J59=""),"",IF(AND(G59&gt;=J59,H59&gt;=J59,I59&gt;=J59),"Pass","Fail"))</f>
        <v/>
      </c>
      <c r="L59" s="12" t="n"/>
      <c r="M59" s="12" t="n"/>
      <c r="N59" s="12" t="n"/>
    </row>
    <row r="60">
      <c r="A60" s="14" t="n"/>
      <c r="B60" s="12" t="n"/>
      <c r="C60" s="12" t="n"/>
      <c r="D60" s="12" t="n"/>
      <c r="E60" s="12" t="n"/>
      <c r="F60" s="12" t="n"/>
      <c r="G60" s="15" t="n"/>
      <c r="H60" s="15" t="n"/>
      <c r="I60" s="15" t="n"/>
      <c r="J60" s="15">
        <f>IFERROR(VLOOKUP(C60,LotTable,10,FALSE),"")</f>
        <v/>
      </c>
      <c r="K60" s="12">
        <f>IF(OR(G60="",H60="",I60="",J60=""),"",IF(AND(G60&gt;=J60,H60&gt;=J60,I60&gt;=J60),"Pass","Fail"))</f>
        <v/>
      </c>
      <c r="L60" s="12" t="n"/>
      <c r="M60" s="12" t="n"/>
      <c r="N60" s="12" t="n"/>
    </row>
    <row r="61">
      <c r="A61" s="14" t="n"/>
      <c r="B61" s="12" t="n"/>
      <c r="C61" s="12" t="n"/>
      <c r="D61" s="12" t="n"/>
      <c r="E61" s="12" t="n"/>
      <c r="F61" s="12" t="n"/>
      <c r="G61" s="15" t="n"/>
      <c r="H61" s="15" t="n"/>
      <c r="I61" s="15" t="n"/>
      <c r="J61" s="15">
        <f>IFERROR(VLOOKUP(C61,LotTable,10,FALSE),"")</f>
        <v/>
      </c>
      <c r="K61" s="12">
        <f>IF(OR(G61="",H61="",I61="",J61=""),"",IF(AND(G61&gt;=J61,H61&gt;=J61,I61&gt;=J61),"Pass","Fail"))</f>
        <v/>
      </c>
      <c r="L61" s="12" t="n"/>
      <c r="M61" s="12" t="n"/>
      <c r="N61" s="12" t="n"/>
    </row>
    <row r="62">
      <c r="A62" s="14" t="n"/>
      <c r="B62" s="12" t="n"/>
      <c r="C62" s="12" t="n"/>
      <c r="D62" s="12" t="n"/>
      <c r="E62" s="12" t="n"/>
      <c r="F62" s="12" t="n"/>
      <c r="G62" s="15" t="n"/>
      <c r="H62" s="15" t="n"/>
      <c r="I62" s="15" t="n"/>
      <c r="J62" s="15">
        <f>IFERROR(VLOOKUP(C62,LotTable,10,FALSE),"")</f>
        <v/>
      </c>
      <c r="K62" s="12">
        <f>IF(OR(G62="",H62="",I62="",J62=""),"",IF(AND(G62&gt;=J62,H62&gt;=J62,I62&gt;=J62),"Pass","Fail"))</f>
        <v/>
      </c>
      <c r="L62" s="12" t="n"/>
      <c r="M62" s="12" t="n"/>
      <c r="N62" s="12" t="n"/>
    </row>
    <row r="63">
      <c r="A63" s="14" t="n"/>
      <c r="B63" s="12" t="n"/>
      <c r="C63" s="12" t="n"/>
      <c r="D63" s="12" t="n"/>
      <c r="E63" s="12" t="n"/>
      <c r="F63" s="12" t="n"/>
      <c r="G63" s="15" t="n"/>
      <c r="H63" s="15" t="n"/>
      <c r="I63" s="15" t="n"/>
      <c r="J63" s="15">
        <f>IFERROR(VLOOKUP(C63,LotTable,10,FALSE),"")</f>
        <v/>
      </c>
      <c r="K63" s="12">
        <f>IF(OR(G63="",H63="",I63="",J63=""),"",IF(AND(G63&gt;=J63,H63&gt;=J63,I63&gt;=J63),"Pass","Fail"))</f>
        <v/>
      </c>
      <c r="L63" s="12" t="n"/>
      <c r="M63" s="12" t="n"/>
      <c r="N63" s="12" t="n"/>
    </row>
    <row r="64">
      <c r="A64" s="14" t="n"/>
      <c r="B64" s="12" t="n"/>
      <c r="C64" s="12" t="n"/>
      <c r="D64" s="12" t="n"/>
      <c r="E64" s="12" t="n"/>
      <c r="F64" s="12" t="n"/>
      <c r="G64" s="15" t="n"/>
      <c r="H64" s="15" t="n"/>
      <c r="I64" s="15" t="n"/>
      <c r="J64" s="15">
        <f>IFERROR(VLOOKUP(C64,LotTable,10,FALSE),"")</f>
        <v/>
      </c>
      <c r="K64" s="12">
        <f>IF(OR(G64="",H64="",I64="",J64=""),"",IF(AND(G64&gt;=J64,H64&gt;=J64,I64&gt;=J64),"Pass","Fail"))</f>
        <v/>
      </c>
      <c r="L64" s="12" t="n"/>
      <c r="M64" s="12" t="n"/>
      <c r="N64" s="12" t="n"/>
    </row>
    <row r="65">
      <c r="A65" s="14" t="n"/>
      <c r="B65" s="12" t="n"/>
      <c r="C65" s="12" t="n"/>
      <c r="D65" s="12" t="n"/>
      <c r="E65" s="12" t="n"/>
      <c r="F65" s="12" t="n"/>
      <c r="G65" s="15" t="n"/>
      <c r="H65" s="15" t="n"/>
      <c r="I65" s="15" t="n"/>
      <c r="J65" s="15">
        <f>IFERROR(VLOOKUP(C65,LotTable,10,FALSE),"")</f>
        <v/>
      </c>
      <c r="K65" s="12">
        <f>IF(OR(G65="",H65="",I65="",J65=""),"",IF(AND(G65&gt;=J65,H65&gt;=J65,I65&gt;=J65),"Pass","Fail"))</f>
        <v/>
      </c>
      <c r="L65" s="12" t="n"/>
      <c r="M65" s="12" t="n"/>
      <c r="N65" s="12" t="n"/>
    </row>
    <row r="66">
      <c r="A66" s="14" t="n"/>
      <c r="B66" s="12" t="n"/>
      <c r="C66" s="12" t="n"/>
      <c r="D66" s="12" t="n"/>
      <c r="E66" s="12" t="n"/>
      <c r="F66" s="12" t="n"/>
      <c r="G66" s="15" t="n"/>
      <c r="H66" s="15" t="n"/>
      <c r="I66" s="15" t="n"/>
      <c r="J66" s="15">
        <f>IFERROR(VLOOKUP(C66,LotTable,10,FALSE),"")</f>
        <v/>
      </c>
      <c r="K66" s="12">
        <f>IF(OR(G66="",H66="",I66="",J66=""),"",IF(AND(G66&gt;=J66,H66&gt;=J66,I66&gt;=J66),"Pass","Fail"))</f>
        <v/>
      </c>
      <c r="L66" s="12" t="n"/>
      <c r="M66" s="12" t="n"/>
      <c r="N66" s="12" t="n"/>
    </row>
    <row r="67">
      <c r="A67" s="14" t="n"/>
      <c r="B67" s="12" t="n"/>
      <c r="C67" s="12" t="n"/>
      <c r="D67" s="12" t="n"/>
      <c r="E67" s="12" t="n"/>
      <c r="F67" s="12" t="n"/>
      <c r="G67" s="15" t="n"/>
      <c r="H67" s="15" t="n"/>
      <c r="I67" s="15" t="n"/>
      <c r="J67" s="15">
        <f>IFERROR(VLOOKUP(C67,LotTable,10,FALSE),"")</f>
        <v/>
      </c>
      <c r="K67" s="12">
        <f>IF(OR(G67="",H67="",I67="",J67=""),"",IF(AND(G67&gt;=J67,H67&gt;=J67,I67&gt;=J67),"Pass","Fail"))</f>
        <v/>
      </c>
      <c r="L67" s="12" t="n"/>
      <c r="M67" s="12" t="n"/>
      <c r="N67" s="12" t="n"/>
    </row>
    <row r="68">
      <c r="A68" s="14" t="n"/>
      <c r="B68" s="12" t="n"/>
      <c r="C68" s="12" t="n"/>
      <c r="D68" s="12" t="n"/>
      <c r="E68" s="12" t="n"/>
      <c r="F68" s="12" t="n"/>
      <c r="G68" s="15" t="n"/>
      <c r="H68" s="15" t="n"/>
      <c r="I68" s="15" t="n"/>
      <c r="J68" s="15">
        <f>IFERROR(VLOOKUP(C68,LotTable,10,FALSE),"")</f>
        <v/>
      </c>
      <c r="K68" s="12">
        <f>IF(OR(G68="",H68="",I68="",J68=""),"",IF(AND(G68&gt;=J68,H68&gt;=J68,I68&gt;=J68),"Pass","Fail"))</f>
        <v/>
      </c>
      <c r="L68" s="12" t="n"/>
      <c r="M68" s="12" t="n"/>
      <c r="N68" s="12" t="n"/>
    </row>
    <row r="69">
      <c r="A69" s="14" t="n"/>
      <c r="B69" s="12" t="n"/>
      <c r="C69" s="12" t="n"/>
      <c r="D69" s="12" t="n"/>
      <c r="E69" s="12" t="n"/>
      <c r="F69" s="12" t="n"/>
      <c r="G69" s="15" t="n"/>
      <c r="H69" s="15" t="n"/>
      <c r="I69" s="15" t="n"/>
      <c r="J69" s="15">
        <f>IFERROR(VLOOKUP(C69,LotTable,10,FALSE),"")</f>
        <v/>
      </c>
      <c r="K69" s="12">
        <f>IF(OR(G69="",H69="",I69="",J69=""),"",IF(AND(G69&gt;=J69,H69&gt;=J69,I69&gt;=J69),"Pass","Fail"))</f>
        <v/>
      </c>
      <c r="L69" s="12" t="n"/>
      <c r="M69" s="12" t="n"/>
      <c r="N69" s="12" t="n"/>
    </row>
    <row r="70">
      <c r="A70" s="14" t="n"/>
      <c r="B70" s="12" t="n"/>
      <c r="C70" s="12" t="n"/>
      <c r="D70" s="12" t="n"/>
      <c r="E70" s="12" t="n"/>
      <c r="F70" s="12" t="n"/>
      <c r="G70" s="15" t="n"/>
      <c r="H70" s="15" t="n"/>
      <c r="I70" s="15" t="n"/>
      <c r="J70" s="15">
        <f>IFERROR(VLOOKUP(C70,LotTable,10,FALSE),"")</f>
        <v/>
      </c>
      <c r="K70" s="12">
        <f>IF(OR(G70="",H70="",I70="",J70=""),"",IF(AND(G70&gt;=J70,H70&gt;=J70,I70&gt;=J70),"Pass","Fail"))</f>
        <v/>
      </c>
      <c r="L70" s="12" t="n"/>
      <c r="M70" s="12" t="n"/>
      <c r="N70" s="12" t="n"/>
    </row>
    <row r="71">
      <c r="A71" s="14" t="n"/>
      <c r="B71" s="12" t="n"/>
      <c r="C71" s="12" t="n"/>
      <c r="D71" s="12" t="n"/>
      <c r="E71" s="12" t="n"/>
      <c r="F71" s="12" t="n"/>
      <c r="G71" s="15" t="n"/>
      <c r="H71" s="15" t="n"/>
      <c r="I71" s="15" t="n"/>
      <c r="J71" s="15">
        <f>IFERROR(VLOOKUP(C71,LotTable,10,FALSE),"")</f>
        <v/>
      </c>
      <c r="K71" s="12">
        <f>IF(OR(G71="",H71="",I71="",J71=""),"",IF(AND(G71&gt;=J71,H71&gt;=J71,I71&gt;=J71),"Pass","Fail"))</f>
        <v/>
      </c>
      <c r="L71" s="12" t="n"/>
      <c r="M71" s="12" t="n"/>
      <c r="N71" s="12" t="n"/>
    </row>
    <row r="72">
      <c r="A72" s="14" t="n"/>
      <c r="B72" s="12" t="n"/>
      <c r="C72" s="12" t="n"/>
      <c r="D72" s="12" t="n"/>
      <c r="E72" s="12" t="n"/>
      <c r="F72" s="12" t="n"/>
      <c r="G72" s="15" t="n"/>
      <c r="H72" s="15" t="n"/>
      <c r="I72" s="15" t="n"/>
      <c r="J72" s="15">
        <f>IFERROR(VLOOKUP(C72,LotTable,10,FALSE),"")</f>
        <v/>
      </c>
      <c r="K72" s="12">
        <f>IF(OR(G72="",H72="",I72="",J72=""),"",IF(AND(G72&gt;=J72,H72&gt;=J72,I72&gt;=J72),"Pass","Fail"))</f>
        <v/>
      </c>
      <c r="L72" s="12" t="n"/>
      <c r="M72" s="12" t="n"/>
      <c r="N72" s="12" t="n"/>
    </row>
    <row r="73">
      <c r="A73" s="14" t="n"/>
      <c r="B73" s="12" t="n"/>
      <c r="C73" s="12" t="n"/>
      <c r="D73" s="12" t="n"/>
      <c r="E73" s="12" t="n"/>
      <c r="F73" s="12" t="n"/>
      <c r="G73" s="15" t="n"/>
      <c r="H73" s="15" t="n"/>
      <c r="I73" s="15" t="n"/>
      <c r="J73" s="15">
        <f>IFERROR(VLOOKUP(C73,LotTable,10,FALSE),"")</f>
        <v/>
      </c>
      <c r="K73" s="12">
        <f>IF(OR(G73="",H73="",I73="",J73=""),"",IF(AND(G73&gt;=J73,H73&gt;=J73,I73&gt;=J73),"Pass","Fail"))</f>
        <v/>
      </c>
      <c r="L73" s="12" t="n"/>
      <c r="M73" s="12" t="n"/>
      <c r="N73" s="12" t="n"/>
    </row>
    <row r="74">
      <c r="A74" s="14" t="n"/>
      <c r="B74" s="12" t="n"/>
      <c r="C74" s="12" t="n"/>
      <c r="D74" s="12" t="n"/>
      <c r="E74" s="12" t="n"/>
      <c r="F74" s="12" t="n"/>
      <c r="G74" s="15" t="n"/>
      <c r="H74" s="15" t="n"/>
      <c r="I74" s="15" t="n"/>
      <c r="J74" s="15">
        <f>IFERROR(VLOOKUP(C74,LotTable,10,FALSE),"")</f>
        <v/>
      </c>
      <c r="K74" s="12">
        <f>IF(OR(G74="",H74="",I74="",J74=""),"",IF(AND(G74&gt;=J74,H74&gt;=J74,I74&gt;=J74),"Pass","Fail"))</f>
        <v/>
      </c>
      <c r="L74" s="12" t="n"/>
      <c r="M74" s="12" t="n"/>
      <c r="N74" s="12" t="n"/>
    </row>
    <row r="75">
      <c r="A75" s="14" t="n"/>
      <c r="B75" s="12" t="n"/>
      <c r="C75" s="12" t="n"/>
      <c r="D75" s="12" t="n"/>
      <c r="E75" s="12" t="n"/>
      <c r="F75" s="12" t="n"/>
      <c r="G75" s="15" t="n"/>
      <c r="H75" s="15" t="n"/>
      <c r="I75" s="15" t="n"/>
      <c r="J75" s="15">
        <f>IFERROR(VLOOKUP(C75,LotTable,10,FALSE),"")</f>
        <v/>
      </c>
      <c r="K75" s="12">
        <f>IF(OR(G75="",H75="",I75="",J75=""),"",IF(AND(G75&gt;=J75,H75&gt;=J75,I75&gt;=J75),"Pass","Fail"))</f>
        <v/>
      </c>
      <c r="L75" s="12" t="n"/>
      <c r="M75" s="12" t="n"/>
      <c r="N75" s="12" t="n"/>
    </row>
    <row r="76">
      <c r="A76" s="14" t="n"/>
      <c r="B76" s="12" t="n"/>
      <c r="C76" s="12" t="n"/>
      <c r="D76" s="12" t="n"/>
      <c r="E76" s="12" t="n"/>
      <c r="F76" s="12" t="n"/>
      <c r="G76" s="15" t="n"/>
      <c r="H76" s="15" t="n"/>
      <c r="I76" s="15" t="n"/>
      <c r="J76" s="15">
        <f>IFERROR(VLOOKUP(C76,LotTable,10,FALSE),"")</f>
        <v/>
      </c>
      <c r="K76" s="12">
        <f>IF(OR(G76="",H76="",I76="",J76=""),"",IF(AND(G76&gt;=J76,H76&gt;=J76,I76&gt;=J76),"Pass","Fail"))</f>
        <v/>
      </c>
      <c r="L76" s="12" t="n"/>
      <c r="M76" s="12" t="n"/>
      <c r="N76" s="12" t="n"/>
    </row>
    <row r="77">
      <c r="A77" s="14" t="n"/>
      <c r="B77" s="12" t="n"/>
      <c r="C77" s="12" t="n"/>
      <c r="D77" s="12" t="n"/>
      <c r="E77" s="12" t="n"/>
      <c r="F77" s="12" t="n"/>
      <c r="G77" s="15" t="n"/>
      <c r="H77" s="15" t="n"/>
      <c r="I77" s="15" t="n"/>
      <c r="J77" s="15">
        <f>IFERROR(VLOOKUP(C77,LotTable,10,FALSE),"")</f>
        <v/>
      </c>
      <c r="K77" s="12">
        <f>IF(OR(G77="",H77="",I77="",J77=""),"",IF(AND(G77&gt;=J77,H77&gt;=J77,I77&gt;=J77),"Pass","Fail"))</f>
        <v/>
      </c>
      <c r="L77" s="12" t="n"/>
      <c r="M77" s="12" t="n"/>
      <c r="N77" s="12" t="n"/>
    </row>
    <row r="78">
      <c r="A78" s="14" t="n"/>
      <c r="B78" s="12" t="n"/>
      <c r="C78" s="12" t="n"/>
      <c r="D78" s="12" t="n"/>
      <c r="E78" s="12" t="n"/>
      <c r="F78" s="12" t="n"/>
      <c r="G78" s="15" t="n"/>
      <c r="H78" s="15" t="n"/>
      <c r="I78" s="15" t="n"/>
      <c r="J78" s="15">
        <f>IFERROR(VLOOKUP(C78,LotTable,10,FALSE),"")</f>
        <v/>
      </c>
      <c r="K78" s="12">
        <f>IF(OR(G78="",H78="",I78="",J78=""),"",IF(AND(G78&gt;=J78,H78&gt;=J78,I78&gt;=J78),"Pass","Fail"))</f>
        <v/>
      </c>
      <c r="L78" s="12" t="n"/>
      <c r="M78" s="12" t="n"/>
      <c r="N78" s="12" t="n"/>
    </row>
    <row r="79">
      <c r="A79" s="14" t="n"/>
      <c r="B79" s="12" t="n"/>
      <c r="C79" s="12" t="n"/>
      <c r="D79" s="12" t="n"/>
      <c r="E79" s="12" t="n"/>
      <c r="F79" s="12" t="n"/>
      <c r="G79" s="15" t="n"/>
      <c r="H79" s="15" t="n"/>
      <c r="I79" s="15" t="n"/>
      <c r="J79" s="15">
        <f>IFERROR(VLOOKUP(C79,LotTable,10,FALSE),"")</f>
        <v/>
      </c>
      <c r="K79" s="12">
        <f>IF(OR(G79="",H79="",I79="",J79=""),"",IF(AND(G79&gt;=J79,H79&gt;=J79,I79&gt;=J79),"Pass","Fail"))</f>
        <v/>
      </c>
      <c r="L79" s="12" t="n"/>
      <c r="M79" s="12" t="n"/>
      <c r="N79" s="12" t="n"/>
    </row>
    <row r="80">
      <c r="A80" s="14" t="n"/>
      <c r="B80" s="12" t="n"/>
      <c r="C80" s="12" t="n"/>
      <c r="D80" s="12" t="n"/>
      <c r="E80" s="12" t="n"/>
      <c r="F80" s="12" t="n"/>
      <c r="G80" s="15" t="n"/>
      <c r="H80" s="15" t="n"/>
      <c r="I80" s="15" t="n"/>
      <c r="J80" s="15">
        <f>IFERROR(VLOOKUP(C80,LotTable,10,FALSE),"")</f>
        <v/>
      </c>
      <c r="K80" s="12">
        <f>IF(OR(G80="",H80="",I80="",J80=""),"",IF(AND(G80&gt;=J80,H80&gt;=J80,I80&gt;=J80),"Pass","Fail"))</f>
        <v/>
      </c>
      <c r="L80" s="12" t="n"/>
      <c r="M80" s="12" t="n"/>
      <c r="N80" s="12" t="n"/>
    </row>
    <row r="81">
      <c r="A81" s="14" t="n"/>
      <c r="B81" s="12" t="n"/>
      <c r="C81" s="12" t="n"/>
      <c r="D81" s="12" t="n"/>
      <c r="E81" s="12" t="n"/>
      <c r="F81" s="12" t="n"/>
      <c r="G81" s="15" t="n"/>
      <c r="H81" s="15" t="n"/>
      <c r="I81" s="15" t="n"/>
      <c r="J81" s="15">
        <f>IFERROR(VLOOKUP(C81,LotTable,10,FALSE),"")</f>
        <v/>
      </c>
      <c r="K81" s="12">
        <f>IF(OR(G81="",H81="",I81="",J81=""),"",IF(AND(G81&gt;=J81,H81&gt;=J81,I81&gt;=J81),"Pass","Fail"))</f>
        <v/>
      </c>
      <c r="L81" s="12" t="n"/>
      <c r="M81" s="12" t="n"/>
      <c r="N81" s="12" t="n"/>
    </row>
    <row r="82">
      <c r="A82" s="14" t="n"/>
      <c r="B82" s="12" t="n"/>
      <c r="C82" s="12" t="n"/>
      <c r="D82" s="12" t="n"/>
      <c r="E82" s="12" t="n"/>
      <c r="F82" s="12" t="n"/>
      <c r="G82" s="15" t="n"/>
      <c r="H82" s="15" t="n"/>
      <c r="I82" s="15" t="n"/>
      <c r="J82" s="15">
        <f>IFERROR(VLOOKUP(C82,LotTable,10,FALSE),"")</f>
        <v/>
      </c>
      <c r="K82" s="12">
        <f>IF(OR(G82="",H82="",I82="",J82=""),"",IF(AND(G82&gt;=J82,H82&gt;=J82,I82&gt;=J82),"Pass","Fail"))</f>
        <v/>
      </c>
      <c r="L82" s="12" t="n"/>
      <c r="M82" s="12" t="n"/>
      <c r="N82" s="12" t="n"/>
    </row>
    <row r="83">
      <c r="A83" s="14" t="n"/>
      <c r="B83" s="12" t="n"/>
      <c r="C83" s="12" t="n"/>
      <c r="D83" s="12" t="n"/>
      <c r="E83" s="12" t="n"/>
      <c r="F83" s="12" t="n"/>
      <c r="G83" s="15" t="n"/>
      <c r="H83" s="15" t="n"/>
      <c r="I83" s="15" t="n"/>
      <c r="J83" s="15">
        <f>IFERROR(VLOOKUP(C83,LotTable,10,FALSE),"")</f>
        <v/>
      </c>
      <c r="K83" s="12">
        <f>IF(OR(G83="",H83="",I83="",J83=""),"",IF(AND(G83&gt;=J83,H83&gt;=J83,I83&gt;=J83),"Pass","Fail"))</f>
        <v/>
      </c>
      <c r="L83" s="12" t="n"/>
      <c r="M83" s="12" t="n"/>
      <c r="N83" s="12" t="n"/>
    </row>
    <row r="84">
      <c r="A84" s="14" t="n"/>
      <c r="B84" s="12" t="n"/>
      <c r="C84" s="12" t="n"/>
      <c r="D84" s="12" t="n"/>
      <c r="E84" s="12" t="n"/>
      <c r="F84" s="12" t="n"/>
      <c r="G84" s="15" t="n"/>
      <c r="H84" s="15" t="n"/>
      <c r="I84" s="15" t="n"/>
      <c r="J84" s="15">
        <f>IFERROR(VLOOKUP(C84,LotTable,10,FALSE),"")</f>
        <v/>
      </c>
      <c r="K84" s="12">
        <f>IF(OR(G84="",H84="",I84="",J84=""),"",IF(AND(G84&gt;=J84,H84&gt;=J84,I84&gt;=J84),"Pass","Fail"))</f>
        <v/>
      </c>
      <c r="L84" s="12" t="n"/>
      <c r="M84" s="12" t="n"/>
      <c r="N84" s="12" t="n"/>
    </row>
    <row r="85">
      <c r="A85" s="14" t="n"/>
      <c r="B85" s="12" t="n"/>
      <c r="C85" s="12" t="n"/>
      <c r="D85" s="12" t="n"/>
      <c r="E85" s="12" t="n"/>
      <c r="F85" s="12" t="n"/>
      <c r="G85" s="15" t="n"/>
      <c r="H85" s="15" t="n"/>
      <c r="I85" s="15" t="n"/>
      <c r="J85" s="15">
        <f>IFERROR(VLOOKUP(C85,LotTable,10,FALSE),"")</f>
        <v/>
      </c>
      <c r="K85" s="12">
        <f>IF(OR(G85="",H85="",I85="",J85=""),"",IF(AND(G85&gt;=J85,H85&gt;=J85,I85&gt;=J85),"Pass","Fail"))</f>
        <v/>
      </c>
      <c r="L85" s="12" t="n"/>
      <c r="M85" s="12" t="n"/>
      <c r="N85" s="12" t="n"/>
    </row>
    <row r="86">
      <c r="A86" s="14" t="n"/>
      <c r="B86" s="12" t="n"/>
      <c r="C86" s="12" t="n"/>
      <c r="D86" s="12" t="n"/>
      <c r="E86" s="12" t="n"/>
      <c r="F86" s="12" t="n"/>
      <c r="G86" s="15" t="n"/>
      <c r="H86" s="15" t="n"/>
      <c r="I86" s="15" t="n"/>
      <c r="J86" s="15">
        <f>IFERROR(VLOOKUP(C86,LotTable,10,FALSE),"")</f>
        <v/>
      </c>
      <c r="K86" s="12">
        <f>IF(OR(G86="",H86="",I86="",J86=""),"",IF(AND(G86&gt;=J86,H86&gt;=J86,I86&gt;=J86),"Pass","Fail"))</f>
        <v/>
      </c>
      <c r="L86" s="12" t="n"/>
      <c r="M86" s="12" t="n"/>
      <c r="N86" s="12" t="n"/>
    </row>
    <row r="87">
      <c r="A87" s="14" t="n"/>
      <c r="B87" s="12" t="n"/>
      <c r="C87" s="12" t="n"/>
      <c r="D87" s="12" t="n"/>
      <c r="E87" s="12" t="n"/>
      <c r="F87" s="12" t="n"/>
      <c r="G87" s="15" t="n"/>
      <c r="H87" s="15" t="n"/>
      <c r="I87" s="15" t="n"/>
      <c r="J87" s="15">
        <f>IFERROR(VLOOKUP(C87,LotTable,10,FALSE),"")</f>
        <v/>
      </c>
      <c r="K87" s="12">
        <f>IF(OR(G87="",H87="",I87="",J87=""),"",IF(AND(G87&gt;=J87,H87&gt;=J87,I87&gt;=J87),"Pass","Fail"))</f>
        <v/>
      </c>
      <c r="L87" s="12" t="n"/>
      <c r="M87" s="12" t="n"/>
      <c r="N87" s="12" t="n"/>
    </row>
    <row r="88">
      <c r="A88" s="14" t="n"/>
      <c r="B88" s="12" t="n"/>
      <c r="C88" s="12" t="n"/>
      <c r="D88" s="12" t="n"/>
      <c r="E88" s="12" t="n"/>
      <c r="F88" s="12" t="n"/>
      <c r="G88" s="15" t="n"/>
      <c r="H88" s="15" t="n"/>
      <c r="I88" s="15" t="n"/>
      <c r="J88" s="15">
        <f>IFERROR(VLOOKUP(C88,LotTable,10,FALSE),"")</f>
        <v/>
      </c>
      <c r="K88" s="12">
        <f>IF(OR(G88="",H88="",I88="",J88=""),"",IF(AND(G88&gt;=J88,H88&gt;=J88,I88&gt;=J88),"Pass","Fail"))</f>
        <v/>
      </c>
      <c r="L88" s="12" t="n"/>
      <c r="M88" s="12" t="n"/>
      <c r="N88" s="12" t="n"/>
    </row>
    <row r="89">
      <c r="A89" s="14" t="n"/>
      <c r="B89" s="12" t="n"/>
      <c r="C89" s="12" t="n"/>
      <c r="D89" s="12" t="n"/>
      <c r="E89" s="12" t="n"/>
      <c r="F89" s="12" t="n"/>
      <c r="G89" s="15" t="n"/>
      <c r="H89" s="15" t="n"/>
      <c r="I89" s="15" t="n"/>
      <c r="J89" s="15">
        <f>IFERROR(VLOOKUP(C89,LotTable,10,FALSE),"")</f>
        <v/>
      </c>
      <c r="K89" s="12">
        <f>IF(OR(G89="",H89="",I89="",J89=""),"",IF(AND(G89&gt;=J89,H89&gt;=J89,I89&gt;=J89),"Pass","Fail"))</f>
        <v/>
      </c>
      <c r="L89" s="12" t="n"/>
      <c r="M89" s="12" t="n"/>
      <c r="N89" s="12" t="n"/>
    </row>
    <row r="90">
      <c r="A90" s="14" t="n"/>
      <c r="B90" s="12" t="n"/>
      <c r="C90" s="12" t="n"/>
      <c r="D90" s="12" t="n"/>
      <c r="E90" s="12" t="n"/>
      <c r="F90" s="12" t="n"/>
      <c r="G90" s="15" t="n"/>
      <c r="H90" s="15" t="n"/>
      <c r="I90" s="15" t="n"/>
      <c r="J90" s="15">
        <f>IFERROR(VLOOKUP(C90,LotTable,10,FALSE),"")</f>
        <v/>
      </c>
      <c r="K90" s="12">
        <f>IF(OR(G90="",H90="",I90="",J90=""),"",IF(AND(G90&gt;=J90,H90&gt;=J90,I90&gt;=J90),"Pass","Fail"))</f>
        <v/>
      </c>
      <c r="L90" s="12" t="n"/>
      <c r="M90" s="12" t="n"/>
      <c r="N90" s="12" t="n"/>
    </row>
    <row r="91">
      <c r="A91" s="14" t="n"/>
      <c r="B91" s="12" t="n"/>
      <c r="C91" s="12" t="n"/>
      <c r="D91" s="12" t="n"/>
      <c r="E91" s="12" t="n"/>
      <c r="F91" s="12" t="n"/>
      <c r="G91" s="15" t="n"/>
      <c r="H91" s="15" t="n"/>
      <c r="I91" s="15" t="n"/>
      <c r="J91" s="15">
        <f>IFERROR(VLOOKUP(C91,LotTable,10,FALSE),"")</f>
        <v/>
      </c>
      <c r="K91" s="12">
        <f>IF(OR(G91="",H91="",I91="",J91=""),"",IF(AND(G91&gt;=J91,H91&gt;=J91,I91&gt;=J91),"Pass","Fail"))</f>
        <v/>
      </c>
      <c r="L91" s="12" t="n"/>
      <c r="M91" s="12" t="n"/>
      <c r="N91" s="12" t="n"/>
    </row>
    <row r="92">
      <c r="A92" s="14" t="n"/>
      <c r="B92" s="12" t="n"/>
      <c r="C92" s="12" t="n"/>
      <c r="D92" s="12" t="n"/>
      <c r="E92" s="12" t="n"/>
      <c r="F92" s="12" t="n"/>
      <c r="G92" s="15" t="n"/>
      <c r="H92" s="15" t="n"/>
      <c r="I92" s="15" t="n"/>
      <c r="J92" s="15">
        <f>IFERROR(VLOOKUP(C92,LotTable,10,FALSE),"")</f>
        <v/>
      </c>
      <c r="K92" s="12">
        <f>IF(OR(G92="",H92="",I92="",J92=""),"",IF(AND(G92&gt;=J92,H92&gt;=J92,I92&gt;=J92),"Pass","Fail"))</f>
        <v/>
      </c>
      <c r="L92" s="12" t="n"/>
      <c r="M92" s="12" t="n"/>
      <c r="N92" s="12" t="n"/>
    </row>
    <row r="93">
      <c r="A93" s="14" t="n"/>
      <c r="B93" s="12" t="n"/>
      <c r="C93" s="12" t="n"/>
      <c r="D93" s="12" t="n"/>
      <c r="E93" s="12" t="n"/>
      <c r="F93" s="12" t="n"/>
      <c r="G93" s="15" t="n"/>
      <c r="H93" s="15" t="n"/>
      <c r="I93" s="15" t="n"/>
      <c r="J93" s="15">
        <f>IFERROR(VLOOKUP(C93,LotTable,10,FALSE),"")</f>
        <v/>
      </c>
      <c r="K93" s="12">
        <f>IF(OR(G93="",H93="",I93="",J93=""),"",IF(AND(G93&gt;=J93,H93&gt;=J93,I93&gt;=J93),"Pass","Fail"))</f>
        <v/>
      </c>
      <c r="L93" s="12" t="n"/>
      <c r="M93" s="12" t="n"/>
      <c r="N93" s="12" t="n"/>
    </row>
    <row r="94">
      <c r="A94" s="14" t="n"/>
      <c r="B94" s="12" t="n"/>
      <c r="C94" s="12" t="n"/>
      <c r="D94" s="12" t="n"/>
      <c r="E94" s="12" t="n"/>
      <c r="F94" s="12" t="n"/>
      <c r="G94" s="15" t="n"/>
      <c r="H94" s="15" t="n"/>
      <c r="I94" s="15" t="n"/>
      <c r="J94" s="15">
        <f>IFERROR(VLOOKUP(C94,LotTable,10,FALSE),"")</f>
        <v/>
      </c>
      <c r="K94" s="12">
        <f>IF(OR(G94="",H94="",I94="",J94=""),"",IF(AND(G94&gt;=J94,H94&gt;=J94,I94&gt;=J94),"Pass","Fail"))</f>
        <v/>
      </c>
      <c r="L94" s="12" t="n"/>
      <c r="M94" s="12" t="n"/>
      <c r="N94" s="12" t="n"/>
    </row>
    <row r="95">
      <c r="A95" s="14" t="n"/>
      <c r="B95" s="12" t="n"/>
      <c r="C95" s="12" t="n"/>
      <c r="D95" s="12" t="n"/>
      <c r="E95" s="12" t="n"/>
      <c r="F95" s="12" t="n"/>
      <c r="G95" s="15" t="n"/>
      <c r="H95" s="15" t="n"/>
      <c r="I95" s="15" t="n"/>
      <c r="J95" s="15">
        <f>IFERROR(VLOOKUP(C95,LotTable,10,FALSE),"")</f>
        <v/>
      </c>
      <c r="K95" s="12">
        <f>IF(OR(G95="",H95="",I95="",J95=""),"",IF(AND(G95&gt;=J95,H95&gt;=J95,I95&gt;=J95),"Pass","Fail"))</f>
        <v/>
      </c>
      <c r="L95" s="12" t="n"/>
      <c r="M95" s="12" t="n"/>
      <c r="N95" s="12" t="n"/>
    </row>
    <row r="96">
      <c r="A96" s="14" t="n"/>
      <c r="B96" s="12" t="n"/>
      <c r="C96" s="12" t="n"/>
      <c r="D96" s="12" t="n"/>
      <c r="E96" s="12" t="n"/>
      <c r="F96" s="12" t="n"/>
      <c r="G96" s="15" t="n"/>
      <c r="H96" s="15" t="n"/>
      <c r="I96" s="15" t="n"/>
      <c r="J96" s="15">
        <f>IFERROR(VLOOKUP(C96,LotTable,10,FALSE),"")</f>
        <v/>
      </c>
      <c r="K96" s="12">
        <f>IF(OR(G96="",H96="",I96="",J96=""),"",IF(AND(G96&gt;=J96,H96&gt;=J96,I96&gt;=J96),"Pass","Fail"))</f>
        <v/>
      </c>
      <c r="L96" s="12" t="n"/>
      <c r="M96" s="12" t="n"/>
      <c r="N96" s="12" t="n"/>
    </row>
    <row r="97">
      <c r="A97" s="14" t="n"/>
      <c r="B97" s="12" t="n"/>
      <c r="C97" s="12" t="n"/>
      <c r="D97" s="12" t="n"/>
      <c r="E97" s="12" t="n"/>
      <c r="F97" s="12" t="n"/>
      <c r="G97" s="15" t="n"/>
      <c r="H97" s="15" t="n"/>
      <c r="I97" s="15" t="n"/>
      <c r="J97" s="15">
        <f>IFERROR(VLOOKUP(C97,LotTable,10,FALSE),"")</f>
        <v/>
      </c>
      <c r="K97" s="12">
        <f>IF(OR(G97="",H97="",I97="",J97=""),"",IF(AND(G97&gt;=J97,H97&gt;=J97,I97&gt;=J97),"Pass","Fail"))</f>
        <v/>
      </c>
      <c r="L97" s="12" t="n"/>
      <c r="M97" s="12" t="n"/>
      <c r="N97" s="12" t="n"/>
    </row>
    <row r="98">
      <c r="A98" s="14" t="n"/>
      <c r="B98" s="12" t="n"/>
      <c r="C98" s="12" t="n"/>
      <c r="D98" s="12" t="n"/>
      <c r="E98" s="12" t="n"/>
      <c r="F98" s="12" t="n"/>
      <c r="G98" s="15" t="n"/>
      <c r="H98" s="15" t="n"/>
      <c r="I98" s="15" t="n"/>
      <c r="J98" s="15">
        <f>IFERROR(VLOOKUP(C98,LotTable,10,FALSE),"")</f>
        <v/>
      </c>
      <c r="K98" s="12">
        <f>IF(OR(G98="",H98="",I98="",J98=""),"",IF(AND(G98&gt;=J98,H98&gt;=J98,I98&gt;=J98),"Pass","Fail"))</f>
        <v/>
      </c>
      <c r="L98" s="12" t="n"/>
      <c r="M98" s="12" t="n"/>
      <c r="N98" s="12" t="n"/>
    </row>
    <row r="99">
      <c r="A99" s="14" t="n"/>
      <c r="B99" s="12" t="n"/>
      <c r="C99" s="12" t="n"/>
      <c r="D99" s="12" t="n"/>
      <c r="E99" s="12" t="n"/>
      <c r="F99" s="12" t="n"/>
      <c r="G99" s="15" t="n"/>
      <c r="H99" s="15" t="n"/>
      <c r="I99" s="15" t="n"/>
      <c r="J99" s="15">
        <f>IFERROR(VLOOKUP(C99,LotTable,10,FALSE),"")</f>
        <v/>
      </c>
      <c r="K99" s="12">
        <f>IF(OR(G99="",H99="",I99="",J99=""),"",IF(AND(G99&gt;=J99,H99&gt;=J99,I99&gt;=J99),"Pass","Fail"))</f>
        <v/>
      </c>
      <c r="L99" s="12" t="n"/>
      <c r="M99" s="12" t="n"/>
      <c r="N99" s="12" t="n"/>
    </row>
    <row r="100">
      <c r="A100" s="14" t="n"/>
      <c r="B100" s="12" t="n"/>
      <c r="C100" s="12" t="n"/>
      <c r="D100" s="12" t="n"/>
      <c r="E100" s="12" t="n"/>
      <c r="F100" s="12" t="n"/>
      <c r="G100" s="15" t="n"/>
      <c r="H100" s="15" t="n"/>
      <c r="I100" s="15" t="n"/>
      <c r="J100" s="15">
        <f>IFERROR(VLOOKUP(C100,LotTable,10,FALSE),"")</f>
        <v/>
      </c>
      <c r="K100" s="12">
        <f>IF(OR(G100="",H100="",I100="",J100=""),"",IF(AND(G100&gt;=J100,H100&gt;=J100,I100&gt;=J100),"Pass","Fail"))</f>
        <v/>
      </c>
      <c r="L100" s="12" t="n"/>
      <c r="M100" s="12" t="n"/>
      <c r="N100" s="12" t="n"/>
    </row>
    <row r="101">
      <c r="A101" s="14" t="n"/>
      <c r="B101" s="12" t="n"/>
      <c r="C101" s="12" t="n"/>
      <c r="D101" s="12" t="n"/>
      <c r="E101" s="12" t="n"/>
      <c r="F101" s="12" t="n"/>
      <c r="G101" s="15" t="n"/>
      <c r="H101" s="15" t="n"/>
      <c r="I101" s="15" t="n"/>
      <c r="J101" s="15">
        <f>IFERROR(VLOOKUP(C101,LotTable,10,FALSE),"")</f>
        <v/>
      </c>
      <c r="K101" s="12">
        <f>IF(OR(G101="",H101="",I101="",J101=""),"",IF(AND(G101&gt;=J101,H101&gt;=J101,I101&gt;=J101),"Pass","Fail"))</f>
        <v/>
      </c>
      <c r="L101" s="12" t="n"/>
      <c r="M101" s="12" t="n"/>
      <c r="N101" s="12" t="n"/>
    </row>
    <row r="102">
      <c r="A102" s="14" t="n"/>
      <c r="B102" s="12" t="n"/>
      <c r="C102" s="12" t="n"/>
      <c r="D102" s="12" t="n"/>
      <c r="E102" s="12" t="n"/>
      <c r="F102" s="12" t="n"/>
      <c r="G102" s="15" t="n"/>
      <c r="H102" s="15" t="n"/>
      <c r="I102" s="15" t="n"/>
      <c r="J102" s="15">
        <f>IFERROR(VLOOKUP(C102,LotTable,10,FALSE),"")</f>
        <v/>
      </c>
      <c r="K102" s="12">
        <f>IF(OR(G102="",H102="",I102="",J102=""),"",IF(AND(G102&gt;=J102,H102&gt;=J102,I102&gt;=J102),"Pass","Fail"))</f>
        <v/>
      </c>
      <c r="L102" s="12" t="n"/>
      <c r="M102" s="12" t="n"/>
      <c r="N102" s="12" t="n"/>
    </row>
    <row r="103">
      <c r="A103" s="14" t="n"/>
      <c r="B103" s="12" t="n"/>
      <c r="C103" s="12" t="n"/>
      <c r="D103" s="12" t="n"/>
      <c r="E103" s="12" t="n"/>
      <c r="F103" s="12" t="n"/>
      <c r="G103" s="15" t="n"/>
      <c r="H103" s="15" t="n"/>
      <c r="I103" s="15" t="n"/>
      <c r="J103" s="15">
        <f>IFERROR(VLOOKUP(C103,LotTable,10,FALSE),"")</f>
        <v/>
      </c>
      <c r="K103" s="12">
        <f>IF(OR(G103="",H103="",I103="",J103=""),"",IF(AND(G103&gt;=J103,H103&gt;=J103,I103&gt;=J103),"Pass","Fail"))</f>
        <v/>
      </c>
      <c r="L103" s="12" t="n"/>
      <c r="M103" s="12" t="n"/>
      <c r="N103" s="12" t="n"/>
    </row>
    <row r="104">
      <c r="A104" s="14" t="n"/>
      <c r="B104" s="12" t="n"/>
      <c r="C104" s="12" t="n"/>
      <c r="D104" s="12" t="n"/>
      <c r="E104" s="12" t="n"/>
      <c r="F104" s="12" t="n"/>
      <c r="G104" s="15" t="n"/>
      <c r="H104" s="15" t="n"/>
      <c r="I104" s="15" t="n"/>
      <c r="J104" s="15">
        <f>IFERROR(VLOOKUP(C104,LotTable,10,FALSE),"")</f>
        <v/>
      </c>
      <c r="K104" s="12">
        <f>IF(OR(G104="",H104="",I104="",J104=""),"",IF(AND(G104&gt;=J104,H104&gt;=J104,I104&gt;=J104),"Pass","Fail"))</f>
        <v/>
      </c>
      <c r="L104" s="12" t="n"/>
      <c r="M104" s="12" t="n"/>
      <c r="N104" s="12" t="n"/>
    </row>
  </sheetData>
  <mergeCells count="2">
    <mergeCell ref="A2:N2"/>
    <mergeCell ref="A1:N1"/>
  </mergeCells>
  <conditionalFormatting sqref="K5:K104">
    <cfRule type="expression" priority="1" dxfId="3">
      <formula>K5="Pass"</formula>
    </cfRule>
    <cfRule type="expression" priority="2" dxfId="4">
      <formula>K5="Fail"</formula>
    </cfRule>
  </conditionalFormatting>
  <dataValidations count="1">
    <dataValidation sqref="F5:F104" showDropDown="0" showInputMessage="0" showErrorMessage="0" allowBlank="1" type="list">
      <formula1>"Turn-of-Nut,Calibrated Wrench,Twist-Off (TC),DTI Washer"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0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8" customWidth="1" min="4" max="4"/>
    <col width="18" customWidth="1" min="5" max="5"/>
    <col width="12" customWidth="1" min="6" max="6"/>
    <col width="9" customWidth="1" min="7" max="7"/>
    <col width="18" customWidth="1" min="8" max="8"/>
    <col width="16" customWidth="1" min="9" max="9"/>
    <col width="16" customWidth="1" min="10" max="10"/>
    <col width="13" customWidth="1" min="11" max="11"/>
    <col width="16" customWidth="1" min="12" max="12"/>
    <col width="14" customWidth="1" min="13" max="13"/>
    <col width="16" customWidth="1" min="14" max="14"/>
    <col width="22" customWidth="1" min="15" max="15"/>
  </cols>
  <sheetData>
    <row r="1" ht="32" customHeight="1">
      <c r="A1" s="1" t="inlineStr">
        <is>
          <t>CONNECTION INSTALLATION + INSPECTION LOG</t>
        </is>
      </c>
    </row>
    <row r="2">
      <c r="A2" s="10" t="inlineStr">
        <is>
          <t>One row per connection. Status auto-rolls: Snug → Tightened → Inspected → Accepted / Rejected. Slip-critical column N is only relevant for SC connections — verify faying surface class.</t>
        </is>
      </c>
    </row>
    <row r="4" ht="28" customHeight="1">
      <c r="A4" s="11" t="inlineStr">
        <is>
          <t>Date</t>
        </is>
      </c>
      <c r="B4" s="11" t="inlineStr">
        <is>
          <t>Connection ID</t>
        </is>
      </c>
      <c r="C4" s="11" t="inlineStr">
        <is>
          <t>Location (Gridline/Floor)</t>
        </is>
      </c>
      <c r="D4" s="11" t="inlineStr">
        <is>
          <t>Connection Type</t>
        </is>
      </c>
      <c r="E4" s="11" t="inlineStr">
        <is>
          <t>Method</t>
        </is>
      </c>
      <c r="F4" s="11" t="inlineStr">
        <is>
          <t>Lot #</t>
        </is>
      </c>
      <c r="G4" s="11" t="inlineStr">
        <is>
          <t># Bolts</t>
        </is>
      </c>
      <c r="H4" s="11" t="inlineStr">
        <is>
          <t>Installer / Crew</t>
        </is>
      </c>
      <c r="I4" s="11" t="inlineStr">
        <is>
          <t>Snug-Tight Complete</t>
        </is>
      </c>
      <c r="J4" s="11" t="inlineStr">
        <is>
          <t>Final Tighten Complete</t>
        </is>
      </c>
      <c r="K4" s="11" t="inlineStr">
        <is>
          <t>Marked (color)</t>
        </is>
      </c>
      <c r="L4" s="11" t="inlineStr">
        <is>
          <t>Inspector Sign-Off</t>
        </is>
      </c>
      <c r="M4" s="11" t="inlineStr">
        <is>
          <t>Status</t>
        </is>
      </c>
      <c r="N4" s="11" t="inlineStr">
        <is>
          <t>Slip-Critical Faying OK?</t>
        </is>
      </c>
      <c r="O4" s="11" t="inlineStr">
        <is>
          <t>Notes</t>
        </is>
      </c>
    </row>
    <row r="5">
      <c r="A5" s="14" t="n"/>
      <c r="B5" s="12" t="n"/>
      <c r="C5" s="12" t="n"/>
      <c r="D5" s="12" t="n"/>
      <c r="E5" s="12" t="n"/>
      <c r="F5" s="12" t="n"/>
      <c r="G5" s="16" t="n"/>
      <c r="H5" s="12" t="n"/>
      <c r="I5" s="12" t="n"/>
      <c r="J5" s="12" t="n"/>
      <c r="K5" s="12" t="n"/>
      <c r="L5" s="12" t="n"/>
      <c r="M5" s="12">
        <f>IF(B5="","",IF(L5="Accepted","Accepted",IF(L5="Rejected","Rejected",IF(J5="Yes","Awaiting Inspection",IF(I5="Yes","Snug-Tight","Pending")))))</f>
        <v/>
      </c>
      <c r="N5" s="12" t="n"/>
      <c r="O5" s="12" t="n"/>
    </row>
    <row r="6">
      <c r="A6" s="14" t="n"/>
      <c r="B6" s="12" t="n"/>
      <c r="C6" s="12" t="n"/>
      <c r="D6" s="12" t="n"/>
      <c r="E6" s="12" t="n"/>
      <c r="F6" s="12" t="n"/>
      <c r="G6" s="16" t="n"/>
      <c r="H6" s="12" t="n"/>
      <c r="I6" s="12" t="n"/>
      <c r="J6" s="12" t="n"/>
      <c r="K6" s="12" t="n"/>
      <c r="L6" s="12" t="n"/>
      <c r="M6" s="12">
        <f>IF(B6="","",IF(L6="Accepted","Accepted",IF(L6="Rejected","Rejected",IF(J6="Yes","Awaiting Inspection",IF(I6="Yes","Snug-Tight","Pending")))))</f>
        <v/>
      </c>
      <c r="N6" s="12" t="n"/>
      <c r="O6" s="12" t="n"/>
    </row>
    <row r="7">
      <c r="A7" s="14" t="n"/>
      <c r="B7" s="12" t="n"/>
      <c r="C7" s="12" t="n"/>
      <c r="D7" s="12" t="n"/>
      <c r="E7" s="12" t="n"/>
      <c r="F7" s="12" t="n"/>
      <c r="G7" s="16" t="n"/>
      <c r="H7" s="12" t="n"/>
      <c r="I7" s="12" t="n"/>
      <c r="J7" s="12" t="n"/>
      <c r="K7" s="12" t="n"/>
      <c r="L7" s="12" t="n"/>
      <c r="M7" s="12">
        <f>IF(B7="","",IF(L7="Accepted","Accepted",IF(L7="Rejected","Rejected",IF(J7="Yes","Awaiting Inspection",IF(I7="Yes","Snug-Tight","Pending")))))</f>
        <v/>
      </c>
      <c r="N7" s="12" t="n"/>
      <c r="O7" s="12" t="n"/>
    </row>
    <row r="8">
      <c r="A8" s="14" t="n"/>
      <c r="B8" s="12" t="n"/>
      <c r="C8" s="12" t="n"/>
      <c r="D8" s="12" t="n"/>
      <c r="E8" s="12" t="n"/>
      <c r="F8" s="12" t="n"/>
      <c r="G8" s="16" t="n"/>
      <c r="H8" s="12" t="n"/>
      <c r="I8" s="12" t="n"/>
      <c r="J8" s="12" t="n"/>
      <c r="K8" s="12" t="n"/>
      <c r="L8" s="12" t="n"/>
      <c r="M8" s="12">
        <f>IF(B8="","",IF(L8="Accepted","Accepted",IF(L8="Rejected","Rejected",IF(J8="Yes","Awaiting Inspection",IF(I8="Yes","Snug-Tight","Pending")))))</f>
        <v/>
      </c>
      <c r="N8" s="12" t="n"/>
      <c r="O8" s="12" t="n"/>
    </row>
    <row r="9">
      <c r="A9" s="14" t="n"/>
      <c r="B9" s="12" t="n"/>
      <c r="C9" s="12" t="n"/>
      <c r="D9" s="12" t="n"/>
      <c r="E9" s="12" t="n"/>
      <c r="F9" s="12" t="n"/>
      <c r="G9" s="16" t="n"/>
      <c r="H9" s="12" t="n"/>
      <c r="I9" s="12" t="n"/>
      <c r="J9" s="12" t="n"/>
      <c r="K9" s="12" t="n"/>
      <c r="L9" s="12" t="n"/>
      <c r="M9" s="12">
        <f>IF(B9="","",IF(L9="Accepted","Accepted",IF(L9="Rejected","Rejected",IF(J9="Yes","Awaiting Inspection",IF(I9="Yes","Snug-Tight","Pending")))))</f>
        <v/>
      </c>
      <c r="N9" s="12" t="n"/>
      <c r="O9" s="12" t="n"/>
    </row>
    <row r="10">
      <c r="A10" s="14" t="n"/>
      <c r="B10" s="12" t="n"/>
      <c r="C10" s="12" t="n"/>
      <c r="D10" s="12" t="n"/>
      <c r="E10" s="12" t="n"/>
      <c r="F10" s="12" t="n"/>
      <c r="G10" s="16" t="n"/>
      <c r="H10" s="12" t="n"/>
      <c r="I10" s="12" t="n"/>
      <c r="J10" s="12" t="n"/>
      <c r="K10" s="12" t="n"/>
      <c r="L10" s="12" t="n"/>
      <c r="M10" s="12">
        <f>IF(B10="","",IF(L10="Accepted","Accepted",IF(L10="Rejected","Rejected",IF(J10="Yes","Awaiting Inspection",IF(I10="Yes","Snug-Tight","Pending")))))</f>
        <v/>
      </c>
      <c r="N10" s="12" t="n"/>
      <c r="O10" s="12" t="n"/>
    </row>
    <row r="11">
      <c r="A11" s="14" t="n"/>
      <c r="B11" s="12" t="n"/>
      <c r="C11" s="12" t="n"/>
      <c r="D11" s="12" t="n"/>
      <c r="E11" s="12" t="n"/>
      <c r="F11" s="12" t="n"/>
      <c r="G11" s="16" t="n"/>
      <c r="H11" s="12" t="n"/>
      <c r="I11" s="12" t="n"/>
      <c r="J11" s="12" t="n"/>
      <c r="K11" s="12" t="n"/>
      <c r="L11" s="12" t="n"/>
      <c r="M11" s="12">
        <f>IF(B11="","",IF(L11="Accepted","Accepted",IF(L11="Rejected","Rejected",IF(J11="Yes","Awaiting Inspection",IF(I11="Yes","Snug-Tight","Pending")))))</f>
        <v/>
      </c>
      <c r="N11" s="12" t="n"/>
      <c r="O11" s="12" t="n"/>
    </row>
    <row r="12">
      <c r="A12" s="14" t="n"/>
      <c r="B12" s="12" t="n"/>
      <c r="C12" s="12" t="n"/>
      <c r="D12" s="12" t="n"/>
      <c r="E12" s="12" t="n"/>
      <c r="F12" s="12" t="n"/>
      <c r="G12" s="16" t="n"/>
      <c r="H12" s="12" t="n"/>
      <c r="I12" s="12" t="n"/>
      <c r="J12" s="12" t="n"/>
      <c r="K12" s="12" t="n"/>
      <c r="L12" s="12" t="n"/>
      <c r="M12" s="12">
        <f>IF(B12="","",IF(L12="Accepted","Accepted",IF(L12="Rejected","Rejected",IF(J12="Yes","Awaiting Inspection",IF(I12="Yes","Snug-Tight","Pending")))))</f>
        <v/>
      </c>
      <c r="N12" s="12" t="n"/>
      <c r="O12" s="12" t="n"/>
    </row>
    <row r="13">
      <c r="A13" s="14" t="n"/>
      <c r="B13" s="12" t="n"/>
      <c r="C13" s="12" t="n"/>
      <c r="D13" s="12" t="n"/>
      <c r="E13" s="12" t="n"/>
      <c r="F13" s="12" t="n"/>
      <c r="G13" s="16" t="n"/>
      <c r="H13" s="12" t="n"/>
      <c r="I13" s="12" t="n"/>
      <c r="J13" s="12" t="n"/>
      <c r="K13" s="12" t="n"/>
      <c r="L13" s="12" t="n"/>
      <c r="M13" s="12">
        <f>IF(B13="","",IF(L13="Accepted","Accepted",IF(L13="Rejected","Rejected",IF(J13="Yes","Awaiting Inspection",IF(I13="Yes","Snug-Tight","Pending")))))</f>
        <v/>
      </c>
      <c r="N13" s="12" t="n"/>
      <c r="O13" s="12" t="n"/>
    </row>
    <row r="14">
      <c r="A14" s="14" t="n"/>
      <c r="B14" s="12" t="n"/>
      <c r="C14" s="12" t="n"/>
      <c r="D14" s="12" t="n"/>
      <c r="E14" s="12" t="n"/>
      <c r="F14" s="12" t="n"/>
      <c r="G14" s="16" t="n"/>
      <c r="H14" s="12" t="n"/>
      <c r="I14" s="12" t="n"/>
      <c r="J14" s="12" t="n"/>
      <c r="K14" s="12" t="n"/>
      <c r="L14" s="12" t="n"/>
      <c r="M14" s="12">
        <f>IF(B14="","",IF(L14="Accepted","Accepted",IF(L14="Rejected","Rejected",IF(J14="Yes","Awaiting Inspection",IF(I14="Yes","Snug-Tight","Pending")))))</f>
        <v/>
      </c>
      <c r="N14" s="12" t="n"/>
      <c r="O14" s="12" t="n"/>
    </row>
    <row r="15">
      <c r="A15" s="14" t="n"/>
      <c r="B15" s="12" t="n"/>
      <c r="C15" s="12" t="n"/>
      <c r="D15" s="12" t="n"/>
      <c r="E15" s="12" t="n"/>
      <c r="F15" s="12" t="n"/>
      <c r="G15" s="16" t="n"/>
      <c r="H15" s="12" t="n"/>
      <c r="I15" s="12" t="n"/>
      <c r="J15" s="12" t="n"/>
      <c r="K15" s="12" t="n"/>
      <c r="L15" s="12" t="n"/>
      <c r="M15" s="12">
        <f>IF(B15="","",IF(L15="Accepted","Accepted",IF(L15="Rejected","Rejected",IF(J15="Yes","Awaiting Inspection",IF(I15="Yes","Snug-Tight","Pending")))))</f>
        <v/>
      </c>
      <c r="N15" s="12" t="n"/>
      <c r="O15" s="12" t="n"/>
    </row>
    <row r="16">
      <c r="A16" s="14" t="n"/>
      <c r="B16" s="12" t="n"/>
      <c r="C16" s="12" t="n"/>
      <c r="D16" s="12" t="n"/>
      <c r="E16" s="12" t="n"/>
      <c r="F16" s="12" t="n"/>
      <c r="G16" s="16" t="n"/>
      <c r="H16" s="12" t="n"/>
      <c r="I16" s="12" t="n"/>
      <c r="J16" s="12" t="n"/>
      <c r="K16" s="12" t="n"/>
      <c r="L16" s="12" t="n"/>
      <c r="M16" s="12">
        <f>IF(B16="","",IF(L16="Accepted","Accepted",IF(L16="Rejected","Rejected",IF(J16="Yes","Awaiting Inspection",IF(I16="Yes","Snug-Tight","Pending")))))</f>
        <v/>
      </c>
      <c r="N16" s="12" t="n"/>
      <c r="O16" s="12" t="n"/>
    </row>
    <row r="17">
      <c r="A17" s="14" t="n"/>
      <c r="B17" s="12" t="n"/>
      <c r="C17" s="12" t="n"/>
      <c r="D17" s="12" t="n"/>
      <c r="E17" s="12" t="n"/>
      <c r="F17" s="12" t="n"/>
      <c r="G17" s="16" t="n"/>
      <c r="H17" s="12" t="n"/>
      <c r="I17" s="12" t="n"/>
      <c r="J17" s="12" t="n"/>
      <c r="K17" s="12" t="n"/>
      <c r="L17" s="12" t="n"/>
      <c r="M17" s="12">
        <f>IF(B17="","",IF(L17="Accepted","Accepted",IF(L17="Rejected","Rejected",IF(J17="Yes","Awaiting Inspection",IF(I17="Yes","Snug-Tight","Pending")))))</f>
        <v/>
      </c>
      <c r="N17" s="12" t="n"/>
      <c r="O17" s="12" t="n"/>
    </row>
    <row r="18">
      <c r="A18" s="14" t="n"/>
      <c r="B18" s="12" t="n"/>
      <c r="C18" s="12" t="n"/>
      <c r="D18" s="12" t="n"/>
      <c r="E18" s="12" t="n"/>
      <c r="F18" s="12" t="n"/>
      <c r="G18" s="16" t="n"/>
      <c r="H18" s="12" t="n"/>
      <c r="I18" s="12" t="n"/>
      <c r="J18" s="12" t="n"/>
      <c r="K18" s="12" t="n"/>
      <c r="L18" s="12" t="n"/>
      <c r="M18" s="12">
        <f>IF(B18="","",IF(L18="Accepted","Accepted",IF(L18="Rejected","Rejected",IF(J18="Yes","Awaiting Inspection",IF(I18="Yes","Snug-Tight","Pending")))))</f>
        <v/>
      </c>
      <c r="N18" s="12" t="n"/>
      <c r="O18" s="12" t="n"/>
    </row>
    <row r="19">
      <c r="A19" s="14" t="n"/>
      <c r="B19" s="12" t="n"/>
      <c r="C19" s="12" t="n"/>
      <c r="D19" s="12" t="n"/>
      <c r="E19" s="12" t="n"/>
      <c r="F19" s="12" t="n"/>
      <c r="G19" s="16" t="n"/>
      <c r="H19" s="12" t="n"/>
      <c r="I19" s="12" t="n"/>
      <c r="J19" s="12" t="n"/>
      <c r="K19" s="12" t="n"/>
      <c r="L19" s="12" t="n"/>
      <c r="M19" s="12">
        <f>IF(B19="","",IF(L19="Accepted","Accepted",IF(L19="Rejected","Rejected",IF(J19="Yes","Awaiting Inspection",IF(I19="Yes","Snug-Tight","Pending")))))</f>
        <v/>
      </c>
      <c r="N19" s="12" t="n"/>
      <c r="O19" s="12" t="n"/>
    </row>
    <row r="20">
      <c r="A20" s="14" t="n"/>
      <c r="B20" s="12" t="n"/>
      <c r="C20" s="12" t="n"/>
      <c r="D20" s="12" t="n"/>
      <c r="E20" s="12" t="n"/>
      <c r="F20" s="12" t="n"/>
      <c r="G20" s="16" t="n"/>
      <c r="H20" s="12" t="n"/>
      <c r="I20" s="12" t="n"/>
      <c r="J20" s="12" t="n"/>
      <c r="K20" s="12" t="n"/>
      <c r="L20" s="12" t="n"/>
      <c r="M20" s="12">
        <f>IF(B20="","",IF(L20="Accepted","Accepted",IF(L20="Rejected","Rejected",IF(J20="Yes","Awaiting Inspection",IF(I20="Yes","Snug-Tight","Pending")))))</f>
        <v/>
      </c>
      <c r="N20" s="12" t="n"/>
      <c r="O20" s="12" t="n"/>
    </row>
    <row r="21">
      <c r="A21" s="14" t="n"/>
      <c r="B21" s="12" t="n"/>
      <c r="C21" s="12" t="n"/>
      <c r="D21" s="12" t="n"/>
      <c r="E21" s="12" t="n"/>
      <c r="F21" s="12" t="n"/>
      <c r="G21" s="16" t="n"/>
      <c r="H21" s="12" t="n"/>
      <c r="I21" s="12" t="n"/>
      <c r="J21" s="12" t="n"/>
      <c r="K21" s="12" t="n"/>
      <c r="L21" s="12" t="n"/>
      <c r="M21" s="12">
        <f>IF(B21="","",IF(L21="Accepted","Accepted",IF(L21="Rejected","Rejected",IF(J21="Yes","Awaiting Inspection",IF(I21="Yes","Snug-Tight","Pending")))))</f>
        <v/>
      </c>
      <c r="N21" s="12" t="n"/>
      <c r="O21" s="12" t="n"/>
    </row>
    <row r="22">
      <c r="A22" s="14" t="n"/>
      <c r="B22" s="12" t="n"/>
      <c r="C22" s="12" t="n"/>
      <c r="D22" s="12" t="n"/>
      <c r="E22" s="12" t="n"/>
      <c r="F22" s="12" t="n"/>
      <c r="G22" s="16" t="n"/>
      <c r="H22" s="12" t="n"/>
      <c r="I22" s="12" t="n"/>
      <c r="J22" s="12" t="n"/>
      <c r="K22" s="12" t="n"/>
      <c r="L22" s="12" t="n"/>
      <c r="M22" s="12">
        <f>IF(B22="","",IF(L22="Accepted","Accepted",IF(L22="Rejected","Rejected",IF(J22="Yes","Awaiting Inspection",IF(I22="Yes","Snug-Tight","Pending")))))</f>
        <v/>
      </c>
      <c r="N22" s="12" t="n"/>
      <c r="O22" s="12" t="n"/>
    </row>
    <row r="23">
      <c r="A23" s="14" t="n"/>
      <c r="B23" s="12" t="n"/>
      <c r="C23" s="12" t="n"/>
      <c r="D23" s="12" t="n"/>
      <c r="E23" s="12" t="n"/>
      <c r="F23" s="12" t="n"/>
      <c r="G23" s="16" t="n"/>
      <c r="H23" s="12" t="n"/>
      <c r="I23" s="12" t="n"/>
      <c r="J23" s="12" t="n"/>
      <c r="K23" s="12" t="n"/>
      <c r="L23" s="12" t="n"/>
      <c r="M23" s="12">
        <f>IF(B23="","",IF(L23="Accepted","Accepted",IF(L23="Rejected","Rejected",IF(J23="Yes","Awaiting Inspection",IF(I23="Yes","Snug-Tight","Pending")))))</f>
        <v/>
      </c>
      <c r="N23" s="12" t="n"/>
      <c r="O23" s="12" t="n"/>
    </row>
    <row r="24">
      <c r="A24" s="14" t="n"/>
      <c r="B24" s="12" t="n"/>
      <c r="C24" s="12" t="n"/>
      <c r="D24" s="12" t="n"/>
      <c r="E24" s="12" t="n"/>
      <c r="F24" s="12" t="n"/>
      <c r="G24" s="16" t="n"/>
      <c r="H24" s="12" t="n"/>
      <c r="I24" s="12" t="n"/>
      <c r="J24" s="12" t="n"/>
      <c r="K24" s="12" t="n"/>
      <c r="L24" s="12" t="n"/>
      <c r="M24" s="12">
        <f>IF(B24="","",IF(L24="Accepted","Accepted",IF(L24="Rejected","Rejected",IF(J24="Yes","Awaiting Inspection",IF(I24="Yes","Snug-Tight","Pending")))))</f>
        <v/>
      </c>
      <c r="N24" s="12" t="n"/>
      <c r="O24" s="12" t="n"/>
    </row>
    <row r="25">
      <c r="A25" s="14" t="n"/>
      <c r="B25" s="12" t="n"/>
      <c r="C25" s="12" t="n"/>
      <c r="D25" s="12" t="n"/>
      <c r="E25" s="12" t="n"/>
      <c r="F25" s="12" t="n"/>
      <c r="G25" s="16" t="n"/>
      <c r="H25" s="12" t="n"/>
      <c r="I25" s="12" t="n"/>
      <c r="J25" s="12" t="n"/>
      <c r="K25" s="12" t="n"/>
      <c r="L25" s="12" t="n"/>
      <c r="M25" s="12">
        <f>IF(B25="","",IF(L25="Accepted","Accepted",IF(L25="Rejected","Rejected",IF(J25="Yes","Awaiting Inspection",IF(I25="Yes","Snug-Tight","Pending")))))</f>
        <v/>
      </c>
      <c r="N25" s="12" t="n"/>
      <c r="O25" s="12" t="n"/>
    </row>
    <row r="26">
      <c r="A26" s="14" t="n"/>
      <c r="B26" s="12" t="n"/>
      <c r="C26" s="12" t="n"/>
      <c r="D26" s="12" t="n"/>
      <c r="E26" s="12" t="n"/>
      <c r="F26" s="12" t="n"/>
      <c r="G26" s="16" t="n"/>
      <c r="H26" s="12" t="n"/>
      <c r="I26" s="12" t="n"/>
      <c r="J26" s="12" t="n"/>
      <c r="K26" s="12" t="n"/>
      <c r="L26" s="12" t="n"/>
      <c r="M26" s="12">
        <f>IF(B26="","",IF(L26="Accepted","Accepted",IF(L26="Rejected","Rejected",IF(J26="Yes","Awaiting Inspection",IF(I26="Yes","Snug-Tight","Pending")))))</f>
        <v/>
      </c>
      <c r="N26" s="12" t="n"/>
      <c r="O26" s="12" t="n"/>
    </row>
    <row r="27">
      <c r="A27" s="14" t="n"/>
      <c r="B27" s="12" t="n"/>
      <c r="C27" s="12" t="n"/>
      <c r="D27" s="12" t="n"/>
      <c r="E27" s="12" t="n"/>
      <c r="F27" s="12" t="n"/>
      <c r="G27" s="16" t="n"/>
      <c r="H27" s="12" t="n"/>
      <c r="I27" s="12" t="n"/>
      <c r="J27" s="12" t="n"/>
      <c r="K27" s="12" t="n"/>
      <c r="L27" s="12" t="n"/>
      <c r="M27" s="12">
        <f>IF(B27="","",IF(L27="Accepted","Accepted",IF(L27="Rejected","Rejected",IF(J27="Yes","Awaiting Inspection",IF(I27="Yes","Snug-Tight","Pending")))))</f>
        <v/>
      </c>
      <c r="N27" s="12" t="n"/>
      <c r="O27" s="12" t="n"/>
    </row>
    <row r="28">
      <c r="A28" s="14" t="n"/>
      <c r="B28" s="12" t="n"/>
      <c r="C28" s="12" t="n"/>
      <c r="D28" s="12" t="n"/>
      <c r="E28" s="12" t="n"/>
      <c r="F28" s="12" t="n"/>
      <c r="G28" s="16" t="n"/>
      <c r="H28" s="12" t="n"/>
      <c r="I28" s="12" t="n"/>
      <c r="J28" s="12" t="n"/>
      <c r="K28" s="12" t="n"/>
      <c r="L28" s="12" t="n"/>
      <c r="M28" s="12">
        <f>IF(B28="","",IF(L28="Accepted","Accepted",IF(L28="Rejected","Rejected",IF(J28="Yes","Awaiting Inspection",IF(I28="Yes","Snug-Tight","Pending")))))</f>
        <v/>
      </c>
      <c r="N28" s="12" t="n"/>
      <c r="O28" s="12" t="n"/>
    </row>
    <row r="29">
      <c r="A29" s="14" t="n"/>
      <c r="B29" s="12" t="n"/>
      <c r="C29" s="12" t="n"/>
      <c r="D29" s="12" t="n"/>
      <c r="E29" s="12" t="n"/>
      <c r="F29" s="12" t="n"/>
      <c r="G29" s="16" t="n"/>
      <c r="H29" s="12" t="n"/>
      <c r="I29" s="12" t="n"/>
      <c r="J29" s="12" t="n"/>
      <c r="K29" s="12" t="n"/>
      <c r="L29" s="12" t="n"/>
      <c r="M29" s="12">
        <f>IF(B29="","",IF(L29="Accepted","Accepted",IF(L29="Rejected","Rejected",IF(J29="Yes","Awaiting Inspection",IF(I29="Yes","Snug-Tight","Pending")))))</f>
        <v/>
      </c>
      <c r="N29" s="12" t="n"/>
      <c r="O29" s="12" t="n"/>
    </row>
    <row r="30">
      <c r="A30" s="14" t="n"/>
      <c r="B30" s="12" t="n"/>
      <c r="C30" s="12" t="n"/>
      <c r="D30" s="12" t="n"/>
      <c r="E30" s="12" t="n"/>
      <c r="F30" s="12" t="n"/>
      <c r="G30" s="16" t="n"/>
      <c r="H30" s="12" t="n"/>
      <c r="I30" s="12" t="n"/>
      <c r="J30" s="12" t="n"/>
      <c r="K30" s="12" t="n"/>
      <c r="L30" s="12" t="n"/>
      <c r="M30" s="12">
        <f>IF(B30="","",IF(L30="Accepted","Accepted",IF(L30="Rejected","Rejected",IF(J30="Yes","Awaiting Inspection",IF(I30="Yes","Snug-Tight","Pending")))))</f>
        <v/>
      </c>
      <c r="N30" s="12" t="n"/>
      <c r="O30" s="12" t="n"/>
    </row>
    <row r="31">
      <c r="A31" s="14" t="n"/>
      <c r="B31" s="12" t="n"/>
      <c r="C31" s="12" t="n"/>
      <c r="D31" s="12" t="n"/>
      <c r="E31" s="12" t="n"/>
      <c r="F31" s="12" t="n"/>
      <c r="G31" s="16" t="n"/>
      <c r="H31" s="12" t="n"/>
      <c r="I31" s="12" t="n"/>
      <c r="J31" s="12" t="n"/>
      <c r="K31" s="12" t="n"/>
      <c r="L31" s="12" t="n"/>
      <c r="M31" s="12">
        <f>IF(B31="","",IF(L31="Accepted","Accepted",IF(L31="Rejected","Rejected",IF(J31="Yes","Awaiting Inspection",IF(I31="Yes","Snug-Tight","Pending")))))</f>
        <v/>
      </c>
      <c r="N31" s="12" t="n"/>
      <c r="O31" s="12" t="n"/>
    </row>
    <row r="32">
      <c r="A32" s="14" t="n"/>
      <c r="B32" s="12" t="n"/>
      <c r="C32" s="12" t="n"/>
      <c r="D32" s="12" t="n"/>
      <c r="E32" s="12" t="n"/>
      <c r="F32" s="12" t="n"/>
      <c r="G32" s="16" t="n"/>
      <c r="H32" s="12" t="n"/>
      <c r="I32" s="12" t="n"/>
      <c r="J32" s="12" t="n"/>
      <c r="K32" s="12" t="n"/>
      <c r="L32" s="12" t="n"/>
      <c r="M32" s="12">
        <f>IF(B32="","",IF(L32="Accepted","Accepted",IF(L32="Rejected","Rejected",IF(J32="Yes","Awaiting Inspection",IF(I32="Yes","Snug-Tight","Pending")))))</f>
        <v/>
      </c>
      <c r="N32" s="12" t="n"/>
      <c r="O32" s="12" t="n"/>
    </row>
    <row r="33">
      <c r="A33" s="14" t="n"/>
      <c r="B33" s="12" t="n"/>
      <c r="C33" s="12" t="n"/>
      <c r="D33" s="12" t="n"/>
      <c r="E33" s="12" t="n"/>
      <c r="F33" s="12" t="n"/>
      <c r="G33" s="16" t="n"/>
      <c r="H33" s="12" t="n"/>
      <c r="I33" s="12" t="n"/>
      <c r="J33" s="12" t="n"/>
      <c r="K33" s="12" t="n"/>
      <c r="L33" s="12" t="n"/>
      <c r="M33" s="12">
        <f>IF(B33="","",IF(L33="Accepted","Accepted",IF(L33="Rejected","Rejected",IF(J33="Yes","Awaiting Inspection",IF(I33="Yes","Snug-Tight","Pending")))))</f>
        <v/>
      </c>
      <c r="N33" s="12" t="n"/>
      <c r="O33" s="12" t="n"/>
    </row>
    <row r="34">
      <c r="A34" s="14" t="n"/>
      <c r="B34" s="12" t="n"/>
      <c r="C34" s="12" t="n"/>
      <c r="D34" s="12" t="n"/>
      <c r="E34" s="12" t="n"/>
      <c r="F34" s="12" t="n"/>
      <c r="G34" s="16" t="n"/>
      <c r="H34" s="12" t="n"/>
      <c r="I34" s="12" t="n"/>
      <c r="J34" s="12" t="n"/>
      <c r="K34" s="12" t="n"/>
      <c r="L34" s="12" t="n"/>
      <c r="M34" s="12">
        <f>IF(B34="","",IF(L34="Accepted","Accepted",IF(L34="Rejected","Rejected",IF(J34="Yes","Awaiting Inspection",IF(I34="Yes","Snug-Tight","Pending")))))</f>
        <v/>
      </c>
      <c r="N34" s="12" t="n"/>
      <c r="O34" s="12" t="n"/>
    </row>
    <row r="35">
      <c r="A35" s="14" t="n"/>
      <c r="B35" s="12" t="n"/>
      <c r="C35" s="12" t="n"/>
      <c r="D35" s="12" t="n"/>
      <c r="E35" s="12" t="n"/>
      <c r="F35" s="12" t="n"/>
      <c r="G35" s="16" t="n"/>
      <c r="H35" s="12" t="n"/>
      <c r="I35" s="12" t="n"/>
      <c r="J35" s="12" t="n"/>
      <c r="K35" s="12" t="n"/>
      <c r="L35" s="12" t="n"/>
      <c r="M35" s="12">
        <f>IF(B35="","",IF(L35="Accepted","Accepted",IF(L35="Rejected","Rejected",IF(J35="Yes","Awaiting Inspection",IF(I35="Yes","Snug-Tight","Pending")))))</f>
        <v/>
      </c>
      <c r="N35" s="12" t="n"/>
      <c r="O35" s="12" t="n"/>
    </row>
    <row r="36">
      <c r="A36" s="14" t="n"/>
      <c r="B36" s="12" t="n"/>
      <c r="C36" s="12" t="n"/>
      <c r="D36" s="12" t="n"/>
      <c r="E36" s="12" t="n"/>
      <c r="F36" s="12" t="n"/>
      <c r="G36" s="16" t="n"/>
      <c r="H36" s="12" t="n"/>
      <c r="I36" s="12" t="n"/>
      <c r="J36" s="12" t="n"/>
      <c r="K36" s="12" t="n"/>
      <c r="L36" s="12" t="n"/>
      <c r="M36" s="12">
        <f>IF(B36="","",IF(L36="Accepted","Accepted",IF(L36="Rejected","Rejected",IF(J36="Yes","Awaiting Inspection",IF(I36="Yes","Snug-Tight","Pending")))))</f>
        <v/>
      </c>
      <c r="N36" s="12" t="n"/>
      <c r="O36" s="12" t="n"/>
    </row>
    <row r="37">
      <c r="A37" s="14" t="n"/>
      <c r="B37" s="12" t="n"/>
      <c r="C37" s="12" t="n"/>
      <c r="D37" s="12" t="n"/>
      <c r="E37" s="12" t="n"/>
      <c r="F37" s="12" t="n"/>
      <c r="G37" s="16" t="n"/>
      <c r="H37" s="12" t="n"/>
      <c r="I37" s="12" t="n"/>
      <c r="J37" s="12" t="n"/>
      <c r="K37" s="12" t="n"/>
      <c r="L37" s="12" t="n"/>
      <c r="M37" s="12">
        <f>IF(B37="","",IF(L37="Accepted","Accepted",IF(L37="Rejected","Rejected",IF(J37="Yes","Awaiting Inspection",IF(I37="Yes","Snug-Tight","Pending")))))</f>
        <v/>
      </c>
      <c r="N37" s="12" t="n"/>
      <c r="O37" s="12" t="n"/>
    </row>
    <row r="38">
      <c r="A38" s="14" t="n"/>
      <c r="B38" s="12" t="n"/>
      <c r="C38" s="12" t="n"/>
      <c r="D38" s="12" t="n"/>
      <c r="E38" s="12" t="n"/>
      <c r="F38" s="12" t="n"/>
      <c r="G38" s="16" t="n"/>
      <c r="H38" s="12" t="n"/>
      <c r="I38" s="12" t="n"/>
      <c r="J38" s="12" t="n"/>
      <c r="K38" s="12" t="n"/>
      <c r="L38" s="12" t="n"/>
      <c r="M38" s="12">
        <f>IF(B38="","",IF(L38="Accepted","Accepted",IF(L38="Rejected","Rejected",IF(J38="Yes","Awaiting Inspection",IF(I38="Yes","Snug-Tight","Pending")))))</f>
        <v/>
      </c>
      <c r="N38" s="12" t="n"/>
      <c r="O38" s="12" t="n"/>
    </row>
    <row r="39">
      <c r="A39" s="14" t="n"/>
      <c r="B39" s="12" t="n"/>
      <c r="C39" s="12" t="n"/>
      <c r="D39" s="12" t="n"/>
      <c r="E39" s="12" t="n"/>
      <c r="F39" s="12" t="n"/>
      <c r="G39" s="16" t="n"/>
      <c r="H39" s="12" t="n"/>
      <c r="I39" s="12" t="n"/>
      <c r="J39" s="12" t="n"/>
      <c r="K39" s="12" t="n"/>
      <c r="L39" s="12" t="n"/>
      <c r="M39" s="12">
        <f>IF(B39="","",IF(L39="Accepted","Accepted",IF(L39="Rejected","Rejected",IF(J39="Yes","Awaiting Inspection",IF(I39="Yes","Snug-Tight","Pending")))))</f>
        <v/>
      </c>
      <c r="N39" s="12" t="n"/>
      <c r="O39" s="12" t="n"/>
    </row>
    <row r="40">
      <c r="A40" s="14" t="n"/>
      <c r="B40" s="12" t="n"/>
      <c r="C40" s="12" t="n"/>
      <c r="D40" s="12" t="n"/>
      <c r="E40" s="12" t="n"/>
      <c r="F40" s="12" t="n"/>
      <c r="G40" s="16" t="n"/>
      <c r="H40" s="12" t="n"/>
      <c r="I40" s="12" t="n"/>
      <c r="J40" s="12" t="n"/>
      <c r="K40" s="12" t="n"/>
      <c r="L40" s="12" t="n"/>
      <c r="M40" s="12">
        <f>IF(B40="","",IF(L40="Accepted","Accepted",IF(L40="Rejected","Rejected",IF(J40="Yes","Awaiting Inspection",IF(I40="Yes","Snug-Tight","Pending")))))</f>
        <v/>
      </c>
      <c r="N40" s="12" t="n"/>
      <c r="O40" s="12" t="n"/>
    </row>
    <row r="41">
      <c r="A41" s="14" t="n"/>
      <c r="B41" s="12" t="n"/>
      <c r="C41" s="12" t="n"/>
      <c r="D41" s="12" t="n"/>
      <c r="E41" s="12" t="n"/>
      <c r="F41" s="12" t="n"/>
      <c r="G41" s="16" t="n"/>
      <c r="H41" s="12" t="n"/>
      <c r="I41" s="12" t="n"/>
      <c r="J41" s="12" t="n"/>
      <c r="K41" s="12" t="n"/>
      <c r="L41" s="12" t="n"/>
      <c r="M41" s="12">
        <f>IF(B41="","",IF(L41="Accepted","Accepted",IF(L41="Rejected","Rejected",IF(J41="Yes","Awaiting Inspection",IF(I41="Yes","Snug-Tight","Pending")))))</f>
        <v/>
      </c>
      <c r="N41" s="12" t="n"/>
      <c r="O41" s="12" t="n"/>
    </row>
    <row r="42">
      <c r="A42" s="14" t="n"/>
      <c r="B42" s="12" t="n"/>
      <c r="C42" s="12" t="n"/>
      <c r="D42" s="12" t="n"/>
      <c r="E42" s="12" t="n"/>
      <c r="F42" s="12" t="n"/>
      <c r="G42" s="16" t="n"/>
      <c r="H42" s="12" t="n"/>
      <c r="I42" s="12" t="n"/>
      <c r="J42" s="12" t="n"/>
      <c r="K42" s="12" t="n"/>
      <c r="L42" s="12" t="n"/>
      <c r="M42" s="12">
        <f>IF(B42="","",IF(L42="Accepted","Accepted",IF(L42="Rejected","Rejected",IF(J42="Yes","Awaiting Inspection",IF(I42="Yes","Snug-Tight","Pending")))))</f>
        <v/>
      </c>
      <c r="N42" s="12" t="n"/>
      <c r="O42" s="12" t="n"/>
    </row>
    <row r="43">
      <c r="A43" s="14" t="n"/>
      <c r="B43" s="12" t="n"/>
      <c r="C43" s="12" t="n"/>
      <c r="D43" s="12" t="n"/>
      <c r="E43" s="12" t="n"/>
      <c r="F43" s="12" t="n"/>
      <c r="G43" s="16" t="n"/>
      <c r="H43" s="12" t="n"/>
      <c r="I43" s="12" t="n"/>
      <c r="J43" s="12" t="n"/>
      <c r="K43" s="12" t="n"/>
      <c r="L43" s="12" t="n"/>
      <c r="M43" s="12">
        <f>IF(B43="","",IF(L43="Accepted","Accepted",IF(L43="Rejected","Rejected",IF(J43="Yes","Awaiting Inspection",IF(I43="Yes","Snug-Tight","Pending")))))</f>
        <v/>
      </c>
      <c r="N43" s="12" t="n"/>
      <c r="O43" s="12" t="n"/>
    </row>
    <row r="44">
      <c r="A44" s="14" t="n"/>
      <c r="B44" s="12" t="n"/>
      <c r="C44" s="12" t="n"/>
      <c r="D44" s="12" t="n"/>
      <c r="E44" s="12" t="n"/>
      <c r="F44" s="12" t="n"/>
      <c r="G44" s="16" t="n"/>
      <c r="H44" s="12" t="n"/>
      <c r="I44" s="12" t="n"/>
      <c r="J44" s="12" t="n"/>
      <c r="K44" s="12" t="n"/>
      <c r="L44" s="12" t="n"/>
      <c r="M44" s="12">
        <f>IF(B44="","",IF(L44="Accepted","Accepted",IF(L44="Rejected","Rejected",IF(J44="Yes","Awaiting Inspection",IF(I44="Yes","Snug-Tight","Pending")))))</f>
        <v/>
      </c>
      <c r="N44" s="12" t="n"/>
      <c r="O44" s="12" t="n"/>
    </row>
    <row r="45">
      <c r="A45" s="14" t="n"/>
      <c r="B45" s="12" t="n"/>
      <c r="C45" s="12" t="n"/>
      <c r="D45" s="12" t="n"/>
      <c r="E45" s="12" t="n"/>
      <c r="F45" s="12" t="n"/>
      <c r="G45" s="16" t="n"/>
      <c r="H45" s="12" t="n"/>
      <c r="I45" s="12" t="n"/>
      <c r="J45" s="12" t="n"/>
      <c r="K45" s="12" t="n"/>
      <c r="L45" s="12" t="n"/>
      <c r="M45" s="12">
        <f>IF(B45="","",IF(L45="Accepted","Accepted",IF(L45="Rejected","Rejected",IF(J45="Yes","Awaiting Inspection",IF(I45="Yes","Snug-Tight","Pending")))))</f>
        <v/>
      </c>
      <c r="N45" s="12" t="n"/>
      <c r="O45" s="12" t="n"/>
    </row>
    <row r="46">
      <c r="A46" s="14" t="n"/>
      <c r="B46" s="12" t="n"/>
      <c r="C46" s="12" t="n"/>
      <c r="D46" s="12" t="n"/>
      <c r="E46" s="12" t="n"/>
      <c r="F46" s="12" t="n"/>
      <c r="G46" s="16" t="n"/>
      <c r="H46" s="12" t="n"/>
      <c r="I46" s="12" t="n"/>
      <c r="J46" s="12" t="n"/>
      <c r="K46" s="12" t="n"/>
      <c r="L46" s="12" t="n"/>
      <c r="M46" s="12">
        <f>IF(B46="","",IF(L46="Accepted","Accepted",IF(L46="Rejected","Rejected",IF(J46="Yes","Awaiting Inspection",IF(I46="Yes","Snug-Tight","Pending")))))</f>
        <v/>
      </c>
      <c r="N46" s="12" t="n"/>
      <c r="O46" s="12" t="n"/>
    </row>
    <row r="47">
      <c r="A47" s="14" t="n"/>
      <c r="B47" s="12" t="n"/>
      <c r="C47" s="12" t="n"/>
      <c r="D47" s="12" t="n"/>
      <c r="E47" s="12" t="n"/>
      <c r="F47" s="12" t="n"/>
      <c r="G47" s="16" t="n"/>
      <c r="H47" s="12" t="n"/>
      <c r="I47" s="12" t="n"/>
      <c r="J47" s="12" t="n"/>
      <c r="K47" s="12" t="n"/>
      <c r="L47" s="12" t="n"/>
      <c r="M47" s="12">
        <f>IF(B47="","",IF(L47="Accepted","Accepted",IF(L47="Rejected","Rejected",IF(J47="Yes","Awaiting Inspection",IF(I47="Yes","Snug-Tight","Pending")))))</f>
        <v/>
      </c>
      <c r="N47" s="12" t="n"/>
      <c r="O47" s="12" t="n"/>
    </row>
    <row r="48">
      <c r="A48" s="14" t="n"/>
      <c r="B48" s="12" t="n"/>
      <c r="C48" s="12" t="n"/>
      <c r="D48" s="12" t="n"/>
      <c r="E48" s="12" t="n"/>
      <c r="F48" s="12" t="n"/>
      <c r="G48" s="16" t="n"/>
      <c r="H48" s="12" t="n"/>
      <c r="I48" s="12" t="n"/>
      <c r="J48" s="12" t="n"/>
      <c r="K48" s="12" t="n"/>
      <c r="L48" s="12" t="n"/>
      <c r="M48" s="12">
        <f>IF(B48="","",IF(L48="Accepted","Accepted",IF(L48="Rejected","Rejected",IF(J48="Yes","Awaiting Inspection",IF(I48="Yes","Snug-Tight","Pending")))))</f>
        <v/>
      </c>
      <c r="N48" s="12" t="n"/>
      <c r="O48" s="12" t="n"/>
    </row>
    <row r="49">
      <c r="A49" s="14" t="n"/>
      <c r="B49" s="12" t="n"/>
      <c r="C49" s="12" t="n"/>
      <c r="D49" s="12" t="n"/>
      <c r="E49" s="12" t="n"/>
      <c r="F49" s="12" t="n"/>
      <c r="G49" s="16" t="n"/>
      <c r="H49" s="12" t="n"/>
      <c r="I49" s="12" t="n"/>
      <c r="J49" s="12" t="n"/>
      <c r="K49" s="12" t="n"/>
      <c r="L49" s="12" t="n"/>
      <c r="M49" s="12">
        <f>IF(B49="","",IF(L49="Accepted","Accepted",IF(L49="Rejected","Rejected",IF(J49="Yes","Awaiting Inspection",IF(I49="Yes","Snug-Tight","Pending")))))</f>
        <v/>
      </c>
      <c r="N49" s="12" t="n"/>
      <c r="O49" s="12" t="n"/>
    </row>
    <row r="50">
      <c r="A50" s="14" t="n"/>
      <c r="B50" s="12" t="n"/>
      <c r="C50" s="12" t="n"/>
      <c r="D50" s="12" t="n"/>
      <c r="E50" s="12" t="n"/>
      <c r="F50" s="12" t="n"/>
      <c r="G50" s="16" t="n"/>
      <c r="H50" s="12" t="n"/>
      <c r="I50" s="12" t="n"/>
      <c r="J50" s="12" t="n"/>
      <c r="K50" s="12" t="n"/>
      <c r="L50" s="12" t="n"/>
      <c r="M50" s="12">
        <f>IF(B50="","",IF(L50="Accepted","Accepted",IF(L50="Rejected","Rejected",IF(J50="Yes","Awaiting Inspection",IF(I50="Yes","Snug-Tight","Pending")))))</f>
        <v/>
      </c>
      <c r="N50" s="12" t="n"/>
      <c r="O50" s="12" t="n"/>
    </row>
    <row r="51">
      <c r="A51" s="14" t="n"/>
      <c r="B51" s="12" t="n"/>
      <c r="C51" s="12" t="n"/>
      <c r="D51" s="12" t="n"/>
      <c r="E51" s="12" t="n"/>
      <c r="F51" s="12" t="n"/>
      <c r="G51" s="16" t="n"/>
      <c r="H51" s="12" t="n"/>
      <c r="I51" s="12" t="n"/>
      <c r="J51" s="12" t="n"/>
      <c r="K51" s="12" t="n"/>
      <c r="L51" s="12" t="n"/>
      <c r="M51" s="12">
        <f>IF(B51="","",IF(L51="Accepted","Accepted",IF(L51="Rejected","Rejected",IF(J51="Yes","Awaiting Inspection",IF(I51="Yes","Snug-Tight","Pending")))))</f>
        <v/>
      </c>
      <c r="N51" s="12" t="n"/>
      <c r="O51" s="12" t="n"/>
    </row>
    <row r="52">
      <c r="A52" s="14" t="n"/>
      <c r="B52" s="12" t="n"/>
      <c r="C52" s="12" t="n"/>
      <c r="D52" s="12" t="n"/>
      <c r="E52" s="12" t="n"/>
      <c r="F52" s="12" t="n"/>
      <c r="G52" s="16" t="n"/>
      <c r="H52" s="12" t="n"/>
      <c r="I52" s="12" t="n"/>
      <c r="J52" s="12" t="n"/>
      <c r="K52" s="12" t="n"/>
      <c r="L52" s="12" t="n"/>
      <c r="M52" s="12">
        <f>IF(B52="","",IF(L52="Accepted","Accepted",IF(L52="Rejected","Rejected",IF(J52="Yes","Awaiting Inspection",IF(I52="Yes","Snug-Tight","Pending")))))</f>
        <v/>
      </c>
      <c r="N52" s="12" t="n"/>
      <c r="O52" s="12" t="n"/>
    </row>
    <row r="53">
      <c r="A53" s="14" t="n"/>
      <c r="B53" s="12" t="n"/>
      <c r="C53" s="12" t="n"/>
      <c r="D53" s="12" t="n"/>
      <c r="E53" s="12" t="n"/>
      <c r="F53" s="12" t="n"/>
      <c r="G53" s="16" t="n"/>
      <c r="H53" s="12" t="n"/>
      <c r="I53" s="12" t="n"/>
      <c r="J53" s="12" t="n"/>
      <c r="K53" s="12" t="n"/>
      <c r="L53" s="12" t="n"/>
      <c r="M53" s="12">
        <f>IF(B53="","",IF(L53="Accepted","Accepted",IF(L53="Rejected","Rejected",IF(J53="Yes","Awaiting Inspection",IF(I53="Yes","Snug-Tight","Pending")))))</f>
        <v/>
      </c>
      <c r="N53" s="12" t="n"/>
      <c r="O53" s="12" t="n"/>
    </row>
    <row r="54">
      <c r="A54" s="14" t="n"/>
      <c r="B54" s="12" t="n"/>
      <c r="C54" s="12" t="n"/>
      <c r="D54" s="12" t="n"/>
      <c r="E54" s="12" t="n"/>
      <c r="F54" s="12" t="n"/>
      <c r="G54" s="16" t="n"/>
      <c r="H54" s="12" t="n"/>
      <c r="I54" s="12" t="n"/>
      <c r="J54" s="12" t="n"/>
      <c r="K54" s="12" t="n"/>
      <c r="L54" s="12" t="n"/>
      <c r="M54" s="12">
        <f>IF(B54="","",IF(L54="Accepted","Accepted",IF(L54="Rejected","Rejected",IF(J54="Yes","Awaiting Inspection",IF(I54="Yes","Snug-Tight","Pending")))))</f>
        <v/>
      </c>
      <c r="N54" s="12" t="n"/>
      <c r="O54" s="12" t="n"/>
    </row>
    <row r="55">
      <c r="A55" s="14" t="n"/>
      <c r="B55" s="12" t="n"/>
      <c r="C55" s="12" t="n"/>
      <c r="D55" s="12" t="n"/>
      <c r="E55" s="12" t="n"/>
      <c r="F55" s="12" t="n"/>
      <c r="G55" s="16" t="n"/>
      <c r="H55" s="12" t="n"/>
      <c r="I55" s="12" t="n"/>
      <c r="J55" s="12" t="n"/>
      <c r="K55" s="12" t="n"/>
      <c r="L55" s="12" t="n"/>
      <c r="M55" s="12">
        <f>IF(B55="","",IF(L55="Accepted","Accepted",IF(L55="Rejected","Rejected",IF(J55="Yes","Awaiting Inspection",IF(I55="Yes","Snug-Tight","Pending")))))</f>
        <v/>
      </c>
      <c r="N55" s="12" t="n"/>
      <c r="O55" s="12" t="n"/>
    </row>
    <row r="56">
      <c r="A56" s="14" t="n"/>
      <c r="B56" s="12" t="n"/>
      <c r="C56" s="12" t="n"/>
      <c r="D56" s="12" t="n"/>
      <c r="E56" s="12" t="n"/>
      <c r="F56" s="12" t="n"/>
      <c r="G56" s="16" t="n"/>
      <c r="H56" s="12" t="n"/>
      <c r="I56" s="12" t="n"/>
      <c r="J56" s="12" t="n"/>
      <c r="K56" s="12" t="n"/>
      <c r="L56" s="12" t="n"/>
      <c r="M56" s="12">
        <f>IF(B56="","",IF(L56="Accepted","Accepted",IF(L56="Rejected","Rejected",IF(J56="Yes","Awaiting Inspection",IF(I56="Yes","Snug-Tight","Pending")))))</f>
        <v/>
      </c>
      <c r="N56" s="12" t="n"/>
      <c r="O56" s="12" t="n"/>
    </row>
    <row r="57">
      <c r="A57" s="14" t="n"/>
      <c r="B57" s="12" t="n"/>
      <c r="C57" s="12" t="n"/>
      <c r="D57" s="12" t="n"/>
      <c r="E57" s="12" t="n"/>
      <c r="F57" s="12" t="n"/>
      <c r="G57" s="16" t="n"/>
      <c r="H57" s="12" t="n"/>
      <c r="I57" s="12" t="n"/>
      <c r="J57" s="12" t="n"/>
      <c r="K57" s="12" t="n"/>
      <c r="L57" s="12" t="n"/>
      <c r="M57" s="12">
        <f>IF(B57="","",IF(L57="Accepted","Accepted",IF(L57="Rejected","Rejected",IF(J57="Yes","Awaiting Inspection",IF(I57="Yes","Snug-Tight","Pending")))))</f>
        <v/>
      </c>
      <c r="N57" s="12" t="n"/>
      <c r="O57" s="12" t="n"/>
    </row>
    <row r="58">
      <c r="A58" s="14" t="n"/>
      <c r="B58" s="12" t="n"/>
      <c r="C58" s="12" t="n"/>
      <c r="D58" s="12" t="n"/>
      <c r="E58" s="12" t="n"/>
      <c r="F58" s="12" t="n"/>
      <c r="G58" s="16" t="n"/>
      <c r="H58" s="12" t="n"/>
      <c r="I58" s="12" t="n"/>
      <c r="J58" s="12" t="n"/>
      <c r="K58" s="12" t="n"/>
      <c r="L58" s="12" t="n"/>
      <c r="M58" s="12">
        <f>IF(B58="","",IF(L58="Accepted","Accepted",IF(L58="Rejected","Rejected",IF(J58="Yes","Awaiting Inspection",IF(I58="Yes","Snug-Tight","Pending")))))</f>
        <v/>
      </c>
      <c r="N58" s="12" t="n"/>
      <c r="O58" s="12" t="n"/>
    </row>
    <row r="59">
      <c r="A59" s="14" t="n"/>
      <c r="B59" s="12" t="n"/>
      <c r="C59" s="12" t="n"/>
      <c r="D59" s="12" t="n"/>
      <c r="E59" s="12" t="n"/>
      <c r="F59" s="12" t="n"/>
      <c r="G59" s="16" t="n"/>
      <c r="H59" s="12" t="n"/>
      <c r="I59" s="12" t="n"/>
      <c r="J59" s="12" t="n"/>
      <c r="K59" s="12" t="n"/>
      <c r="L59" s="12" t="n"/>
      <c r="M59" s="12">
        <f>IF(B59="","",IF(L59="Accepted","Accepted",IF(L59="Rejected","Rejected",IF(J59="Yes","Awaiting Inspection",IF(I59="Yes","Snug-Tight","Pending")))))</f>
        <v/>
      </c>
      <c r="N59" s="12" t="n"/>
      <c r="O59" s="12" t="n"/>
    </row>
    <row r="60">
      <c r="A60" s="14" t="n"/>
      <c r="B60" s="12" t="n"/>
      <c r="C60" s="12" t="n"/>
      <c r="D60" s="12" t="n"/>
      <c r="E60" s="12" t="n"/>
      <c r="F60" s="12" t="n"/>
      <c r="G60" s="16" t="n"/>
      <c r="H60" s="12" t="n"/>
      <c r="I60" s="12" t="n"/>
      <c r="J60" s="12" t="n"/>
      <c r="K60" s="12" t="n"/>
      <c r="L60" s="12" t="n"/>
      <c r="M60" s="12">
        <f>IF(B60="","",IF(L60="Accepted","Accepted",IF(L60="Rejected","Rejected",IF(J60="Yes","Awaiting Inspection",IF(I60="Yes","Snug-Tight","Pending")))))</f>
        <v/>
      </c>
      <c r="N60" s="12" t="n"/>
      <c r="O60" s="12" t="n"/>
    </row>
    <row r="61">
      <c r="A61" s="14" t="n"/>
      <c r="B61" s="12" t="n"/>
      <c r="C61" s="12" t="n"/>
      <c r="D61" s="12" t="n"/>
      <c r="E61" s="12" t="n"/>
      <c r="F61" s="12" t="n"/>
      <c r="G61" s="16" t="n"/>
      <c r="H61" s="12" t="n"/>
      <c r="I61" s="12" t="n"/>
      <c r="J61" s="12" t="n"/>
      <c r="K61" s="12" t="n"/>
      <c r="L61" s="12" t="n"/>
      <c r="M61" s="12">
        <f>IF(B61="","",IF(L61="Accepted","Accepted",IF(L61="Rejected","Rejected",IF(J61="Yes","Awaiting Inspection",IF(I61="Yes","Snug-Tight","Pending")))))</f>
        <v/>
      </c>
      <c r="N61" s="12" t="n"/>
      <c r="O61" s="12" t="n"/>
    </row>
    <row r="62">
      <c r="A62" s="14" t="n"/>
      <c r="B62" s="12" t="n"/>
      <c r="C62" s="12" t="n"/>
      <c r="D62" s="12" t="n"/>
      <c r="E62" s="12" t="n"/>
      <c r="F62" s="12" t="n"/>
      <c r="G62" s="16" t="n"/>
      <c r="H62" s="12" t="n"/>
      <c r="I62" s="12" t="n"/>
      <c r="J62" s="12" t="n"/>
      <c r="K62" s="12" t="n"/>
      <c r="L62" s="12" t="n"/>
      <c r="M62" s="12">
        <f>IF(B62="","",IF(L62="Accepted","Accepted",IF(L62="Rejected","Rejected",IF(J62="Yes","Awaiting Inspection",IF(I62="Yes","Snug-Tight","Pending")))))</f>
        <v/>
      </c>
      <c r="N62" s="12" t="n"/>
      <c r="O62" s="12" t="n"/>
    </row>
    <row r="63">
      <c r="A63" s="14" t="n"/>
      <c r="B63" s="12" t="n"/>
      <c r="C63" s="12" t="n"/>
      <c r="D63" s="12" t="n"/>
      <c r="E63" s="12" t="n"/>
      <c r="F63" s="12" t="n"/>
      <c r="G63" s="16" t="n"/>
      <c r="H63" s="12" t="n"/>
      <c r="I63" s="12" t="n"/>
      <c r="J63" s="12" t="n"/>
      <c r="K63" s="12" t="n"/>
      <c r="L63" s="12" t="n"/>
      <c r="M63" s="12">
        <f>IF(B63="","",IF(L63="Accepted","Accepted",IF(L63="Rejected","Rejected",IF(J63="Yes","Awaiting Inspection",IF(I63="Yes","Snug-Tight","Pending")))))</f>
        <v/>
      </c>
      <c r="N63" s="12" t="n"/>
      <c r="O63" s="12" t="n"/>
    </row>
    <row r="64">
      <c r="A64" s="14" t="n"/>
      <c r="B64" s="12" t="n"/>
      <c r="C64" s="12" t="n"/>
      <c r="D64" s="12" t="n"/>
      <c r="E64" s="12" t="n"/>
      <c r="F64" s="12" t="n"/>
      <c r="G64" s="16" t="n"/>
      <c r="H64" s="12" t="n"/>
      <c r="I64" s="12" t="n"/>
      <c r="J64" s="12" t="n"/>
      <c r="K64" s="12" t="n"/>
      <c r="L64" s="12" t="n"/>
      <c r="M64" s="12">
        <f>IF(B64="","",IF(L64="Accepted","Accepted",IF(L64="Rejected","Rejected",IF(J64="Yes","Awaiting Inspection",IF(I64="Yes","Snug-Tight","Pending")))))</f>
        <v/>
      </c>
      <c r="N64" s="12" t="n"/>
      <c r="O64" s="12" t="n"/>
    </row>
    <row r="65">
      <c r="A65" s="14" t="n"/>
      <c r="B65" s="12" t="n"/>
      <c r="C65" s="12" t="n"/>
      <c r="D65" s="12" t="n"/>
      <c r="E65" s="12" t="n"/>
      <c r="F65" s="12" t="n"/>
      <c r="G65" s="16" t="n"/>
      <c r="H65" s="12" t="n"/>
      <c r="I65" s="12" t="n"/>
      <c r="J65" s="12" t="n"/>
      <c r="K65" s="12" t="n"/>
      <c r="L65" s="12" t="n"/>
      <c r="M65" s="12">
        <f>IF(B65="","",IF(L65="Accepted","Accepted",IF(L65="Rejected","Rejected",IF(J65="Yes","Awaiting Inspection",IF(I65="Yes","Snug-Tight","Pending")))))</f>
        <v/>
      </c>
      <c r="N65" s="12" t="n"/>
      <c r="O65" s="12" t="n"/>
    </row>
    <row r="66">
      <c r="A66" s="14" t="n"/>
      <c r="B66" s="12" t="n"/>
      <c r="C66" s="12" t="n"/>
      <c r="D66" s="12" t="n"/>
      <c r="E66" s="12" t="n"/>
      <c r="F66" s="12" t="n"/>
      <c r="G66" s="16" t="n"/>
      <c r="H66" s="12" t="n"/>
      <c r="I66" s="12" t="n"/>
      <c r="J66" s="12" t="n"/>
      <c r="K66" s="12" t="n"/>
      <c r="L66" s="12" t="n"/>
      <c r="M66" s="12">
        <f>IF(B66="","",IF(L66="Accepted","Accepted",IF(L66="Rejected","Rejected",IF(J66="Yes","Awaiting Inspection",IF(I66="Yes","Snug-Tight","Pending")))))</f>
        <v/>
      </c>
      <c r="N66" s="12" t="n"/>
      <c r="O66" s="12" t="n"/>
    </row>
    <row r="67">
      <c r="A67" s="14" t="n"/>
      <c r="B67" s="12" t="n"/>
      <c r="C67" s="12" t="n"/>
      <c r="D67" s="12" t="n"/>
      <c r="E67" s="12" t="n"/>
      <c r="F67" s="12" t="n"/>
      <c r="G67" s="16" t="n"/>
      <c r="H67" s="12" t="n"/>
      <c r="I67" s="12" t="n"/>
      <c r="J67" s="12" t="n"/>
      <c r="K67" s="12" t="n"/>
      <c r="L67" s="12" t="n"/>
      <c r="M67" s="12">
        <f>IF(B67="","",IF(L67="Accepted","Accepted",IF(L67="Rejected","Rejected",IF(J67="Yes","Awaiting Inspection",IF(I67="Yes","Snug-Tight","Pending")))))</f>
        <v/>
      </c>
      <c r="N67" s="12" t="n"/>
      <c r="O67" s="12" t="n"/>
    </row>
    <row r="68">
      <c r="A68" s="14" t="n"/>
      <c r="B68" s="12" t="n"/>
      <c r="C68" s="12" t="n"/>
      <c r="D68" s="12" t="n"/>
      <c r="E68" s="12" t="n"/>
      <c r="F68" s="12" t="n"/>
      <c r="G68" s="16" t="n"/>
      <c r="H68" s="12" t="n"/>
      <c r="I68" s="12" t="n"/>
      <c r="J68" s="12" t="n"/>
      <c r="K68" s="12" t="n"/>
      <c r="L68" s="12" t="n"/>
      <c r="M68" s="12">
        <f>IF(B68="","",IF(L68="Accepted","Accepted",IF(L68="Rejected","Rejected",IF(J68="Yes","Awaiting Inspection",IF(I68="Yes","Snug-Tight","Pending")))))</f>
        <v/>
      </c>
      <c r="N68" s="12" t="n"/>
      <c r="O68" s="12" t="n"/>
    </row>
    <row r="69">
      <c r="A69" s="14" t="n"/>
      <c r="B69" s="12" t="n"/>
      <c r="C69" s="12" t="n"/>
      <c r="D69" s="12" t="n"/>
      <c r="E69" s="12" t="n"/>
      <c r="F69" s="12" t="n"/>
      <c r="G69" s="16" t="n"/>
      <c r="H69" s="12" t="n"/>
      <c r="I69" s="12" t="n"/>
      <c r="J69" s="12" t="n"/>
      <c r="K69" s="12" t="n"/>
      <c r="L69" s="12" t="n"/>
      <c r="M69" s="12">
        <f>IF(B69="","",IF(L69="Accepted","Accepted",IF(L69="Rejected","Rejected",IF(J69="Yes","Awaiting Inspection",IF(I69="Yes","Snug-Tight","Pending")))))</f>
        <v/>
      </c>
      <c r="N69" s="12" t="n"/>
      <c r="O69" s="12" t="n"/>
    </row>
    <row r="70">
      <c r="A70" s="14" t="n"/>
      <c r="B70" s="12" t="n"/>
      <c r="C70" s="12" t="n"/>
      <c r="D70" s="12" t="n"/>
      <c r="E70" s="12" t="n"/>
      <c r="F70" s="12" t="n"/>
      <c r="G70" s="16" t="n"/>
      <c r="H70" s="12" t="n"/>
      <c r="I70" s="12" t="n"/>
      <c r="J70" s="12" t="n"/>
      <c r="K70" s="12" t="n"/>
      <c r="L70" s="12" t="n"/>
      <c r="M70" s="12">
        <f>IF(B70="","",IF(L70="Accepted","Accepted",IF(L70="Rejected","Rejected",IF(J70="Yes","Awaiting Inspection",IF(I70="Yes","Snug-Tight","Pending")))))</f>
        <v/>
      </c>
      <c r="N70" s="12" t="n"/>
      <c r="O70" s="12" t="n"/>
    </row>
    <row r="71">
      <c r="A71" s="14" t="n"/>
      <c r="B71" s="12" t="n"/>
      <c r="C71" s="12" t="n"/>
      <c r="D71" s="12" t="n"/>
      <c r="E71" s="12" t="n"/>
      <c r="F71" s="12" t="n"/>
      <c r="G71" s="16" t="n"/>
      <c r="H71" s="12" t="n"/>
      <c r="I71" s="12" t="n"/>
      <c r="J71" s="12" t="n"/>
      <c r="K71" s="12" t="n"/>
      <c r="L71" s="12" t="n"/>
      <c r="M71" s="12">
        <f>IF(B71="","",IF(L71="Accepted","Accepted",IF(L71="Rejected","Rejected",IF(J71="Yes","Awaiting Inspection",IF(I71="Yes","Snug-Tight","Pending")))))</f>
        <v/>
      </c>
      <c r="N71" s="12" t="n"/>
      <c r="O71" s="12" t="n"/>
    </row>
    <row r="72">
      <c r="A72" s="14" t="n"/>
      <c r="B72" s="12" t="n"/>
      <c r="C72" s="12" t="n"/>
      <c r="D72" s="12" t="n"/>
      <c r="E72" s="12" t="n"/>
      <c r="F72" s="12" t="n"/>
      <c r="G72" s="16" t="n"/>
      <c r="H72" s="12" t="n"/>
      <c r="I72" s="12" t="n"/>
      <c r="J72" s="12" t="n"/>
      <c r="K72" s="12" t="n"/>
      <c r="L72" s="12" t="n"/>
      <c r="M72" s="12">
        <f>IF(B72="","",IF(L72="Accepted","Accepted",IF(L72="Rejected","Rejected",IF(J72="Yes","Awaiting Inspection",IF(I72="Yes","Snug-Tight","Pending")))))</f>
        <v/>
      </c>
      <c r="N72" s="12" t="n"/>
      <c r="O72" s="12" t="n"/>
    </row>
    <row r="73">
      <c r="A73" s="14" t="n"/>
      <c r="B73" s="12" t="n"/>
      <c r="C73" s="12" t="n"/>
      <c r="D73" s="12" t="n"/>
      <c r="E73" s="12" t="n"/>
      <c r="F73" s="12" t="n"/>
      <c r="G73" s="16" t="n"/>
      <c r="H73" s="12" t="n"/>
      <c r="I73" s="12" t="n"/>
      <c r="J73" s="12" t="n"/>
      <c r="K73" s="12" t="n"/>
      <c r="L73" s="12" t="n"/>
      <c r="M73" s="12">
        <f>IF(B73="","",IF(L73="Accepted","Accepted",IF(L73="Rejected","Rejected",IF(J73="Yes","Awaiting Inspection",IF(I73="Yes","Snug-Tight","Pending")))))</f>
        <v/>
      </c>
      <c r="N73" s="12" t="n"/>
      <c r="O73" s="12" t="n"/>
    </row>
    <row r="74">
      <c r="A74" s="14" t="n"/>
      <c r="B74" s="12" t="n"/>
      <c r="C74" s="12" t="n"/>
      <c r="D74" s="12" t="n"/>
      <c r="E74" s="12" t="n"/>
      <c r="F74" s="12" t="n"/>
      <c r="G74" s="16" t="n"/>
      <c r="H74" s="12" t="n"/>
      <c r="I74" s="12" t="n"/>
      <c r="J74" s="12" t="n"/>
      <c r="K74" s="12" t="n"/>
      <c r="L74" s="12" t="n"/>
      <c r="M74" s="12">
        <f>IF(B74="","",IF(L74="Accepted","Accepted",IF(L74="Rejected","Rejected",IF(J74="Yes","Awaiting Inspection",IF(I74="Yes","Snug-Tight","Pending")))))</f>
        <v/>
      </c>
      <c r="N74" s="12" t="n"/>
      <c r="O74" s="12" t="n"/>
    </row>
    <row r="75">
      <c r="A75" s="14" t="n"/>
      <c r="B75" s="12" t="n"/>
      <c r="C75" s="12" t="n"/>
      <c r="D75" s="12" t="n"/>
      <c r="E75" s="12" t="n"/>
      <c r="F75" s="12" t="n"/>
      <c r="G75" s="16" t="n"/>
      <c r="H75" s="12" t="n"/>
      <c r="I75" s="12" t="n"/>
      <c r="J75" s="12" t="n"/>
      <c r="K75" s="12" t="n"/>
      <c r="L75" s="12" t="n"/>
      <c r="M75" s="12">
        <f>IF(B75="","",IF(L75="Accepted","Accepted",IF(L75="Rejected","Rejected",IF(J75="Yes","Awaiting Inspection",IF(I75="Yes","Snug-Tight","Pending")))))</f>
        <v/>
      </c>
      <c r="N75" s="12" t="n"/>
      <c r="O75" s="12" t="n"/>
    </row>
    <row r="76">
      <c r="A76" s="14" t="n"/>
      <c r="B76" s="12" t="n"/>
      <c r="C76" s="12" t="n"/>
      <c r="D76" s="12" t="n"/>
      <c r="E76" s="12" t="n"/>
      <c r="F76" s="12" t="n"/>
      <c r="G76" s="16" t="n"/>
      <c r="H76" s="12" t="n"/>
      <c r="I76" s="12" t="n"/>
      <c r="J76" s="12" t="n"/>
      <c r="K76" s="12" t="n"/>
      <c r="L76" s="12" t="n"/>
      <c r="M76" s="12">
        <f>IF(B76="","",IF(L76="Accepted","Accepted",IF(L76="Rejected","Rejected",IF(J76="Yes","Awaiting Inspection",IF(I76="Yes","Snug-Tight","Pending")))))</f>
        <v/>
      </c>
      <c r="N76" s="12" t="n"/>
      <c r="O76" s="12" t="n"/>
    </row>
    <row r="77">
      <c r="A77" s="14" t="n"/>
      <c r="B77" s="12" t="n"/>
      <c r="C77" s="12" t="n"/>
      <c r="D77" s="12" t="n"/>
      <c r="E77" s="12" t="n"/>
      <c r="F77" s="12" t="n"/>
      <c r="G77" s="16" t="n"/>
      <c r="H77" s="12" t="n"/>
      <c r="I77" s="12" t="n"/>
      <c r="J77" s="12" t="n"/>
      <c r="K77" s="12" t="n"/>
      <c r="L77" s="12" t="n"/>
      <c r="M77" s="12">
        <f>IF(B77="","",IF(L77="Accepted","Accepted",IF(L77="Rejected","Rejected",IF(J77="Yes","Awaiting Inspection",IF(I77="Yes","Snug-Tight","Pending")))))</f>
        <v/>
      </c>
      <c r="N77" s="12" t="n"/>
      <c r="O77" s="12" t="n"/>
    </row>
    <row r="78">
      <c r="A78" s="14" t="n"/>
      <c r="B78" s="12" t="n"/>
      <c r="C78" s="12" t="n"/>
      <c r="D78" s="12" t="n"/>
      <c r="E78" s="12" t="n"/>
      <c r="F78" s="12" t="n"/>
      <c r="G78" s="16" t="n"/>
      <c r="H78" s="12" t="n"/>
      <c r="I78" s="12" t="n"/>
      <c r="J78" s="12" t="n"/>
      <c r="K78" s="12" t="n"/>
      <c r="L78" s="12" t="n"/>
      <c r="M78" s="12">
        <f>IF(B78="","",IF(L78="Accepted","Accepted",IF(L78="Rejected","Rejected",IF(J78="Yes","Awaiting Inspection",IF(I78="Yes","Snug-Tight","Pending")))))</f>
        <v/>
      </c>
      <c r="N78" s="12" t="n"/>
      <c r="O78" s="12" t="n"/>
    </row>
    <row r="79">
      <c r="A79" s="14" t="n"/>
      <c r="B79" s="12" t="n"/>
      <c r="C79" s="12" t="n"/>
      <c r="D79" s="12" t="n"/>
      <c r="E79" s="12" t="n"/>
      <c r="F79" s="12" t="n"/>
      <c r="G79" s="16" t="n"/>
      <c r="H79" s="12" t="n"/>
      <c r="I79" s="12" t="n"/>
      <c r="J79" s="12" t="n"/>
      <c r="K79" s="12" t="n"/>
      <c r="L79" s="12" t="n"/>
      <c r="M79" s="12">
        <f>IF(B79="","",IF(L79="Accepted","Accepted",IF(L79="Rejected","Rejected",IF(J79="Yes","Awaiting Inspection",IF(I79="Yes","Snug-Tight","Pending")))))</f>
        <v/>
      </c>
      <c r="N79" s="12" t="n"/>
      <c r="O79" s="12" t="n"/>
    </row>
    <row r="80">
      <c r="A80" s="14" t="n"/>
      <c r="B80" s="12" t="n"/>
      <c r="C80" s="12" t="n"/>
      <c r="D80" s="12" t="n"/>
      <c r="E80" s="12" t="n"/>
      <c r="F80" s="12" t="n"/>
      <c r="G80" s="16" t="n"/>
      <c r="H80" s="12" t="n"/>
      <c r="I80" s="12" t="n"/>
      <c r="J80" s="12" t="n"/>
      <c r="K80" s="12" t="n"/>
      <c r="L80" s="12" t="n"/>
      <c r="M80" s="12">
        <f>IF(B80="","",IF(L80="Accepted","Accepted",IF(L80="Rejected","Rejected",IF(J80="Yes","Awaiting Inspection",IF(I80="Yes","Snug-Tight","Pending")))))</f>
        <v/>
      </c>
      <c r="N80" s="12" t="n"/>
      <c r="O80" s="12" t="n"/>
    </row>
    <row r="81">
      <c r="A81" s="14" t="n"/>
      <c r="B81" s="12" t="n"/>
      <c r="C81" s="12" t="n"/>
      <c r="D81" s="12" t="n"/>
      <c r="E81" s="12" t="n"/>
      <c r="F81" s="12" t="n"/>
      <c r="G81" s="16" t="n"/>
      <c r="H81" s="12" t="n"/>
      <c r="I81" s="12" t="n"/>
      <c r="J81" s="12" t="n"/>
      <c r="K81" s="12" t="n"/>
      <c r="L81" s="12" t="n"/>
      <c r="M81" s="12">
        <f>IF(B81="","",IF(L81="Accepted","Accepted",IF(L81="Rejected","Rejected",IF(J81="Yes","Awaiting Inspection",IF(I81="Yes","Snug-Tight","Pending")))))</f>
        <v/>
      </c>
      <c r="N81" s="12" t="n"/>
      <c r="O81" s="12" t="n"/>
    </row>
    <row r="82">
      <c r="A82" s="14" t="n"/>
      <c r="B82" s="12" t="n"/>
      <c r="C82" s="12" t="n"/>
      <c r="D82" s="12" t="n"/>
      <c r="E82" s="12" t="n"/>
      <c r="F82" s="12" t="n"/>
      <c r="G82" s="16" t="n"/>
      <c r="H82" s="12" t="n"/>
      <c r="I82" s="12" t="n"/>
      <c r="J82" s="12" t="n"/>
      <c r="K82" s="12" t="n"/>
      <c r="L82" s="12" t="n"/>
      <c r="M82" s="12">
        <f>IF(B82="","",IF(L82="Accepted","Accepted",IF(L82="Rejected","Rejected",IF(J82="Yes","Awaiting Inspection",IF(I82="Yes","Snug-Tight","Pending")))))</f>
        <v/>
      </c>
      <c r="N82" s="12" t="n"/>
      <c r="O82" s="12" t="n"/>
    </row>
    <row r="83">
      <c r="A83" s="14" t="n"/>
      <c r="B83" s="12" t="n"/>
      <c r="C83" s="12" t="n"/>
      <c r="D83" s="12" t="n"/>
      <c r="E83" s="12" t="n"/>
      <c r="F83" s="12" t="n"/>
      <c r="G83" s="16" t="n"/>
      <c r="H83" s="12" t="n"/>
      <c r="I83" s="12" t="n"/>
      <c r="J83" s="12" t="n"/>
      <c r="K83" s="12" t="n"/>
      <c r="L83" s="12" t="n"/>
      <c r="M83" s="12">
        <f>IF(B83="","",IF(L83="Accepted","Accepted",IF(L83="Rejected","Rejected",IF(J83="Yes","Awaiting Inspection",IF(I83="Yes","Snug-Tight","Pending")))))</f>
        <v/>
      </c>
      <c r="N83" s="12" t="n"/>
      <c r="O83" s="12" t="n"/>
    </row>
    <row r="84">
      <c r="A84" s="14" t="n"/>
      <c r="B84" s="12" t="n"/>
      <c r="C84" s="12" t="n"/>
      <c r="D84" s="12" t="n"/>
      <c r="E84" s="12" t="n"/>
      <c r="F84" s="12" t="n"/>
      <c r="G84" s="16" t="n"/>
      <c r="H84" s="12" t="n"/>
      <c r="I84" s="12" t="n"/>
      <c r="J84" s="12" t="n"/>
      <c r="K84" s="12" t="n"/>
      <c r="L84" s="12" t="n"/>
      <c r="M84" s="12">
        <f>IF(B84="","",IF(L84="Accepted","Accepted",IF(L84="Rejected","Rejected",IF(J84="Yes","Awaiting Inspection",IF(I84="Yes","Snug-Tight","Pending")))))</f>
        <v/>
      </c>
      <c r="N84" s="12" t="n"/>
      <c r="O84" s="12" t="n"/>
    </row>
    <row r="85">
      <c r="A85" s="14" t="n"/>
      <c r="B85" s="12" t="n"/>
      <c r="C85" s="12" t="n"/>
      <c r="D85" s="12" t="n"/>
      <c r="E85" s="12" t="n"/>
      <c r="F85" s="12" t="n"/>
      <c r="G85" s="16" t="n"/>
      <c r="H85" s="12" t="n"/>
      <c r="I85" s="12" t="n"/>
      <c r="J85" s="12" t="n"/>
      <c r="K85" s="12" t="n"/>
      <c r="L85" s="12" t="n"/>
      <c r="M85" s="12">
        <f>IF(B85="","",IF(L85="Accepted","Accepted",IF(L85="Rejected","Rejected",IF(J85="Yes","Awaiting Inspection",IF(I85="Yes","Snug-Tight","Pending")))))</f>
        <v/>
      </c>
      <c r="N85" s="12" t="n"/>
      <c r="O85" s="12" t="n"/>
    </row>
    <row r="86">
      <c r="A86" s="14" t="n"/>
      <c r="B86" s="12" t="n"/>
      <c r="C86" s="12" t="n"/>
      <c r="D86" s="12" t="n"/>
      <c r="E86" s="12" t="n"/>
      <c r="F86" s="12" t="n"/>
      <c r="G86" s="16" t="n"/>
      <c r="H86" s="12" t="n"/>
      <c r="I86" s="12" t="n"/>
      <c r="J86" s="12" t="n"/>
      <c r="K86" s="12" t="n"/>
      <c r="L86" s="12" t="n"/>
      <c r="M86" s="12">
        <f>IF(B86="","",IF(L86="Accepted","Accepted",IF(L86="Rejected","Rejected",IF(J86="Yes","Awaiting Inspection",IF(I86="Yes","Snug-Tight","Pending")))))</f>
        <v/>
      </c>
      <c r="N86" s="12" t="n"/>
      <c r="O86" s="12" t="n"/>
    </row>
    <row r="87">
      <c r="A87" s="14" t="n"/>
      <c r="B87" s="12" t="n"/>
      <c r="C87" s="12" t="n"/>
      <c r="D87" s="12" t="n"/>
      <c r="E87" s="12" t="n"/>
      <c r="F87" s="12" t="n"/>
      <c r="G87" s="16" t="n"/>
      <c r="H87" s="12" t="n"/>
      <c r="I87" s="12" t="n"/>
      <c r="J87" s="12" t="n"/>
      <c r="K87" s="12" t="n"/>
      <c r="L87" s="12" t="n"/>
      <c r="M87" s="12">
        <f>IF(B87="","",IF(L87="Accepted","Accepted",IF(L87="Rejected","Rejected",IF(J87="Yes","Awaiting Inspection",IF(I87="Yes","Snug-Tight","Pending")))))</f>
        <v/>
      </c>
      <c r="N87" s="12" t="n"/>
      <c r="O87" s="12" t="n"/>
    </row>
    <row r="88">
      <c r="A88" s="14" t="n"/>
      <c r="B88" s="12" t="n"/>
      <c r="C88" s="12" t="n"/>
      <c r="D88" s="12" t="n"/>
      <c r="E88" s="12" t="n"/>
      <c r="F88" s="12" t="n"/>
      <c r="G88" s="16" t="n"/>
      <c r="H88" s="12" t="n"/>
      <c r="I88" s="12" t="n"/>
      <c r="J88" s="12" t="n"/>
      <c r="K88" s="12" t="n"/>
      <c r="L88" s="12" t="n"/>
      <c r="M88" s="12">
        <f>IF(B88="","",IF(L88="Accepted","Accepted",IF(L88="Rejected","Rejected",IF(J88="Yes","Awaiting Inspection",IF(I88="Yes","Snug-Tight","Pending")))))</f>
        <v/>
      </c>
      <c r="N88" s="12" t="n"/>
      <c r="O88" s="12" t="n"/>
    </row>
    <row r="89">
      <c r="A89" s="14" t="n"/>
      <c r="B89" s="12" t="n"/>
      <c r="C89" s="12" t="n"/>
      <c r="D89" s="12" t="n"/>
      <c r="E89" s="12" t="n"/>
      <c r="F89" s="12" t="n"/>
      <c r="G89" s="16" t="n"/>
      <c r="H89" s="12" t="n"/>
      <c r="I89" s="12" t="n"/>
      <c r="J89" s="12" t="n"/>
      <c r="K89" s="12" t="n"/>
      <c r="L89" s="12" t="n"/>
      <c r="M89" s="12">
        <f>IF(B89="","",IF(L89="Accepted","Accepted",IF(L89="Rejected","Rejected",IF(J89="Yes","Awaiting Inspection",IF(I89="Yes","Snug-Tight","Pending")))))</f>
        <v/>
      </c>
      <c r="N89" s="12" t="n"/>
      <c r="O89" s="12" t="n"/>
    </row>
    <row r="90">
      <c r="A90" s="14" t="n"/>
      <c r="B90" s="12" t="n"/>
      <c r="C90" s="12" t="n"/>
      <c r="D90" s="12" t="n"/>
      <c r="E90" s="12" t="n"/>
      <c r="F90" s="12" t="n"/>
      <c r="G90" s="16" t="n"/>
      <c r="H90" s="12" t="n"/>
      <c r="I90" s="12" t="n"/>
      <c r="J90" s="12" t="n"/>
      <c r="K90" s="12" t="n"/>
      <c r="L90" s="12" t="n"/>
      <c r="M90" s="12">
        <f>IF(B90="","",IF(L90="Accepted","Accepted",IF(L90="Rejected","Rejected",IF(J90="Yes","Awaiting Inspection",IF(I90="Yes","Snug-Tight","Pending")))))</f>
        <v/>
      </c>
      <c r="N90" s="12" t="n"/>
      <c r="O90" s="12" t="n"/>
    </row>
    <row r="91">
      <c r="A91" s="14" t="n"/>
      <c r="B91" s="12" t="n"/>
      <c r="C91" s="12" t="n"/>
      <c r="D91" s="12" t="n"/>
      <c r="E91" s="12" t="n"/>
      <c r="F91" s="12" t="n"/>
      <c r="G91" s="16" t="n"/>
      <c r="H91" s="12" t="n"/>
      <c r="I91" s="12" t="n"/>
      <c r="J91" s="12" t="n"/>
      <c r="K91" s="12" t="n"/>
      <c r="L91" s="12" t="n"/>
      <c r="M91" s="12">
        <f>IF(B91="","",IF(L91="Accepted","Accepted",IF(L91="Rejected","Rejected",IF(J91="Yes","Awaiting Inspection",IF(I91="Yes","Snug-Tight","Pending")))))</f>
        <v/>
      </c>
      <c r="N91" s="12" t="n"/>
      <c r="O91" s="12" t="n"/>
    </row>
    <row r="92">
      <c r="A92" s="14" t="n"/>
      <c r="B92" s="12" t="n"/>
      <c r="C92" s="12" t="n"/>
      <c r="D92" s="12" t="n"/>
      <c r="E92" s="12" t="n"/>
      <c r="F92" s="12" t="n"/>
      <c r="G92" s="16" t="n"/>
      <c r="H92" s="12" t="n"/>
      <c r="I92" s="12" t="n"/>
      <c r="J92" s="12" t="n"/>
      <c r="K92" s="12" t="n"/>
      <c r="L92" s="12" t="n"/>
      <c r="M92" s="12">
        <f>IF(B92="","",IF(L92="Accepted","Accepted",IF(L92="Rejected","Rejected",IF(J92="Yes","Awaiting Inspection",IF(I92="Yes","Snug-Tight","Pending")))))</f>
        <v/>
      </c>
      <c r="N92" s="12" t="n"/>
      <c r="O92" s="12" t="n"/>
    </row>
    <row r="93">
      <c r="A93" s="14" t="n"/>
      <c r="B93" s="12" t="n"/>
      <c r="C93" s="12" t="n"/>
      <c r="D93" s="12" t="n"/>
      <c r="E93" s="12" t="n"/>
      <c r="F93" s="12" t="n"/>
      <c r="G93" s="16" t="n"/>
      <c r="H93" s="12" t="n"/>
      <c r="I93" s="12" t="n"/>
      <c r="J93" s="12" t="n"/>
      <c r="K93" s="12" t="n"/>
      <c r="L93" s="12" t="n"/>
      <c r="M93" s="12">
        <f>IF(B93="","",IF(L93="Accepted","Accepted",IF(L93="Rejected","Rejected",IF(J93="Yes","Awaiting Inspection",IF(I93="Yes","Snug-Tight","Pending")))))</f>
        <v/>
      </c>
      <c r="N93" s="12" t="n"/>
      <c r="O93" s="12" t="n"/>
    </row>
    <row r="94">
      <c r="A94" s="14" t="n"/>
      <c r="B94" s="12" t="n"/>
      <c r="C94" s="12" t="n"/>
      <c r="D94" s="12" t="n"/>
      <c r="E94" s="12" t="n"/>
      <c r="F94" s="12" t="n"/>
      <c r="G94" s="16" t="n"/>
      <c r="H94" s="12" t="n"/>
      <c r="I94" s="12" t="n"/>
      <c r="J94" s="12" t="n"/>
      <c r="K94" s="12" t="n"/>
      <c r="L94" s="12" t="n"/>
      <c r="M94" s="12">
        <f>IF(B94="","",IF(L94="Accepted","Accepted",IF(L94="Rejected","Rejected",IF(J94="Yes","Awaiting Inspection",IF(I94="Yes","Snug-Tight","Pending")))))</f>
        <v/>
      </c>
      <c r="N94" s="12" t="n"/>
      <c r="O94" s="12" t="n"/>
    </row>
    <row r="95">
      <c r="A95" s="14" t="n"/>
      <c r="B95" s="12" t="n"/>
      <c r="C95" s="12" t="n"/>
      <c r="D95" s="12" t="n"/>
      <c r="E95" s="12" t="n"/>
      <c r="F95" s="12" t="n"/>
      <c r="G95" s="16" t="n"/>
      <c r="H95" s="12" t="n"/>
      <c r="I95" s="12" t="n"/>
      <c r="J95" s="12" t="n"/>
      <c r="K95" s="12" t="n"/>
      <c r="L95" s="12" t="n"/>
      <c r="M95" s="12">
        <f>IF(B95="","",IF(L95="Accepted","Accepted",IF(L95="Rejected","Rejected",IF(J95="Yes","Awaiting Inspection",IF(I95="Yes","Snug-Tight","Pending")))))</f>
        <v/>
      </c>
      <c r="N95" s="12" t="n"/>
      <c r="O95" s="12" t="n"/>
    </row>
    <row r="96">
      <c r="A96" s="14" t="n"/>
      <c r="B96" s="12" t="n"/>
      <c r="C96" s="12" t="n"/>
      <c r="D96" s="12" t="n"/>
      <c r="E96" s="12" t="n"/>
      <c r="F96" s="12" t="n"/>
      <c r="G96" s="16" t="n"/>
      <c r="H96" s="12" t="n"/>
      <c r="I96" s="12" t="n"/>
      <c r="J96" s="12" t="n"/>
      <c r="K96" s="12" t="n"/>
      <c r="L96" s="12" t="n"/>
      <c r="M96" s="12">
        <f>IF(B96="","",IF(L96="Accepted","Accepted",IF(L96="Rejected","Rejected",IF(J96="Yes","Awaiting Inspection",IF(I96="Yes","Snug-Tight","Pending")))))</f>
        <v/>
      </c>
      <c r="N96" s="12" t="n"/>
      <c r="O96" s="12" t="n"/>
    </row>
    <row r="97">
      <c r="A97" s="14" t="n"/>
      <c r="B97" s="12" t="n"/>
      <c r="C97" s="12" t="n"/>
      <c r="D97" s="12" t="n"/>
      <c r="E97" s="12" t="n"/>
      <c r="F97" s="12" t="n"/>
      <c r="G97" s="16" t="n"/>
      <c r="H97" s="12" t="n"/>
      <c r="I97" s="12" t="n"/>
      <c r="J97" s="12" t="n"/>
      <c r="K97" s="12" t="n"/>
      <c r="L97" s="12" t="n"/>
      <c r="M97" s="12">
        <f>IF(B97="","",IF(L97="Accepted","Accepted",IF(L97="Rejected","Rejected",IF(J97="Yes","Awaiting Inspection",IF(I97="Yes","Snug-Tight","Pending")))))</f>
        <v/>
      </c>
      <c r="N97" s="12" t="n"/>
      <c r="O97" s="12" t="n"/>
    </row>
    <row r="98">
      <c r="A98" s="14" t="n"/>
      <c r="B98" s="12" t="n"/>
      <c r="C98" s="12" t="n"/>
      <c r="D98" s="12" t="n"/>
      <c r="E98" s="12" t="n"/>
      <c r="F98" s="12" t="n"/>
      <c r="G98" s="16" t="n"/>
      <c r="H98" s="12" t="n"/>
      <c r="I98" s="12" t="n"/>
      <c r="J98" s="12" t="n"/>
      <c r="K98" s="12" t="n"/>
      <c r="L98" s="12" t="n"/>
      <c r="M98" s="12">
        <f>IF(B98="","",IF(L98="Accepted","Accepted",IF(L98="Rejected","Rejected",IF(J98="Yes","Awaiting Inspection",IF(I98="Yes","Snug-Tight","Pending")))))</f>
        <v/>
      </c>
      <c r="N98" s="12" t="n"/>
      <c r="O98" s="12" t="n"/>
    </row>
    <row r="99">
      <c r="A99" s="14" t="n"/>
      <c r="B99" s="12" t="n"/>
      <c r="C99" s="12" t="n"/>
      <c r="D99" s="12" t="n"/>
      <c r="E99" s="12" t="n"/>
      <c r="F99" s="12" t="n"/>
      <c r="G99" s="16" t="n"/>
      <c r="H99" s="12" t="n"/>
      <c r="I99" s="12" t="n"/>
      <c r="J99" s="12" t="n"/>
      <c r="K99" s="12" t="n"/>
      <c r="L99" s="12" t="n"/>
      <c r="M99" s="12">
        <f>IF(B99="","",IF(L99="Accepted","Accepted",IF(L99="Rejected","Rejected",IF(J99="Yes","Awaiting Inspection",IF(I99="Yes","Snug-Tight","Pending")))))</f>
        <v/>
      </c>
      <c r="N99" s="12" t="n"/>
      <c r="O99" s="12" t="n"/>
    </row>
    <row r="100">
      <c r="A100" s="14" t="n"/>
      <c r="B100" s="12" t="n"/>
      <c r="C100" s="12" t="n"/>
      <c r="D100" s="12" t="n"/>
      <c r="E100" s="12" t="n"/>
      <c r="F100" s="12" t="n"/>
      <c r="G100" s="16" t="n"/>
      <c r="H100" s="12" t="n"/>
      <c r="I100" s="12" t="n"/>
      <c r="J100" s="12" t="n"/>
      <c r="K100" s="12" t="n"/>
      <c r="L100" s="12" t="n"/>
      <c r="M100" s="12">
        <f>IF(B100="","",IF(L100="Accepted","Accepted",IF(L100="Rejected","Rejected",IF(J100="Yes","Awaiting Inspection",IF(I100="Yes","Snug-Tight","Pending")))))</f>
        <v/>
      </c>
      <c r="N100" s="12" t="n"/>
      <c r="O100" s="12" t="n"/>
    </row>
    <row r="101">
      <c r="A101" s="14" t="n"/>
      <c r="B101" s="12" t="n"/>
      <c r="C101" s="12" t="n"/>
      <c r="D101" s="12" t="n"/>
      <c r="E101" s="12" t="n"/>
      <c r="F101" s="12" t="n"/>
      <c r="G101" s="16" t="n"/>
      <c r="H101" s="12" t="n"/>
      <c r="I101" s="12" t="n"/>
      <c r="J101" s="12" t="n"/>
      <c r="K101" s="12" t="n"/>
      <c r="L101" s="12" t="n"/>
      <c r="M101" s="12">
        <f>IF(B101="","",IF(L101="Accepted","Accepted",IF(L101="Rejected","Rejected",IF(J101="Yes","Awaiting Inspection",IF(I101="Yes","Snug-Tight","Pending")))))</f>
        <v/>
      </c>
      <c r="N101" s="12" t="n"/>
      <c r="O101" s="12" t="n"/>
    </row>
    <row r="102">
      <c r="A102" s="14" t="n"/>
      <c r="B102" s="12" t="n"/>
      <c r="C102" s="12" t="n"/>
      <c r="D102" s="12" t="n"/>
      <c r="E102" s="12" t="n"/>
      <c r="F102" s="12" t="n"/>
      <c r="G102" s="16" t="n"/>
      <c r="H102" s="12" t="n"/>
      <c r="I102" s="12" t="n"/>
      <c r="J102" s="12" t="n"/>
      <c r="K102" s="12" t="n"/>
      <c r="L102" s="12" t="n"/>
      <c r="M102" s="12">
        <f>IF(B102="","",IF(L102="Accepted","Accepted",IF(L102="Rejected","Rejected",IF(J102="Yes","Awaiting Inspection",IF(I102="Yes","Snug-Tight","Pending")))))</f>
        <v/>
      </c>
      <c r="N102" s="12" t="n"/>
      <c r="O102" s="12" t="n"/>
    </row>
    <row r="103">
      <c r="A103" s="14" t="n"/>
      <c r="B103" s="12" t="n"/>
      <c r="C103" s="12" t="n"/>
      <c r="D103" s="12" t="n"/>
      <c r="E103" s="12" t="n"/>
      <c r="F103" s="12" t="n"/>
      <c r="G103" s="16" t="n"/>
      <c r="H103" s="12" t="n"/>
      <c r="I103" s="12" t="n"/>
      <c r="J103" s="12" t="n"/>
      <c r="K103" s="12" t="n"/>
      <c r="L103" s="12" t="n"/>
      <c r="M103" s="12">
        <f>IF(B103="","",IF(L103="Accepted","Accepted",IF(L103="Rejected","Rejected",IF(J103="Yes","Awaiting Inspection",IF(I103="Yes","Snug-Tight","Pending")))))</f>
        <v/>
      </c>
      <c r="N103" s="12" t="n"/>
      <c r="O103" s="12" t="n"/>
    </row>
    <row r="104">
      <c r="A104" s="14" t="n"/>
      <c r="B104" s="12" t="n"/>
      <c r="C104" s="12" t="n"/>
      <c r="D104" s="12" t="n"/>
      <c r="E104" s="12" t="n"/>
      <c r="F104" s="12" t="n"/>
      <c r="G104" s="16" t="n"/>
      <c r="H104" s="12" t="n"/>
      <c r="I104" s="12" t="n"/>
      <c r="J104" s="12" t="n"/>
      <c r="K104" s="12" t="n"/>
      <c r="L104" s="12" t="n"/>
      <c r="M104" s="12">
        <f>IF(B104="","",IF(L104="Accepted","Accepted",IF(L104="Rejected","Rejected",IF(J104="Yes","Awaiting Inspection",IF(I104="Yes","Snug-Tight","Pending")))))</f>
        <v/>
      </c>
      <c r="N104" s="12" t="n"/>
      <c r="O104" s="12" t="n"/>
    </row>
    <row r="105">
      <c r="A105" s="14" t="n"/>
      <c r="B105" s="12" t="n"/>
      <c r="C105" s="12" t="n"/>
      <c r="D105" s="12" t="n"/>
      <c r="E105" s="12" t="n"/>
      <c r="F105" s="12" t="n"/>
      <c r="G105" s="16" t="n"/>
      <c r="H105" s="12" t="n"/>
      <c r="I105" s="12" t="n"/>
      <c r="J105" s="12" t="n"/>
      <c r="K105" s="12" t="n"/>
      <c r="L105" s="12" t="n"/>
      <c r="M105" s="12">
        <f>IF(B105="","",IF(L105="Accepted","Accepted",IF(L105="Rejected","Rejected",IF(J105="Yes","Awaiting Inspection",IF(I105="Yes","Snug-Tight","Pending")))))</f>
        <v/>
      </c>
      <c r="N105" s="12" t="n"/>
      <c r="O105" s="12" t="n"/>
    </row>
    <row r="106">
      <c r="A106" s="14" t="n"/>
      <c r="B106" s="12" t="n"/>
      <c r="C106" s="12" t="n"/>
      <c r="D106" s="12" t="n"/>
      <c r="E106" s="12" t="n"/>
      <c r="F106" s="12" t="n"/>
      <c r="G106" s="16" t="n"/>
      <c r="H106" s="12" t="n"/>
      <c r="I106" s="12" t="n"/>
      <c r="J106" s="12" t="n"/>
      <c r="K106" s="12" t="n"/>
      <c r="L106" s="12" t="n"/>
      <c r="M106" s="12">
        <f>IF(B106="","",IF(L106="Accepted","Accepted",IF(L106="Rejected","Rejected",IF(J106="Yes","Awaiting Inspection",IF(I106="Yes","Snug-Tight","Pending")))))</f>
        <v/>
      </c>
      <c r="N106" s="12" t="n"/>
      <c r="O106" s="12" t="n"/>
    </row>
    <row r="107">
      <c r="A107" s="14" t="n"/>
      <c r="B107" s="12" t="n"/>
      <c r="C107" s="12" t="n"/>
      <c r="D107" s="12" t="n"/>
      <c r="E107" s="12" t="n"/>
      <c r="F107" s="12" t="n"/>
      <c r="G107" s="16" t="n"/>
      <c r="H107" s="12" t="n"/>
      <c r="I107" s="12" t="n"/>
      <c r="J107" s="12" t="n"/>
      <c r="K107" s="12" t="n"/>
      <c r="L107" s="12" t="n"/>
      <c r="M107" s="12">
        <f>IF(B107="","",IF(L107="Accepted","Accepted",IF(L107="Rejected","Rejected",IF(J107="Yes","Awaiting Inspection",IF(I107="Yes","Snug-Tight","Pending")))))</f>
        <v/>
      </c>
      <c r="N107" s="12" t="n"/>
      <c r="O107" s="12" t="n"/>
    </row>
    <row r="108">
      <c r="A108" s="14" t="n"/>
      <c r="B108" s="12" t="n"/>
      <c r="C108" s="12" t="n"/>
      <c r="D108" s="12" t="n"/>
      <c r="E108" s="12" t="n"/>
      <c r="F108" s="12" t="n"/>
      <c r="G108" s="16" t="n"/>
      <c r="H108" s="12" t="n"/>
      <c r="I108" s="12" t="n"/>
      <c r="J108" s="12" t="n"/>
      <c r="K108" s="12" t="n"/>
      <c r="L108" s="12" t="n"/>
      <c r="M108" s="12">
        <f>IF(B108="","",IF(L108="Accepted","Accepted",IF(L108="Rejected","Rejected",IF(J108="Yes","Awaiting Inspection",IF(I108="Yes","Snug-Tight","Pending")))))</f>
        <v/>
      </c>
      <c r="N108" s="12" t="n"/>
      <c r="O108" s="12" t="n"/>
    </row>
    <row r="109">
      <c r="A109" s="14" t="n"/>
      <c r="B109" s="12" t="n"/>
      <c r="C109" s="12" t="n"/>
      <c r="D109" s="12" t="n"/>
      <c r="E109" s="12" t="n"/>
      <c r="F109" s="12" t="n"/>
      <c r="G109" s="16" t="n"/>
      <c r="H109" s="12" t="n"/>
      <c r="I109" s="12" t="n"/>
      <c r="J109" s="12" t="n"/>
      <c r="K109" s="12" t="n"/>
      <c r="L109" s="12" t="n"/>
      <c r="M109" s="12">
        <f>IF(B109="","",IF(L109="Accepted","Accepted",IF(L109="Rejected","Rejected",IF(J109="Yes","Awaiting Inspection",IF(I109="Yes","Snug-Tight","Pending")))))</f>
        <v/>
      </c>
      <c r="N109" s="12" t="n"/>
      <c r="O109" s="12" t="n"/>
    </row>
    <row r="110">
      <c r="A110" s="14" t="n"/>
      <c r="B110" s="12" t="n"/>
      <c r="C110" s="12" t="n"/>
      <c r="D110" s="12" t="n"/>
      <c r="E110" s="12" t="n"/>
      <c r="F110" s="12" t="n"/>
      <c r="G110" s="16" t="n"/>
      <c r="H110" s="12" t="n"/>
      <c r="I110" s="12" t="n"/>
      <c r="J110" s="12" t="n"/>
      <c r="K110" s="12" t="n"/>
      <c r="L110" s="12" t="n"/>
      <c r="M110" s="12">
        <f>IF(B110="","",IF(L110="Accepted","Accepted",IF(L110="Rejected","Rejected",IF(J110="Yes","Awaiting Inspection",IF(I110="Yes","Snug-Tight","Pending")))))</f>
        <v/>
      </c>
      <c r="N110" s="12" t="n"/>
      <c r="O110" s="12" t="n"/>
    </row>
    <row r="111">
      <c r="A111" s="14" t="n"/>
      <c r="B111" s="12" t="n"/>
      <c r="C111" s="12" t="n"/>
      <c r="D111" s="12" t="n"/>
      <c r="E111" s="12" t="n"/>
      <c r="F111" s="12" t="n"/>
      <c r="G111" s="16" t="n"/>
      <c r="H111" s="12" t="n"/>
      <c r="I111" s="12" t="n"/>
      <c r="J111" s="12" t="n"/>
      <c r="K111" s="12" t="n"/>
      <c r="L111" s="12" t="n"/>
      <c r="M111" s="12">
        <f>IF(B111="","",IF(L111="Accepted","Accepted",IF(L111="Rejected","Rejected",IF(J111="Yes","Awaiting Inspection",IF(I111="Yes","Snug-Tight","Pending")))))</f>
        <v/>
      </c>
      <c r="N111" s="12" t="n"/>
      <c r="O111" s="12" t="n"/>
    </row>
    <row r="112">
      <c r="A112" s="14" t="n"/>
      <c r="B112" s="12" t="n"/>
      <c r="C112" s="12" t="n"/>
      <c r="D112" s="12" t="n"/>
      <c r="E112" s="12" t="n"/>
      <c r="F112" s="12" t="n"/>
      <c r="G112" s="16" t="n"/>
      <c r="H112" s="12" t="n"/>
      <c r="I112" s="12" t="n"/>
      <c r="J112" s="12" t="n"/>
      <c r="K112" s="12" t="n"/>
      <c r="L112" s="12" t="n"/>
      <c r="M112" s="12">
        <f>IF(B112="","",IF(L112="Accepted","Accepted",IF(L112="Rejected","Rejected",IF(J112="Yes","Awaiting Inspection",IF(I112="Yes","Snug-Tight","Pending")))))</f>
        <v/>
      </c>
      <c r="N112" s="12" t="n"/>
      <c r="O112" s="12" t="n"/>
    </row>
    <row r="113">
      <c r="A113" s="14" t="n"/>
      <c r="B113" s="12" t="n"/>
      <c r="C113" s="12" t="n"/>
      <c r="D113" s="12" t="n"/>
      <c r="E113" s="12" t="n"/>
      <c r="F113" s="12" t="n"/>
      <c r="G113" s="16" t="n"/>
      <c r="H113" s="12" t="n"/>
      <c r="I113" s="12" t="n"/>
      <c r="J113" s="12" t="n"/>
      <c r="K113" s="12" t="n"/>
      <c r="L113" s="12" t="n"/>
      <c r="M113" s="12">
        <f>IF(B113="","",IF(L113="Accepted","Accepted",IF(L113="Rejected","Rejected",IF(J113="Yes","Awaiting Inspection",IF(I113="Yes","Snug-Tight","Pending")))))</f>
        <v/>
      </c>
      <c r="N113" s="12" t="n"/>
      <c r="O113" s="12" t="n"/>
    </row>
    <row r="114">
      <c r="A114" s="14" t="n"/>
      <c r="B114" s="12" t="n"/>
      <c r="C114" s="12" t="n"/>
      <c r="D114" s="12" t="n"/>
      <c r="E114" s="12" t="n"/>
      <c r="F114" s="12" t="n"/>
      <c r="G114" s="16" t="n"/>
      <c r="H114" s="12" t="n"/>
      <c r="I114" s="12" t="n"/>
      <c r="J114" s="12" t="n"/>
      <c r="K114" s="12" t="n"/>
      <c r="L114" s="12" t="n"/>
      <c r="M114" s="12">
        <f>IF(B114="","",IF(L114="Accepted","Accepted",IF(L114="Rejected","Rejected",IF(J114="Yes","Awaiting Inspection",IF(I114="Yes","Snug-Tight","Pending")))))</f>
        <v/>
      </c>
      <c r="N114" s="12" t="n"/>
      <c r="O114" s="12" t="n"/>
    </row>
    <row r="115">
      <c r="A115" s="14" t="n"/>
      <c r="B115" s="12" t="n"/>
      <c r="C115" s="12" t="n"/>
      <c r="D115" s="12" t="n"/>
      <c r="E115" s="12" t="n"/>
      <c r="F115" s="12" t="n"/>
      <c r="G115" s="16" t="n"/>
      <c r="H115" s="12" t="n"/>
      <c r="I115" s="12" t="n"/>
      <c r="J115" s="12" t="n"/>
      <c r="K115" s="12" t="n"/>
      <c r="L115" s="12" t="n"/>
      <c r="M115" s="12">
        <f>IF(B115="","",IF(L115="Accepted","Accepted",IF(L115="Rejected","Rejected",IF(J115="Yes","Awaiting Inspection",IF(I115="Yes","Snug-Tight","Pending")))))</f>
        <v/>
      </c>
      <c r="N115" s="12" t="n"/>
      <c r="O115" s="12" t="n"/>
    </row>
    <row r="116">
      <c r="A116" s="14" t="n"/>
      <c r="B116" s="12" t="n"/>
      <c r="C116" s="12" t="n"/>
      <c r="D116" s="12" t="n"/>
      <c r="E116" s="12" t="n"/>
      <c r="F116" s="12" t="n"/>
      <c r="G116" s="16" t="n"/>
      <c r="H116" s="12" t="n"/>
      <c r="I116" s="12" t="n"/>
      <c r="J116" s="12" t="n"/>
      <c r="K116" s="12" t="n"/>
      <c r="L116" s="12" t="n"/>
      <c r="M116" s="12">
        <f>IF(B116="","",IF(L116="Accepted","Accepted",IF(L116="Rejected","Rejected",IF(J116="Yes","Awaiting Inspection",IF(I116="Yes","Snug-Tight","Pending")))))</f>
        <v/>
      </c>
      <c r="N116" s="12" t="n"/>
      <c r="O116" s="12" t="n"/>
    </row>
    <row r="117">
      <c r="A117" s="14" t="n"/>
      <c r="B117" s="12" t="n"/>
      <c r="C117" s="12" t="n"/>
      <c r="D117" s="12" t="n"/>
      <c r="E117" s="12" t="n"/>
      <c r="F117" s="12" t="n"/>
      <c r="G117" s="16" t="n"/>
      <c r="H117" s="12" t="n"/>
      <c r="I117" s="12" t="n"/>
      <c r="J117" s="12" t="n"/>
      <c r="K117" s="12" t="n"/>
      <c r="L117" s="12" t="n"/>
      <c r="M117" s="12">
        <f>IF(B117="","",IF(L117="Accepted","Accepted",IF(L117="Rejected","Rejected",IF(J117="Yes","Awaiting Inspection",IF(I117="Yes","Snug-Tight","Pending")))))</f>
        <v/>
      </c>
      <c r="N117" s="12" t="n"/>
      <c r="O117" s="12" t="n"/>
    </row>
    <row r="118">
      <c r="A118" s="14" t="n"/>
      <c r="B118" s="12" t="n"/>
      <c r="C118" s="12" t="n"/>
      <c r="D118" s="12" t="n"/>
      <c r="E118" s="12" t="n"/>
      <c r="F118" s="12" t="n"/>
      <c r="G118" s="16" t="n"/>
      <c r="H118" s="12" t="n"/>
      <c r="I118" s="12" t="n"/>
      <c r="J118" s="12" t="n"/>
      <c r="K118" s="12" t="n"/>
      <c r="L118" s="12" t="n"/>
      <c r="M118" s="12">
        <f>IF(B118="","",IF(L118="Accepted","Accepted",IF(L118="Rejected","Rejected",IF(J118="Yes","Awaiting Inspection",IF(I118="Yes","Snug-Tight","Pending")))))</f>
        <v/>
      </c>
      <c r="N118" s="12" t="n"/>
      <c r="O118" s="12" t="n"/>
    </row>
    <row r="119">
      <c r="A119" s="14" t="n"/>
      <c r="B119" s="12" t="n"/>
      <c r="C119" s="12" t="n"/>
      <c r="D119" s="12" t="n"/>
      <c r="E119" s="12" t="n"/>
      <c r="F119" s="12" t="n"/>
      <c r="G119" s="16" t="n"/>
      <c r="H119" s="12" t="n"/>
      <c r="I119" s="12" t="n"/>
      <c r="J119" s="12" t="n"/>
      <c r="K119" s="12" t="n"/>
      <c r="L119" s="12" t="n"/>
      <c r="M119" s="12">
        <f>IF(B119="","",IF(L119="Accepted","Accepted",IF(L119="Rejected","Rejected",IF(J119="Yes","Awaiting Inspection",IF(I119="Yes","Snug-Tight","Pending")))))</f>
        <v/>
      </c>
      <c r="N119" s="12" t="n"/>
      <c r="O119" s="12" t="n"/>
    </row>
    <row r="120">
      <c r="A120" s="14" t="n"/>
      <c r="B120" s="12" t="n"/>
      <c r="C120" s="12" t="n"/>
      <c r="D120" s="12" t="n"/>
      <c r="E120" s="12" t="n"/>
      <c r="F120" s="12" t="n"/>
      <c r="G120" s="16" t="n"/>
      <c r="H120" s="12" t="n"/>
      <c r="I120" s="12" t="n"/>
      <c r="J120" s="12" t="n"/>
      <c r="K120" s="12" t="n"/>
      <c r="L120" s="12" t="n"/>
      <c r="M120" s="12">
        <f>IF(B120="","",IF(L120="Accepted","Accepted",IF(L120="Rejected","Rejected",IF(J120="Yes","Awaiting Inspection",IF(I120="Yes","Snug-Tight","Pending")))))</f>
        <v/>
      </c>
      <c r="N120" s="12" t="n"/>
      <c r="O120" s="12" t="n"/>
    </row>
    <row r="121">
      <c r="A121" s="14" t="n"/>
      <c r="B121" s="12" t="n"/>
      <c r="C121" s="12" t="n"/>
      <c r="D121" s="12" t="n"/>
      <c r="E121" s="12" t="n"/>
      <c r="F121" s="12" t="n"/>
      <c r="G121" s="16" t="n"/>
      <c r="H121" s="12" t="n"/>
      <c r="I121" s="12" t="n"/>
      <c r="J121" s="12" t="n"/>
      <c r="K121" s="12" t="n"/>
      <c r="L121" s="12" t="n"/>
      <c r="M121" s="12">
        <f>IF(B121="","",IF(L121="Accepted","Accepted",IF(L121="Rejected","Rejected",IF(J121="Yes","Awaiting Inspection",IF(I121="Yes","Snug-Tight","Pending")))))</f>
        <v/>
      </c>
      <c r="N121" s="12" t="n"/>
      <c r="O121" s="12" t="n"/>
    </row>
    <row r="122">
      <c r="A122" s="14" t="n"/>
      <c r="B122" s="12" t="n"/>
      <c r="C122" s="12" t="n"/>
      <c r="D122" s="12" t="n"/>
      <c r="E122" s="12" t="n"/>
      <c r="F122" s="12" t="n"/>
      <c r="G122" s="16" t="n"/>
      <c r="H122" s="12" t="n"/>
      <c r="I122" s="12" t="n"/>
      <c r="J122" s="12" t="n"/>
      <c r="K122" s="12" t="n"/>
      <c r="L122" s="12" t="n"/>
      <c r="M122" s="12">
        <f>IF(B122="","",IF(L122="Accepted","Accepted",IF(L122="Rejected","Rejected",IF(J122="Yes","Awaiting Inspection",IF(I122="Yes","Snug-Tight","Pending")))))</f>
        <v/>
      </c>
      <c r="N122" s="12" t="n"/>
      <c r="O122" s="12" t="n"/>
    </row>
    <row r="123">
      <c r="A123" s="14" t="n"/>
      <c r="B123" s="12" t="n"/>
      <c r="C123" s="12" t="n"/>
      <c r="D123" s="12" t="n"/>
      <c r="E123" s="12" t="n"/>
      <c r="F123" s="12" t="n"/>
      <c r="G123" s="16" t="n"/>
      <c r="H123" s="12" t="n"/>
      <c r="I123" s="12" t="n"/>
      <c r="J123" s="12" t="n"/>
      <c r="K123" s="12" t="n"/>
      <c r="L123" s="12" t="n"/>
      <c r="M123" s="12">
        <f>IF(B123="","",IF(L123="Accepted","Accepted",IF(L123="Rejected","Rejected",IF(J123="Yes","Awaiting Inspection",IF(I123="Yes","Snug-Tight","Pending")))))</f>
        <v/>
      </c>
      <c r="N123" s="12" t="n"/>
      <c r="O123" s="12" t="n"/>
    </row>
    <row r="124">
      <c r="A124" s="14" t="n"/>
      <c r="B124" s="12" t="n"/>
      <c r="C124" s="12" t="n"/>
      <c r="D124" s="12" t="n"/>
      <c r="E124" s="12" t="n"/>
      <c r="F124" s="12" t="n"/>
      <c r="G124" s="16" t="n"/>
      <c r="H124" s="12" t="n"/>
      <c r="I124" s="12" t="n"/>
      <c r="J124" s="12" t="n"/>
      <c r="K124" s="12" t="n"/>
      <c r="L124" s="12" t="n"/>
      <c r="M124" s="12">
        <f>IF(B124="","",IF(L124="Accepted","Accepted",IF(L124="Rejected","Rejected",IF(J124="Yes","Awaiting Inspection",IF(I124="Yes","Snug-Tight","Pending")))))</f>
        <v/>
      </c>
      <c r="N124" s="12" t="n"/>
      <c r="O124" s="12" t="n"/>
    </row>
    <row r="125">
      <c r="A125" s="14" t="n"/>
      <c r="B125" s="12" t="n"/>
      <c r="C125" s="12" t="n"/>
      <c r="D125" s="12" t="n"/>
      <c r="E125" s="12" t="n"/>
      <c r="F125" s="12" t="n"/>
      <c r="G125" s="16" t="n"/>
      <c r="H125" s="12" t="n"/>
      <c r="I125" s="12" t="n"/>
      <c r="J125" s="12" t="n"/>
      <c r="K125" s="12" t="n"/>
      <c r="L125" s="12" t="n"/>
      <c r="M125" s="12">
        <f>IF(B125="","",IF(L125="Accepted","Accepted",IF(L125="Rejected","Rejected",IF(J125="Yes","Awaiting Inspection",IF(I125="Yes","Snug-Tight","Pending")))))</f>
        <v/>
      </c>
      <c r="N125" s="12" t="n"/>
      <c r="O125" s="12" t="n"/>
    </row>
    <row r="126">
      <c r="A126" s="14" t="n"/>
      <c r="B126" s="12" t="n"/>
      <c r="C126" s="12" t="n"/>
      <c r="D126" s="12" t="n"/>
      <c r="E126" s="12" t="n"/>
      <c r="F126" s="12" t="n"/>
      <c r="G126" s="16" t="n"/>
      <c r="H126" s="12" t="n"/>
      <c r="I126" s="12" t="n"/>
      <c r="J126" s="12" t="n"/>
      <c r="K126" s="12" t="n"/>
      <c r="L126" s="12" t="n"/>
      <c r="M126" s="12">
        <f>IF(B126="","",IF(L126="Accepted","Accepted",IF(L126="Rejected","Rejected",IF(J126="Yes","Awaiting Inspection",IF(I126="Yes","Snug-Tight","Pending")))))</f>
        <v/>
      </c>
      <c r="N126" s="12" t="n"/>
      <c r="O126" s="12" t="n"/>
    </row>
    <row r="127">
      <c r="A127" s="14" t="n"/>
      <c r="B127" s="12" t="n"/>
      <c r="C127" s="12" t="n"/>
      <c r="D127" s="12" t="n"/>
      <c r="E127" s="12" t="n"/>
      <c r="F127" s="12" t="n"/>
      <c r="G127" s="16" t="n"/>
      <c r="H127" s="12" t="n"/>
      <c r="I127" s="12" t="n"/>
      <c r="J127" s="12" t="n"/>
      <c r="K127" s="12" t="n"/>
      <c r="L127" s="12" t="n"/>
      <c r="M127" s="12">
        <f>IF(B127="","",IF(L127="Accepted","Accepted",IF(L127="Rejected","Rejected",IF(J127="Yes","Awaiting Inspection",IF(I127="Yes","Snug-Tight","Pending")))))</f>
        <v/>
      </c>
      <c r="N127" s="12" t="n"/>
      <c r="O127" s="12" t="n"/>
    </row>
    <row r="128">
      <c r="A128" s="14" t="n"/>
      <c r="B128" s="12" t="n"/>
      <c r="C128" s="12" t="n"/>
      <c r="D128" s="12" t="n"/>
      <c r="E128" s="12" t="n"/>
      <c r="F128" s="12" t="n"/>
      <c r="G128" s="16" t="n"/>
      <c r="H128" s="12" t="n"/>
      <c r="I128" s="12" t="n"/>
      <c r="J128" s="12" t="n"/>
      <c r="K128" s="12" t="n"/>
      <c r="L128" s="12" t="n"/>
      <c r="M128" s="12">
        <f>IF(B128="","",IF(L128="Accepted","Accepted",IF(L128="Rejected","Rejected",IF(J128="Yes","Awaiting Inspection",IF(I128="Yes","Snug-Tight","Pending")))))</f>
        <v/>
      </c>
      <c r="N128" s="12" t="n"/>
      <c r="O128" s="12" t="n"/>
    </row>
    <row r="129">
      <c r="A129" s="14" t="n"/>
      <c r="B129" s="12" t="n"/>
      <c r="C129" s="12" t="n"/>
      <c r="D129" s="12" t="n"/>
      <c r="E129" s="12" t="n"/>
      <c r="F129" s="12" t="n"/>
      <c r="G129" s="16" t="n"/>
      <c r="H129" s="12" t="n"/>
      <c r="I129" s="12" t="n"/>
      <c r="J129" s="12" t="n"/>
      <c r="K129" s="12" t="n"/>
      <c r="L129" s="12" t="n"/>
      <c r="M129" s="12">
        <f>IF(B129="","",IF(L129="Accepted","Accepted",IF(L129="Rejected","Rejected",IF(J129="Yes","Awaiting Inspection",IF(I129="Yes","Snug-Tight","Pending")))))</f>
        <v/>
      </c>
      <c r="N129" s="12" t="n"/>
      <c r="O129" s="12" t="n"/>
    </row>
    <row r="130">
      <c r="A130" s="14" t="n"/>
      <c r="B130" s="12" t="n"/>
      <c r="C130" s="12" t="n"/>
      <c r="D130" s="12" t="n"/>
      <c r="E130" s="12" t="n"/>
      <c r="F130" s="12" t="n"/>
      <c r="G130" s="16" t="n"/>
      <c r="H130" s="12" t="n"/>
      <c r="I130" s="12" t="n"/>
      <c r="J130" s="12" t="n"/>
      <c r="K130" s="12" t="n"/>
      <c r="L130" s="12" t="n"/>
      <c r="M130" s="12">
        <f>IF(B130="","",IF(L130="Accepted","Accepted",IF(L130="Rejected","Rejected",IF(J130="Yes","Awaiting Inspection",IF(I130="Yes","Snug-Tight","Pending")))))</f>
        <v/>
      </c>
      <c r="N130" s="12" t="n"/>
      <c r="O130" s="12" t="n"/>
    </row>
    <row r="131">
      <c r="A131" s="14" t="n"/>
      <c r="B131" s="12" t="n"/>
      <c r="C131" s="12" t="n"/>
      <c r="D131" s="12" t="n"/>
      <c r="E131" s="12" t="n"/>
      <c r="F131" s="12" t="n"/>
      <c r="G131" s="16" t="n"/>
      <c r="H131" s="12" t="n"/>
      <c r="I131" s="12" t="n"/>
      <c r="J131" s="12" t="n"/>
      <c r="K131" s="12" t="n"/>
      <c r="L131" s="12" t="n"/>
      <c r="M131" s="12">
        <f>IF(B131="","",IF(L131="Accepted","Accepted",IF(L131="Rejected","Rejected",IF(J131="Yes","Awaiting Inspection",IF(I131="Yes","Snug-Tight","Pending")))))</f>
        <v/>
      </c>
      <c r="N131" s="12" t="n"/>
      <c r="O131" s="12" t="n"/>
    </row>
    <row r="132">
      <c r="A132" s="14" t="n"/>
      <c r="B132" s="12" t="n"/>
      <c r="C132" s="12" t="n"/>
      <c r="D132" s="12" t="n"/>
      <c r="E132" s="12" t="n"/>
      <c r="F132" s="12" t="n"/>
      <c r="G132" s="16" t="n"/>
      <c r="H132" s="12" t="n"/>
      <c r="I132" s="12" t="n"/>
      <c r="J132" s="12" t="n"/>
      <c r="K132" s="12" t="n"/>
      <c r="L132" s="12" t="n"/>
      <c r="M132" s="12">
        <f>IF(B132="","",IF(L132="Accepted","Accepted",IF(L132="Rejected","Rejected",IF(J132="Yes","Awaiting Inspection",IF(I132="Yes","Snug-Tight","Pending")))))</f>
        <v/>
      </c>
      <c r="N132" s="12" t="n"/>
      <c r="O132" s="12" t="n"/>
    </row>
    <row r="133">
      <c r="A133" s="14" t="n"/>
      <c r="B133" s="12" t="n"/>
      <c r="C133" s="12" t="n"/>
      <c r="D133" s="12" t="n"/>
      <c r="E133" s="12" t="n"/>
      <c r="F133" s="12" t="n"/>
      <c r="G133" s="16" t="n"/>
      <c r="H133" s="12" t="n"/>
      <c r="I133" s="12" t="n"/>
      <c r="J133" s="12" t="n"/>
      <c r="K133" s="12" t="n"/>
      <c r="L133" s="12" t="n"/>
      <c r="M133" s="12">
        <f>IF(B133="","",IF(L133="Accepted","Accepted",IF(L133="Rejected","Rejected",IF(J133="Yes","Awaiting Inspection",IF(I133="Yes","Snug-Tight","Pending")))))</f>
        <v/>
      </c>
      <c r="N133" s="12" t="n"/>
      <c r="O133" s="12" t="n"/>
    </row>
    <row r="134">
      <c r="A134" s="14" t="n"/>
      <c r="B134" s="12" t="n"/>
      <c r="C134" s="12" t="n"/>
      <c r="D134" s="12" t="n"/>
      <c r="E134" s="12" t="n"/>
      <c r="F134" s="12" t="n"/>
      <c r="G134" s="16" t="n"/>
      <c r="H134" s="12" t="n"/>
      <c r="I134" s="12" t="n"/>
      <c r="J134" s="12" t="n"/>
      <c r="K134" s="12" t="n"/>
      <c r="L134" s="12" t="n"/>
      <c r="M134" s="12">
        <f>IF(B134="","",IF(L134="Accepted","Accepted",IF(L134="Rejected","Rejected",IF(J134="Yes","Awaiting Inspection",IF(I134="Yes","Snug-Tight","Pending")))))</f>
        <v/>
      </c>
      <c r="N134" s="12" t="n"/>
      <c r="O134" s="12" t="n"/>
    </row>
    <row r="135">
      <c r="A135" s="14" t="n"/>
      <c r="B135" s="12" t="n"/>
      <c r="C135" s="12" t="n"/>
      <c r="D135" s="12" t="n"/>
      <c r="E135" s="12" t="n"/>
      <c r="F135" s="12" t="n"/>
      <c r="G135" s="16" t="n"/>
      <c r="H135" s="12" t="n"/>
      <c r="I135" s="12" t="n"/>
      <c r="J135" s="12" t="n"/>
      <c r="K135" s="12" t="n"/>
      <c r="L135" s="12" t="n"/>
      <c r="M135" s="12">
        <f>IF(B135="","",IF(L135="Accepted","Accepted",IF(L135="Rejected","Rejected",IF(J135="Yes","Awaiting Inspection",IF(I135="Yes","Snug-Tight","Pending")))))</f>
        <v/>
      </c>
      <c r="N135" s="12" t="n"/>
      <c r="O135" s="12" t="n"/>
    </row>
    <row r="136">
      <c r="A136" s="14" t="n"/>
      <c r="B136" s="12" t="n"/>
      <c r="C136" s="12" t="n"/>
      <c r="D136" s="12" t="n"/>
      <c r="E136" s="12" t="n"/>
      <c r="F136" s="12" t="n"/>
      <c r="G136" s="16" t="n"/>
      <c r="H136" s="12" t="n"/>
      <c r="I136" s="12" t="n"/>
      <c r="J136" s="12" t="n"/>
      <c r="K136" s="12" t="n"/>
      <c r="L136" s="12" t="n"/>
      <c r="M136" s="12">
        <f>IF(B136="","",IF(L136="Accepted","Accepted",IF(L136="Rejected","Rejected",IF(J136="Yes","Awaiting Inspection",IF(I136="Yes","Snug-Tight","Pending")))))</f>
        <v/>
      </c>
      <c r="N136" s="12" t="n"/>
      <c r="O136" s="12" t="n"/>
    </row>
    <row r="137">
      <c r="A137" s="14" t="n"/>
      <c r="B137" s="12" t="n"/>
      <c r="C137" s="12" t="n"/>
      <c r="D137" s="12" t="n"/>
      <c r="E137" s="12" t="n"/>
      <c r="F137" s="12" t="n"/>
      <c r="G137" s="16" t="n"/>
      <c r="H137" s="12" t="n"/>
      <c r="I137" s="12" t="n"/>
      <c r="J137" s="12" t="n"/>
      <c r="K137" s="12" t="n"/>
      <c r="L137" s="12" t="n"/>
      <c r="M137" s="12">
        <f>IF(B137="","",IF(L137="Accepted","Accepted",IF(L137="Rejected","Rejected",IF(J137="Yes","Awaiting Inspection",IF(I137="Yes","Snug-Tight","Pending")))))</f>
        <v/>
      </c>
      <c r="N137" s="12" t="n"/>
      <c r="O137" s="12" t="n"/>
    </row>
    <row r="138">
      <c r="A138" s="14" t="n"/>
      <c r="B138" s="12" t="n"/>
      <c r="C138" s="12" t="n"/>
      <c r="D138" s="12" t="n"/>
      <c r="E138" s="12" t="n"/>
      <c r="F138" s="12" t="n"/>
      <c r="G138" s="16" t="n"/>
      <c r="H138" s="12" t="n"/>
      <c r="I138" s="12" t="n"/>
      <c r="J138" s="12" t="n"/>
      <c r="K138" s="12" t="n"/>
      <c r="L138" s="12" t="n"/>
      <c r="M138" s="12">
        <f>IF(B138="","",IF(L138="Accepted","Accepted",IF(L138="Rejected","Rejected",IF(J138="Yes","Awaiting Inspection",IF(I138="Yes","Snug-Tight","Pending")))))</f>
        <v/>
      </c>
      <c r="N138" s="12" t="n"/>
      <c r="O138" s="12" t="n"/>
    </row>
    <row r="139">
      <c r="A139" s="14" t="n"/>
      <c r="B139" s="12" t="n"/>
      <c r="C139" s="12" t="n"/>
      <c r="D139" s="12" t="n"/>
      <c r="E139" s="12" t="n"/>
      <c r="F139" s="12" t="n"/>
      <c r="G139" s="16" t="n"/>
      <c r="H139" s="12" t="n"/>
      <c r="I139" s="12" t="n"/>
      <c r="J139" s="12" t="n"/>
      <c r="K139" s="12" t="n"/>
      <c r="L139" s="12" t="n"/>
      <c r="M139" s="12">
        <f>IF(B139="","",IF(L139="Accepted","Accepted",IF(L139="Rejected","Rejected",IF(J139="Yes","Awaiting Inspection",IF(I139="Yes","Snug-Tight","Pending")))))</f>
        <v/>
      </c>
      <c r="N139" s="12" t="n"/>
      <c r="O139" s="12" t="n"/>
    </row>
    <row r="140">
      <c r="A140" s="14" t="n"/>
      <c r="B140" s="12" t="n"/>
      <c r="C140" s="12" t="n"/>
      <c r="D140" s="12" t="n"/>
      <c r="E140" s="12" t="n"/>
      <c r="F140" s="12" t="n"/>
      <c r="G140" s="16" t="n"/>
      <c r="H140" s="12" t="n"/>
      <c r="I140" s="12" t="n"/>
      <c r="J140" s="12" t="n"/>
      <c r="K140" s="12" t="n"/>
      <c r="L140" s="12" t="n"/>
      <c r="M140" s="12">
        <f>IF(B140="","",IF(L140="Accepted","Accepted",IF(L140="Rejected","Rejected",IF(J140="Yes","Awaiting Inspection",IF(I140="Yes","Snug-Tight","Pending")))))</f>
        <v/>
      </c>
      <c r="N140" s="12" t="n"/>
      <c r="O140" s="12" t="n"/>
    </row>
    <row r="141">
      <c r="A141" s="14" t="n"/>
      <c r="B141" s="12" t="n"/>
      <c r="C141" s="12" t="n"/>
      <c r="D141" s="12" t="n"/>
      <c r="E141" s="12" t="n"/>
      <c r="F141" s="12" t="n"/>
      <c r="G141" s="16" t="n"/>
      <c r="H141" s="12" t="n"/>
      <c r="I141" s="12" t="n"/>
      <c r="J141" s="12" t="n"/>
      <c r="K141" s="12" t="n"/>
      <c r="L141" s="12" t="n"/>
      <c r="M141" s="12">
        <f>IF(B141="","",IF(L141="Accepted","Accepted",IF(L141="Rejected","Rejected",IF(J141="Yes","Awaiting Inspection",IF(I141="Yes","Snug-Tight","Pending")))))</f>
        <v/>
      </c>
      <c r="N141" s="12" t="n"/>
      <c r="O141" s="12" t="n"/>
    </row>
    <row r="142">
      <c r="A142" s="14" t="n"/>
      <c r="B142" s="12" t="n"/>
      <c r="C142" s="12" t="n"/>
      <c r="D142" s="12" t="n"/>
      <c r="E142" s="12" t="n"/>
      <c r="F142" s="12" t="n"/>
      <c r="G142" s="16" t="n"/>
      <c r="H142" s="12" t="n"/>
      <c r="I142" s="12" t="n"/>
      <c r="J142" s="12" t="n"/>
      <c r="K142" s="12" t="n"/>
      <c r="L142" s="12" t="n"/>
      <c r="M142" s="12">
        <f>IF(B142="","",IF(L142="Accepted","Accepted",IF(L142="Rejected","Rejected",IF(J142="Yes","Awaiting Inspection",IF(I142="Yes","Snug-Tight","Pending")))))</f>
        <v/>
      </c>
      <c r="N142" s="12" t="n"/>
      <c r="O142" s="12" t="n"/>
    </row>
    <row r="143">
      <c r="A143" s="14" t="n"/>
      <c r="B143" s="12" t="n"/>
      <c r="C143" s="12" t="n"/>
      <c r="D143" s="12" t="n"/>
      <c r="E143" s="12" t="n"/>
      <c r="F143" s="12" t="n"/>
      <c r="G143" s="16" t="n"/>
      <c r="H143" s="12" t="n"/>
      <c r="I143" s="12" t="n"/>
      <c r="J143" s="12" t="n"/>
      <c r="K143" s="12" t="n"/>
      <c r="L143" s="12" t="n"/>
      <c r="M143" s="12">
        <f>IF(B143="","",IF(L143="Accepted","Accepted",IF(L143="Rejected","Rejected",IF(J143="Yes","Awaiting Inspection",IF(I143="Yes","Snug-Tight","Pending")))))</f>
        <v/>
      </c>
      <c r="N143" s="12" t="n"/>
      <c r="O143" s="12" t="n"/>
    </row>
    <row r="144">
      <c r="A144" s="14" t="n"/>
      <c r="B144" s="12" t="n"/>
      <c r="C144" s="12" t="n"/>
      <c r="D144" s="12" t="n"/>
      <c r="E144" s="12" t="n"/>
      <c r="F144" s="12" t="n"/>
      <c r="G144" s="16" t="n"/>
      <c r="H144" s="12" t="n"/>
      <c r="I144" s="12" t="n"/>
      <c r="J144" s="12" t="n"/>
      <c r="K144" s="12" t="n"/>
      <c r="L144" s="12" t="n"/>
      <c r="M144" s="12">
        <f>IF(B144="","",IF(L144="Accepted","Accepted",IF(L144="Rejected","Rejected",IF(J144="Yes","Awaiting Inspection",IF(I144="Yes","Snug-Tight","Pending")))))</f>
        <v/>
      </c>
      <c r="N144" s="12" t="n"/>
      <c r="O144" s="12" t="n"/>
    </row>
    <row r="145">
      <c r="A145" s="14" t="n"/>
      <c r="B145" s="12" t="n"/>
      <c r="C145" s="12" t="n"/>
      <c r="D145" s="12" t="n"/>
      <c r="E145" s="12" t="n"/>
      <c r="F145" s="12" t="n"/>
      <c r="G145" s="16" t="n"/>
      <c r="H145" s="12" t="n"/>
      <c r="I145" s="12" t="n"/>
      <c r="J145" s="12" t="n"/>
      <c r="K145" s="12" t="n"/>
      <c r="L145" s="12" t="n"/>
      <c r="M145" s="12">
        <f>IF(B145="","",IF(L145="Accepted","Accepted",IF(L145="Rejected","Rejected",IF(J145="Yes","Awaiting Inspection",IF(I145="Yes","Snug-Tight","Pending")))))</f>
        <v/>
      </c>
      <c r="N145" s="12" t="n"/>
      <c r="O145" s="12" t="n"/>
    </row>
    <row r="146">
      <c r="A146" s="14" t="n"/>
      <c r="B146" s="12" t="n"/>
      <c r="C146" s="12" t="n"/>
      <c r="D146" s="12" t="n"/>
      <c r="E146" s="12" t="n"/>
      <c r="F146" s="12" t="n"/>
      <c r="G146" s="16" t="n"/>
      <c r="H146" s="12" t="n"/>
      <c r="I146" s="12" t="n"/>
      <c r="J146" s="12" t="n"/>
      <c r="K146" s="12" t="n"/>
      <c r="L146" s="12" t="n"/>
      <c r="M146" s="12">
        <f>IF(B146="","",IF(L146="Accepted","Accepted",IF(L146="Rejected","Rejected",IF(J146="Yes","Awaiting Inspection",IF(I146="Yes","Snug-Tight","Pending")))))</f>
        <v/>
      </c>
      <c r="N146" s="12" t="n"/>
      <c r="O146" s="12" t="n"/>
    </row>
    <row r="147">
      <c r="A147" s="14" t="n"/>
      <c r="B147" s="12" t="n"/>
      <c r="C147" s="12" t="n"/>
      <c r="D147" s="12" t="n"/>
      <c r="E147" s="12" t="n"/>
      <c r="F147" s="12" t="n"/>
      <c r="G147" s="16" t="n"/>
      <c r="H147" s="12" t="n"/>
      <c r="I147" s="12" t="n"/>
      <c r="J147" s="12" t="n"/>
      <c r="K147" s="12" t="n"/>
      <c r="L147" s="12" t="n"/>
      <c r="M147" s="12">
        <f>IF(B147="","",IF(L147="Accepted","Accepted",IF(L147="Rejected","Rejected",IF(J147="Yes","Awaiting Inspection",IF(I147="Yes","Snug-Tight","Pending")))))</f>
        <v/>
      </c>
      <c r="N147" s="12" t="n"/>
      <c r="O147" s="12" t="n"/>
    </row>
    <row r="148">
      <c r="A148" s="14" t="n"/>
      <c r="B148" s="12" t="n"/>
      <c r="C148" s="12" t="n"/>
      <c r="D148" s="12" t="n"/>
      <c r="E148" s="12" t="n"/>
      <c r="F148" s="12" t="n"/>
      <c r="G148" s="16" t="n"/>
      <c r="H148" s="12" t="n"/>
      <c r="I148" s="12" t="n"/>
      <c r="J148" s="12" t="n"/>
      <c r="K148" s="12" t="n"/>
      <c r="L148" s="12" t="n"/>
      <c r="M148" s="12">
        <f>IF(B148="","",IF(L148="Accepted","Accepted",IF(L148="Rejected","Rejected",IF(J148="Yes","Awaiting Inspection",IF(I148="Yes","Snug-Tight","Pending")))))</f>
        <v/>
      </c>
      <c r="N148" s="12" t="n"/>
      <c r="O148" s="12" t="n"/>
    </row>
    <row r="149">
      <c r="A149" s="14" t="n"/>
      <c r="B149" s="12" t="n"/>
      <c r="C149" s="12" t="n"/>
      <c r="D149" s="12" t="n"/>
      <c r="E149" s="12" t="n"/>
      <c r="F149" s="12" t="n"/>
      <c r="G149" s="16" t="n"/>
      <c r="H149" s="12" t="n"/>
      <c r="I149" s="12" t="n"/>
      <c r="J149" s="12" t="n"/>
      <c r="K149" s="12" t="n"/>
      <c r="L149" s="12" t="n"/>
      <c r="M149" s="12">
        <f>IF(B149="","",IF(L149="Accepted","Accepted",IF(L149="Rejected","Rejected",IF(J149="Yes","Awaiting Inspection",IF(I149="Yes","Snug-Tight","Pending")))))</f>
        <v/>
      </c>
      <c r="N149" s="12" t="n"/>
      <c r="O149" s="12" t="n"/>
    </row>
    <row r="150">
      <c r="A150" s="14" t="n"/>
      <c r="B150" s="12" t="n"/>
      <c r="C150" s="12" t="n"/>
      <c r="D150" s="12" t="n"/>
      <c r="E150" s="12" t="n"/>
      <c r="F150" s="12" t="n"/>
      <c r="G150" s="16" t="n"/>
      <c r="H150" s="12" t="n"/>
      <c r="I150" s="12" t="n"/>
      <c r="J150" s="12" t="n"/>
      <c r="K150" s="12" t="n"/>
      <c r="L150" s="12" t="n"/>
      <c r="M150" s="12">
        <f>IF(B150="","",IF(L150="Accepted","Accepted",IF(L150="Rejected","Rejected",IF(J150="Yes","Awaiting Inspection",IF(I150="Yes","Snug-Tight","Pending")))))</f>
        <v/>
      </c>
      <c r="N150" s="12" t="n"/>
      <c r="O150" s="12" t="n"/>
    </row>
    <row r="151">
      <c r="A151" s="14" t="n"/>
      <c r="B151" s="12" t="n"/>
      <c r="C151" s="12" t="n"/>
      <c r="D151" s="12" t="n"/>
      <c r="E151" s="12" t="n"/>
      <c r="F151" s="12" t="n"/>
      <c r="G151" s="16" t="n"/>
      <c r="H151" s="12" t="n"/>
      <c r="I151" s="12" t="n"/>
      <c r="J151" s="12" t="n"/>
      <c r="K151" s="12" t="n"/>
      <c r="L151" s="12" t="n"/>
      <c r="M151" s="12">
        <f>IF(B151="","",IF(L151="Accepted","Accepted",IF(L151="Rejected","Rejected",IF(J151="Yes","Awaiting Inspection",IF(I151="Yes","Snug-Tight","Pending")))))</f>
        <v/>
      </c>
      <c r="N151" s="12" t="n"/>
      <c r="O151" s="12" t="n"/>
    </row>
    <row r="152">
      <c r="A152" s="14" t="n"/>
      <c r="B152" s="12" t="n"/>
      <c r="C152" s="12" t="n"/>
      <c r="D152" s="12" t="n"/>
      <c r="E152" s="12" t="n"/>
      <c r="F152" s="12" t="n"/>
      <c r="G152" s="16" t="n"/>
      <c r="H152" s="12" t="n"/>
      <c r="I152" s="12" t="n"/>
      <c r="J152" s="12" t="n"/>
      <c r="K152" s="12" t="n"/>
      <c r="L152" s="12" t="n"/>
      <c r="M152" s="12">
        <f>IF(B152="","",IF(L152="Accepted","Accepted",IF(L152="Rejected","Rejected",IF(J152="Yes","Awaiting Inspection",IF(I152="Yes","Snug-Tight","Pending")))))</f>
        <v/>
      </c>
      <c r="N152" s="12" t="n"/>
      <c r="O152" s="12" t="n"/>
    </row>
    <row r="153">
      <c r="A153" s="14" t="n"/>
      <c r="B153" s="12" t="n"/>
      <c r="C153" s="12" t="n"/>
      <c r="D153" s="12" t="n"/>
      <c r="E153" s="12" t="n"/>
      <c r="F153" s="12" t="n"/>
      <c r="G153" s="16" t="n"/>
      <c r="H153" s="12" t="n"/>
      <c r="I153" s="12" t="n"/>
      <c r="J153" s="12" t="n"/>
      <c r="K153" s="12" t="n"/>
      <c r="L153" s="12" t="n"/>
      <c r="M153" s="12">
        <f>IF(B153="","",IF(L153="Accepted","Accepted",IF(L153="Rejected","Rejected",IF(J153="Yes","Awaiting Inspection",IF(I153="Yes","Snug-Tight","Pending")))))</f>
        <v/>
      </c>
      <c r="N153" s="12" t="n"/>
      <c r="O153" s="12" t="n"/>
    </row>
    <row r="154">
      <c r="A154" s="14" t="n"/>
      <c r="B154" s="12" t="n"/>
      <c r="C154" s="12" t="n"/>
      <c r="D154" s="12" t="n"/>
      <c r="E154" s="12" t="n"/>
      <c r="F154" s="12" t="n"/>
      <c r="G154" s="16" t="n"/>
      <c r="H154" s="12" t="n"/>
      <c r="I154" s="12" t="n"/>
      <c r="J154" s="12" t="n"/>
      <c r="K154" s="12" t="n"/>
      <c r="L154" s="12" t="n"/>
      <c r="M154" s="12">
        <f>IF(B154="","",IF(L154="Accepted","Accepted",IF(L154="Rejected","Rejected",IF(J154="Yes","Awaiting Inspection",IF(I154="Yes","Snug-Tight","Pending")))))</f>
        <v/>
      </c>
      <c r="N154" s="12" t="n"/>
      <c r="O154" s="12" t="n"/>
    </row>
    <row r="155">
      <c r="A155" s="14" t="n"/>
      <c r="B155" s="12" t="n"/>
      <c r="C155" s="12" t="n"/>
      <c r="D155" s="12" t="n"/>
      <c r="E155" s="12" t="n"/>
      <c r="F155" s="12" t="n"/>
      <c r="G155" s="16" t="n"/>
      <c r="H155" s="12" t="n"/>
      <c r="I155" s="12" t="n"/>
      <c r="J155" s="12" t="n"/>
      <c r="K155" s="12" t="n"/>
      <c r="L155" s="12" t="n"/>
      <c r="M155" s="12">
        <f>IF(B155="","",IF(L155="Accepted","Accepted",IF(L155="Rejected","Rejected",IF(J155="Yes","Awaiting Inspection",IF(I155="Yes","Snug-Tight","Pending")))))</f>
        <v/>
      </c>
      <c r="N155" s="12" t="n"/>
      <c r="O155" s="12" t="n"/>
    </row>
    <row r="156">
      <c r="A156" s="14" t="n"/>
      <c r="B156" s="12" t="n"/>
      <c r="C156" s="12" t="n"/>
      <c r="D156" s="12" t="n"/>
      <c r="E156" s="12" t="n"/>
      <c r="F156" s="12" t="n"/>
      <c r="G156" s="16" t="n"/>
      <c r="H156" s="12" t="n"/>
      <c r="I156" s="12" t="n"/>
      <c r="J156" s="12" t="n"/>
      <c r="K156" s="12" t="n"/>
      <c r="L156" s="12" t="n"/>
      <c r="M156" s="12">
        <f>IF(B156="","",IF(L156="Accepted","Accepted",IF(L156="Rejected","Rejected",IF(J156="Yes","Awaiting Inspection",IF(I156="Yes","Snug-Tight","Pending")))))</f>
        <v/>
      </c>
      <c r="N156" s="12" t="n"/>
      <c r="O156" s="12" t="n"/>
    </row>
    <row r="157">
      <c r="A157" s="14" t="n"/>
      <c r="B157" s="12" t="n"/>
      <c r="C157" s="12" t="n"/>
      <c r="D157" s="12" t="n"/>
      <c r="E157" s="12" t="n"/>
      <c r="F157" s="12" t="n"/>
      <c r="G157" s="16" t="n"/>
      <c r="H157" s="12" t="n"/>
      <c r="I157" s="12" t="n"/>
      <c r="J157" s="12" t="n"/>
      <c r="K157" s="12" t="n"/>
      <c r="L157" s="12" t="n"/>
      <c r="M157" s="12">
        <f>IF(B157="","",IF(L157="Accepted","Accepted",IF(L157="Rejected","Rejected",IF(J157="Yes","Awaiting Inspection",IF(I157="Yes","Snug-Tight","Pending")))))</f>
        <v/>
      </c>
      <c r="N157" s="12" t="n"/>
      <c r="O157" s="12" t="n"/>
    </row>
    <row r="158">
      <c r="A158" s="14" t="n"/>
      <c r="B158" s="12" t="n"/>
      <c r="C158" s="12" t="n"/>
      <c r="D158" s="12" t="n"/>
      <c r="E158" s="12" t="n"/>
      <c r="F158" s="12" t="n"/>
      <c r="G158" s="16" t="n"/>
      <c r="H158" s="12" t="n"/>
      <c r="I158" s="12" t="n"/>
      <c r="J158" s="12" t="n"/>
      <c r="K158" s="12" t="n"/>
      <c r="L158" s="12" t="n"/>
      <c r="M158" s="12">
        <f>IF(B158="","",IF(L158="Accepted","Accepted",IF(L158="Rejected","Rejected",IF(J158="Yes","Awaiting Inspection",IF(I158="Yes","Snug-Tight","Pending")))))</f>
        <v/>
      </c>
      <c r="N158" s="12" t="n"/>
      <c r="O158" s="12" t="n"/>
    </row>
    <row r="159">
      <c r="A159" s="14" t="n"/>
      <c r="B159" s="12" t="n"/>
      <c r="C159" s="12" t="n"/>
      <c r="D159" s="12" t="n"/>
      <c r="E159" s="12" t="n"/>
      <c r="F159" s="12" t="n"/>
      <c r="G159" s="16" t="n"/>
      <c r="H159" s="12" t="n"/>
      <c r="I159" s="12" t="n"/>
      <c r="J159" s="12" t="n"/>
      <c r="K159" s="12" t="n"/>
      <c r="L159" s="12" t="n"/>
      <c r="M159" s="12">
        <f>IF(B159="","",IF(L159="Accepted","Accepted",IF(L159="Rejected","Rejected",IF(J159="Yes","Awaiting Inspection",IF(I159="Yes","Snug-Tight","Pending")))))</f>
        <v/>
      </c>
      <c r="N159" s="12" t="n"/>
      <c r="O159" s="12" t="n"/>
    </row>
    <row r="160">
      <c r="A160" s="14" t="n"/>
      <c r="B160" s="12" t="n"/>
      <c r="C160" s="12" t="n"/>
      <c r="D160" s="12" t="n"/>
      <c r="E160" s="12" t="n"/>
      <c r="F160" s="12" t="n"/>
      <c r="G160" s="16" t="n"/>
      <c r="H160" s="12" t="n"/>
      <c r="I160" s="12" t="n"/>
      <c r="J160" s="12" t="n"/>
      <c r="K160" s="12" t="n"/>
      <c r="L160" s="12" t="n"/>
      <c r="M160" s="12">
        <f>IF(B160="","",IF(L160="Accepted","Accepted",IF(L160="Rejected","Rejected",IF(J160="Yes","Awaiting Inspection",IF(I160="Yes","Snug-Tight","Pending")))))</f>
        <v/>
      </c>
      <c r="N160" s="12" t="n"/>
      <c r="O160" s="12" t="n"/>
    </row>
    <row r="161">
      <c r="A161" s="14" t="n"/>
      <c r="B161" s="12" t="n"/>
      <c r="C161" s="12" t="n"/>
      <c r="D161" s="12" t="n"/>
      <c r="E161" s="12" t="n"/>
      <c r="F161" s="12" t="n"/>
      <c r="G161" s="16" t="n"/>
      <c r="H161" s="12" t="n"/>
      <c r="I161" s="12" t="n"/>
      <c r="J161" s="12" t="n"/>
      <c r="K161" s="12" t="n"/>
      <c r="L161" s="12" t="n"/>
      <c r="M161" s="12">
        <f>IF(B161="","",IF(L161="Accepted","Accepted",IF(L161="Rejected","Rejected",IF(J161="Yes","Awaiting Inspection",IF(I161="Yes","Snug-Tight","Pending")))))</f>
        <v/>
      </c>
      <c r="N161" s="12" t="n"/>
      <c r="O161" s="12" t="n"/>
    </row>
    <row r="162">
      <c r="A162" s="14" t="n"/>
      <c r="B162" s="12" t="n"/>
      <c r="C162" s="12" t="n"/>
      <c r="D162" s="12" t="n"/>
      <c r="E162" s="12" t="n"/>
      <c r="F162" s="12" t="n"/>
      <c r="G162" s="16" t="n"/>
      <c r="H162" s="12" t="n"/>
      <c r="I162" s="12" t="n"/>
      <c r="J162" s="12" t="n"/>
      <c r="K162" s="12" t="n"/>
      <c r="L162" s="12" t="n"/>
      <c r="M162" s="12">
        <f>IF(B162="","",IF(L162="Accepted","Accepted",IF(L162="Rejected","Rejected",IF(J162="Yes","Awaiting Inspection",IF(I162="Yes","Snug-Tight","Pending")))))</f>
        <v/>
      </c>
      <c r="N162" s="12" t="n"/>
      <c r="O162" s="12" t="n"/>
    </row>
    <row r="163">
      <c r="A163" s="14" t="n"/>
      <c r="B163" s="12" t="n"/>
      <c r="C163" s="12" t="n"/>
      <c r="D163" s="12" t="n"/>
      <c r="E163" s="12" t="n"/>
      <c r="F163" s="12" t="n"/>
      <c r="G163" s="16" t="n"/>
      <c r="H163" s="12" t="n"/>
      <c r="I163" s="12" t="n"/>
      <c r="J163" s="12" t="n"/>
      <c r="K163" s="12" t="n"/>
      <c r="L163" s="12" t="n"/>
      <c r="M163" s="12">
        <f>IF(B163="","",IF(L163="Accepted","Accepted",IF(L163="Rejected","Rejected",IF(J163="Yes","Awaiting Inspection",IF(I163="Yes","Snug-Tight","Pending")))))</f>
        <v/>
      </c>
      <c r="N163" s="12" t="n"/>
      <c r="O163" s="12" t="n"/>
    </row>
    <row r="164">
      <c r="A164" s="14" t="n"/>
      <c r="B164" s="12" t="n"/>
      <c r="C164" s="12" t="n"/>
      <c r="D164" s="12" t="n"/>
      <c r="E164" s="12" t="n"/>
      <c r="F164" s="12" t="n"/>
      <c r="G164" s="16" t="n"/>
      <c r="H164" s="12" t="n"/>
      <c r="I164" s="12" t="n"/>
      <c r="J164" s="12" t="n"/>
      <c r="K164" s="12" t="n"/>
      <c r="L164" s="12" t="n"/>
      <c r="M164" s="12">
        <f>IF(B164="","",IF(L164="Accepted","Accepted",IF(L164="Rejected","Rejected",IF(J164="Yes","Awaiting Inspection",IF(I164="Yes","Snug-Tight","Pending")))))</f>
        <v/>
      </c>
      <c r="N164" s="12" t="n"/>
      <c r="O164" s="12" t="n"/>
    </row>
    <row r="165">
      <c r="A165" s="14" t="n"/>
      <c r="B165" s="12" t="n"/>
      <c r="C165" s="12" t="n"/>
      <c r="D165" s="12" t="n"/>
      <c r="E165" s="12" t="n"/>
      <c r="F165" s="12" t="n"/>
      <c r="G165" s="16" t="n"/>
      <c r="H165" s="12" t="n"/>
      <c r="I165" s="12" t="n"/>
      <c r="J165" s="12" t="n"/>
      <c r="K165" s="12" t="n"/>
      <c r="L165" s="12" t="n"/>
      <c r="M165" s="12">
        <f>IF(B165="","",IF(L165="Accepted","Accepted",IF(L165="Rejected","Rejected",IF(J165="Yes","Awaiting Inspection",IF(I165="Yes","Snug-Tight","Pending")))))</f>
        <v/>
      </c>
      <c r="N165" s="12" t="n"/>
      <c r="O165" s="12" t="n"/>
    </row>
    <row r="166">
      <c r="A166" s="14" t="n"/>
      <c r="B166" s="12" t="n"/>
      <c r="C166" s="12" t="n"/>
      <c r="D166" s="12" t="n"/>
      <c r="E166" s="12" t="n"/>
      <c r="F166" s="12" t="n"/>
      <c r="G166" s="16" t="n"/>
      <c r="H166" s="12" t="n"/>
      <c r="I166" s="12" t="n"/>
      <c r="J166" s="12" t="n"/>
      <c r="K166" s="12" t="n"/>
      <c r="L166" s="12" t="n"/>
      <c r="M166" s="12">
        <f>IF(B166="","",IF(L166="Accepted","Accepted",IF(L166="Rejected","Rejected",IF(J166="Yes","Awaiting Inspection",IF(I166="Yes","Snug-Tight","Pending")))))</f>
        <v/>
      </c>
      <c r="N166" s="12" t="n"/>
      <c r="O166" s="12" t="n"/>
    </row>
    <row r="167">
      <c r="A167" s="14" t="n"/>
      <c r="B167" s="12" t="n"/>
      <c r="C167" s="12" t="n"/>
      <c r="D167" s="12" t="n"/>
      <c r="E167" s="12" t="n"/>
      <c r="F167" s="12" t="n"/>
      <c r="G167" s="16" t="n"/>
      <c r="H167" s="12" t="n"/>
      <c r="I167" s="12" t="n"/>
      <c r="J167" s="12" t="n"/>
      <c r="K167" s="12" t="n"/>
      <c r="L167" s="12" t="n"/>
      <c r="M167" s="12">
        <f>IF(B167="","",IF(L167="Accepted","Accepted",IF(L167="Rejected","Rejected",IF(J167="Yes","Awaiting Inspection",IF(I167="Yes","Snug-Tight","Pending")))))</f>
        <v/>
      </c>
      <c r="N167" s="12" t="n"/>
      <c r="O167" s="12" t="n"/>
    </row>
    <row r="168">
      <c r="A168" s="14" t="n"/>
      <c r="B168" s="12" t="n"/>
      <c r="C168" s="12" t="n"/>
      <c r="D168" s="12" t="n"/>
      <c r="E168" s="12" t="n"/>
      <c r="F168" s="12" t="n"/>
      <c r="G168" s="16" t="n"/>
      <c r="H168" s="12" t="n"/>
      <c r="I168" s="12" t="n"/>
      <c r="J168" s="12" t="n"/>
      <c r="K168" s="12" t="n"/>
      <c r="L168" s="12" t="n"/>
      <c r="M168" s="12">
        <f>IF(B168="","",IF(L168="Accepted","Accepted",IF(L168="Rejected","Rejected",IF(J168="Yes","Awaiting Inspection",IF(I168="Yes","Snug-Tight","Pending")))))</f>
        <v/>
      </c>
      <c r="N168" s="12" t="n"/>
      <c r="O168" s="12" t="n"/>
    </row>
    <row r="169">
      <c r="A169" s="14" t="n"/>
      <c r="B169" s="12" t="n"/>
      <c r="C169" s="12" t="n"/>
      <c r="D169" s="12" t="n"/>
      <c r="E169" s="12" t="n"/>
      <c r="F169" s="12" t="n"/>
      <c r="G169" s="16" t="n"/>
      <c r="H169" s="12" t="n"/>
      <c r="I169" s="12" t="n"/>
      <c r="J169" s="12" t="n"/>
      <c r="K169" s="12" t="n"/>
      <c r="L169" s="12" t="n"/>
      <c r="M169" s="12">
        <f>IF(B169="","",IF(L169="Accepted","Accepted",IF(L169="Rejected","Rejected",IF(J169="Yes","Awaiting Inspection",IF(I169="Yes","Snug-Tight","Pending")))))</f>
        <v/>
      </c>
      <c r="N169" s="12" t="n"/>
      <c r="O169" s="12" t="n"/>
    </row>
    <row r="170">
      <c r="A170" s="14" t="n"/>
      <c r="B170" s="12" t="n"/>
      <c r="C170" s="12" t="n"/>
      <c r="D170" s="12" t="n"/>
      <c r="E170" s="12" t="n"/>
      <c r="F170" s="12" t="n"/>
      <c r="G170" s="16" t="n"/>
      <c r="H170" s="12" t="n"/>
      <c r="I170" s="12" t="n"/>
      <c r="J170" s="12" t="n"/>
      <c r="K170" s="12" t="n"/>
      <c r="L170" s="12" t="n"/>
      <c r="M170" s="12">
        <f>IF(B170="","",IF(L170="Accepted","Accepted",IF(L170="Rejected","Rejected",IF(J170="Yes","Awaiting Inspection",IF(I170="Yes","Snug-Tight","Pending")))))</f>
        <v/>
      </c>
      <c r="N170" s="12" t="n"/>
      <c r="O170" s="12" t="n"/>
    </row>
    <row r="171">
      <c r="A171" s="14" t="n"/>
      <c r="B171" s="12" t="n"/>
      <c r="C171" s="12" t="n"/>
      <c r="D171" s="12" t="n"/>
      <c r="E171" s="12" t="n"/>
      <c r="F171" s="12" t="n"/>
      <c r="G171" s="16" t="n"/>
      <c r="H171" s="12" t="n"/>
      <c r="I171" s="12" t="n"/>
      <c r="J171" s="12" t="n"/>
      <c r="K171" s="12" t="n"/>
      <c r="L171" s="12" t="n"/>
      <c r="M171" s="12">
        <f>IF(B171="","",IF(L171="Accepted","Accepted",IF(L171="Rejected","Rejected",IF(J171="Yes","Awaiting Inspection",IF(I171="Yes","Snug-Tight","Pending")))))</f>
        <v/>
      </c>
      <c r="N171" s="12" t="n"/>
      <c r="O171" s="12" t="n"/>
    </row>
    <row r="172">
      <c r="A172" s="14" t="n"/>
      <c r="B172" s="12" t="n"/>
      <c r="C172" s="12" t="n"/>
      <c r="D172" s="12" t="n"/>
      <c r="E172" s="12" t="n"/>
      <c r="F172" s="12" t="n"/>
      <c r="G172" s="16" t="n"/>
      <c r="H172" s="12" t="n"/>
      <c r="I172" s="12" t="n"/>
      <c r="J172" s="12" t="n"/>
      <c r="K172" s="12" t="n"/>
      <c r="L172" s="12" t="n"/>
      <c r="M172" s="12">
        <f>IF(B172="","",IF(L172="Accepted","Accepted",IF(L172="Rejected","Rejected",IF(J172="Yes","Awaiting Inspection",IF(I172="Yes","Snug-Tight","Pending")))))</f>
        <v/>
      </c>
      <c r="N172" s="12" t="n"/>
      <c r="O172" s="12" t="n"/>
    </row>
    <row r="173">
      <c r="A173" s="14" t="n"/>
      <c r="B173" s="12" t="n"/>
      <c r="C173" s="12" t="n"/>
      <c r="D173" s="12" t="n"/>
      <c r="E173" s="12" t="n"/>
      <c r="F173" s="12" t="n"/>
      <c r="G173" s="16" t="n"/>
      <c r="H173" s="12" t="n"/>
      <c r="I173" s="12" t="n"/>
      <c r="J173" s="12" t="n"/>
      <c r="K173" s="12" t="n"/>
      <c r="L173" s="12" t="n"/>
      <c r="M173" s="12">
        <f>IF(B173="","",IF(L173="Accepted","Accepted",IF(L173="Rejected","Rejected",IF(J173="Yes","Awaiting Inspection",IF(I173="Yes","Snug-Tight","Pending")))))</f>
        <v/>
      </c>
      <c r="N173" s="12" t="n"/>
      <c r="O173" s="12" t="n"/>
    </row>
    <row r="174">
      <c r="A174" s="14" t="n"/>
      <c r="B174" s="12" t="n"/>
      <c r="C174" s="12" t="n"/>
      <c r="D174" s="12" t="n"/>
      <c r="E174" s="12" t="n"/>
      <c r="F174" s="12" t="n"/>
      <c r="G174" s="16" t="n"/>
      <c r="H174" s="12" t="n"/>
      <c r="I174" s="12" t="n"/>
      <c r="J174" s="12" t="n"/>
      <c r="K174" s="12" t="n"/>
      <c r="L174" s="12" t="n"/>
      <c r="M174" s="12">
        <f>IF(B174="","",IF(L174="Accepted","Accepted",IF(L174="Rejected","Rejected",IF(J174="Yes","Awaiting Inspection",IF(I174="Yes","Snug-Tight","Pending")))))</f>
        <v/>
      </c>
      <c r="N174" s="12" t="n"/>
      <c r="O174" s="12" t="n"/>
    </row>
    <row r="175">
      <c r="A175" s="14" t="n"/>
      <c r="B175" s="12" t="n"/>
      <c r="C175" s="12" t="n"/>
      <c r="D175" s="12" t="n"/>
      <c r="E175" s="12" t="n"/>
      <c r="F175" s="12" t="n"/>
      <c r="G175" s="16" t="n"/>
      <c r="H175" s="12" t="n"/>
      <c r="I175" s="12" t="n"/>
      <c r="J175" s="12" t="n"/>
      <c r="K175" s="12" t="n"/>
      <c r="L175" s="12" t="n"/>
      <c r="M175" s="12">
        <f>IF(B175="","",IF(L175="Accepted","Accepted",IF(L175="Rejected","Rejected",IF(J175="Yes","Awaiting Inspection",IF(I175="Yes","Snug-Tight","Pending")))))</f>
        <v/>
      </c>
      <c r="N175" s="12" t="n"/>
      <c r="O175" s="12" t="n"/>
    </row>
    <row r="176">
      <c r="A176" s="14" t="n"/>
      <c r="B176" s="12" t="n"/>
      <c r="C176" s="12" t="n"/>
      <c r="D176" s="12" t="n"/>
      <c r="E176" s="12" t="n"/>
      <c r="F176" s="12" t="n"/>
      <c r="G176" s="16" t="n"/>
      <c r="H176" s="12" t="n"/>
      <c r="I176" s="12" t="n"/>
      <c r="J176" s="12" t="n"/>
      <c r="K176" s="12" t="n"/>
      <c r="L176" s="12" t="n"/>
      <c r="M176" s="12">
        <f>IF(B176="","",IF(L176="Accepted","Accepted",IF(L176="Rejected","Rejected",IF(J176="Yes","Awaiting Inspection",IF(I176="Yes","Snug-Tight","Pending")))))</f>
        <v/>
      </c>
      <c r="N176" s="12" t="n"/>
      <c r="O176" s="12" t="n"/>
    </row>
    <row r="177">
      <c r="A177" s="14" t="n"/>
      <c r="B177" s="12" t="n"/>
      <c r="C177" s="12" t="n"/>
      <c r="D177" s="12" t="n"/>
      <c r="E177" s="12" t="n"/>
      <c r="F177" s="12" t="n"/>
      <c r="G177" s="16" t="n"/>
      <c r="H177" s="12" t="n"/>
      <c r="I177" s="12" t="n"/>
      <c r="J177" s="12" t="n"/>
      <c r="K177" s="12" t="n"/>
      <c r="L177" s="12" t="n"/>
      <c r="M177" s="12">
        <f>IF(B177="","",IF(L177="Accepted","Accepted",IF(L177="Rejected","Rejected",IF(J177="Yes","Awaiting Inspection",IF(I177="Yes","Snug-Tight","Pending")))))</f>
        <v/>
      </c>
      <c r="N177" s="12" t="n"/>
      <c r="O177" s="12" t="n"/>
    </row>
    <row r="178">
      <c r="A178" s="14" t="n"/>
      <c r="B178" s="12" t="n"/>
      <c r="C178" s="12" t="n"/>
      <c r="D178" s="12" t="n"/>
      <c r="E178" s="12" t="n"/>
      <c r="F178" s="12" t="n"/>
      <c r="G178" s="16" t="n"/>
      <c r="H178" s="12" t="n"/>
      <c r="I178" s="12" t="n"/>
      <c r="J178" s="12" t="n"/>
      <c r="K178" s="12" t="n"/>
      <c r="L178" s="12" t="n"/>
      <c r="M178" s="12">
        <f>IF(B178="","",IF(L178="Accepted","Accepted",IF(L178="Rejected","Rejected",IF(J178="Yes","Awaiting Inspection",IF(I178="Yes","Snug-Tight","Pending")))))</f>
        <v/>
      </c>
      <c r="N178" s="12" t="n"/>
      <c r="O178" s="12" t="n"/>
    </row>
    <row r="179">
      <c r="A179" s="14" t="n"/>
      <c r="B179" s="12" t="n"/>
      <c r="C179" s="12" t="n"/>
      <c r="D179" s="12" t="n"/>
      <c r="E179" s="12" t="n"/>
      <c r="F179" s="12" t="n"/>
      <c r="G179" s="16" t="n"/>
      <c r="H179" s="12" t="n"/>
      <c r="I179" s="12" t="n"/>
      <c r="J179" s="12" t="n"/>
      <c r="K179" s="12" t="n"/>
      <c r="L179" s="12" t="n"/>
      <c r="M179" s="12">
        <f>IF(B179="","",IF(L179="Accepted","Accepted",IF(L179="Rejected","Rejected",IF(J179="Yes","Awaiting Inspection",IF(I179="Yes","Snug-Tight","Pending")))))</f>
        <v/>
      </c>
      <c r="N179" s="12" t="n"/>
      <c r="O179" s="12" t="n"/>
    </row>
    <row r="180">
      <c r="A180" s="14" t="n"/>
      <c r="B180" s="12" t="n"/>
      <c r="C180" s="12" t="n"/>
      <c r="D180" s="12" t="n"/>
      <c r="E180" s="12" t="n"/>
      <c r="F180" s="12" t="n"/>
      <c r="G180" s="16" t="n"/>
      <c r="H180" s="12" t="n"/>
      <c r="I180" s="12" t="n"/>
      <c r="J180" s="12" t="n"/>
      <c r="K180" s="12" t="n"/>
      <c r="L180" s="12" t="n"/>
      <c r="M180" s="12">
        <f>IF(B180="","",IF(L180="Accepted","Accepted",IF(L180="Rejected","Rejected",IF(J180="Yes","Awaiting Inspection",IF(I180="Yes","Snug-Tight","Pending")))))</f>
        <v/>
      </c>
      <c r="N180" s="12" t="n"/>
      <c r="O180" s="12" t="n"/>
    </row>
    <row r="181">
      <c r="A181" s="14" t="n"/>
      <c r="B181" s="12" t="n"/>
      <c r="C181" s="12" t="n"/>
      <c r="D181" s="12" t="n"/>
      <c r="E181" s="12" t="n"/>
      <c r="F181" s="12" t="n"/>
      <c r="G181" s="16" t="n"/>
      <c r="H181" s="12" t="n"/>
      <c r="I181" s="12" t="n"/>
      <c r="J181" s="12" t="n"/>
      <c r="K181" s="12" t="n"/>
      <c r="L181" s="12" t="n"/>
      <c r="M181" s="12">
        <f>IF(B181="","",IF(L181="Accepted","Accepted",IF(L181="Rejected","Rejected",IF(J181="Yes","Awaiting Inspection",IF(I181="Yes","Snug-Tight","Pending")))))</f>
        <v/>
      </c>
      <c r="N181" s="12" t="n"/>
      <c r="O181" s="12" t="n"/>
    </row>
    <row r="182">
      <c r="A182" s="14" t="n"/>
      <c r="B182" s="12" t="n"/>
      <c r="C182" s="12" t="n"/>
      <c r="D182" s="12" t="n"/>
      <c r="E182" s="12" t="n"/>
      <c r="F182" s="12" t="n"/>
      <c r="G182" s="16" t="n"/>
      <c r="H182" s="12" t="n"/>
      <c r="I182" s="12" t="n"/>
      <c r="J182" s="12" t="n"/>
      <c r="K182" s="12" t="n"/>
      <c r="L182" s="12" t="n"/>
      <c r="M182" s="12">
        <f>IF(B182="","",IF(L182="Accepted","Accepted",IF(L182="Rejected","Rejected",IF(J182="Yes","Awaiting Inspection",IF(I182="Yes","Snug-Tight","Pending")))))</f>
        <v/>
      </c>
      <c r="N182" s="12" t="n"/>
      <c r="O182" s="12" t="n"/>
    </row>
    <row r="183">
      <c r="A183" s="14" t="n"/>
      <c r="B183" s="12" t="n"/>
      <c r="C183" s="12" t="n"/>
      <c r="D183" s="12" t="n"/>
      <c r="E183" s="12" t="n"/>
      <c r="F183" s="12" t="n"/>
      <c r="G183" s="16" t="n"/>
      <c r="H183" s="12" t="n"/>
      <c r="I183" s="12" t="n"/>
      <c r="J183" s="12" t="n"/>
      <c r="K183" s="12" t="n"/>
      <c r="L183" s="12" t="n"/>
      <c r="M183" s="12">
        <f>IF(B183="","",IF(L183="Accepted","Accepted",IF(L183="Rejected","Rejected",IF(J183="Yes","Awaiting Inspection",IF(I183="Yes","Snug-Tight","Pending")))))</f>
        <v/>
      </c>
      <c r="N183" s="12" t="n"/>
      <c r="O183" s="12" t="n"/>
    </row>
    <row r="184">
      <c r="A184" s="14" t="n"/>
      <c r="B184" s="12" t="n"/>
      <c r="C184" s="12" t="n"/>
      <c r="D184" s="12" t="n"/>
      <c r="E184" s="12" t="n"/>
      <c r="F184" s="12" t="n"/>
      <c r="G184" s="16" t="n"/>
      <c r="H184" s="12" t="n"/>
      <c r="I184" s="12" t="n"/>
      <c r="J184" s="12" t="n"/>
      <c r="K184" s="12" t="n"/>
      <c r="L184" s="12" t="n"/>
      <c r="M184" s="12">
        <f>IF(B184="","",IF(L184="Accepted","Accepted",IF(L184="Rejected","Rejected",IF(J184="Yes","Awaiting Inspection",IF(I184="Yes","Snug-Tight","Pending")))))</f>
        <v/>
      </c>
      <c r="N184" s="12" t="n"/>
      <c r="O184" s="12" t="n"/>
    </row>
    <row r="185">
      <c r="A185" s="14" t="n"/>
      <c r="B185" s="12" t="n"/>
      <c r="C185" s="12" t="n"/>
      <c r="D185" s="12" t="n"/>
      <c r="E185" s="12" t="n"/>
      <c r="F185" s="12" t="n"/>
      <c r="G185" s="16" t="n"/>
      <c r="H185" s="12" t="n"/>
      <c r="I185" s="12" t="n"/>
      <c r="J185" s="12" t="n"/>
      <c r="K185" s="12" t="n"/>
      <c r="L185" s="12" t="n"/>
      <c r="M185" s="12">
        <f>IF(B185="","",IF(L185="Accepted","Accepted",IF(L185="Rejected","Rejected",IF(J185="Yes","Awaiting Inspection",IF(I185="Yes","Snug-Tight","Pending")))))</f>
        <v/>
      </c>
      <c r="N185" s="12" t="n"/>
      <c r="O185" s="12" t="n"/>
    </row>
    <row r="186">
      <c r="A186" s="14" t="n"/>
      <c r="B186" s="12" t="n"/>
      <c r="C186" s="12" t="n"/>
      <c r="D186" s="12" t="n"/>
      <c r="E186" s="12" t="n"/>
      <c r="F186" s="12" t="n"/>
      <c r="G186" s="16" t="n"/>
      <c r="H186" s="12" t="n"/>
      <c r="I186" s="12" t="n"/>
      <c r="J186" s="12" t="n"/>
      <c r="K186" s="12" t="n"/>
      <c r="L186" s="12" t="n"/>
      <c r="M186" s="12">
        <f>IF(B186="","",IF(L186="Accepted","Accepted",IF(L186="Rejected","Rejected",IF(J186="Yes","Awaiting Inspection",IF(I186="Yes","Snug-Tight","Pending")))))</f>
        <v/>
      </c>
      <c r="N186" s="12" t="n"/>
      <c r="O186" s="12" t="n"/>
    </row>
    <row r="187">
      <c r="A187" s="14" t="n"/>
      <c r="B187" s="12" t="n"/>
      <c r="C187" s="12" t="n"/>
      <c r="D187" s="12" t="n"/>
      <c r="E187" s="12" t="n"/>
      <c r="F187" s="12" t="n"/>
      <c r="G187" s="16" t="n"/>
      <c r="H187" s="12" t="n"/>
      <c r="I187" s="12" t="n"/>
      <c r="J187" s="12" t="n"/>
      <c r="K187" s="12" t="n"/>
      <c r="L187" s="12" t="n"/>
      <c r="M187" s="12">
        <f>IF(B187="","",IF(L187="Accepted","Accepted",IF(L187="Rejected","Rejected",IF(J187="Yes","Awaiting Inspection",IF(I187="Yes","Snug-Tight","Pending")))))</f>
        <v/>
      </c>
      <c r="N187" s="12" t="n"/>
      <c r="O187" s="12" t="n"/>
    </row>
    <row r="188">
      <c r="A188" s="14" t="n"/>
      <c r="B188" s="12" t="n"/>
      <c r="C188" s="12" t="n"/>
      <c r="D188" s="12" t="n"/>
      <c r="E188" s="12" t="n"/>
      <c r="F188" s="12" t="n"/>
      <c r="G188" s="16" t="n"/>
      <c r="H188" s="12" t="n"/>
      <c r="I188" s="12" t="n"/>
      <c r="J188" s="12" t="n"/>
      <c r="K188" s="12" t="n"/>
      <c r="L188" s="12" t="n"/>
      <c r="M188" s="12">
        <f>IF(B188="","",IF(L188="Accepted","Accepted",IF(L188="Rejected","Rejected",IF(J188="Yes","Awaiting Inspection",IF(I188="Yes","Snug-Tight","Pending")))))</f>
        <v/>
      </c>
      <c r="N188" s="12" t="n"/>
      <c r="O188" s="12" t="n"/>
    </row>
    <row r="189">
      <c r="A189" s="14" t="n"/>
      <c r="B189" s="12" t="n"/>
      <c r="C189" s="12" t="n"/>
      <c r="D189" s="12" t="n"/>
      <c r="E189" s="12" t="n"/>
      <c r="F189" s="12" t="n"/>
      <c r="G189" s="16" t="n"/>
      <c r="H189" s="12" t="n"/>
      <c r="I189" s="12" t="n"/>
      <c r="J189" s="12" t="n"/>
      <c r="K189" s="12" t="n"/>
      <c r="L189" s="12" t="n"/>
      <c r="M189" s="12">
        <f>IF(B189="","",IF(L189="Accepted","Accepted",IF(L189="Rejected","Rejected",IF(J189="Yes","Awaiting Inspection",IF(I189="Yes","Snug-Tight","Pending")))))</f>
        <v/>
      </c>
      <c r="N189" s="12" t="n"/>
      <c r="O189" s="12" t="n"/>
    </row>
    <row r="190">
      <c r="A190" s="14" t="n"/>
      <c r="B190" s="12" t="n"/>
      <c r="C190" s="12" t="n"/>
      <c r="D190" s="12" t="n"/>
      <c r="E190" s="12" t="n"/>
      <c r="F190" s="12" t="n"/>
      <c r="G190" s="16" t="n"/>
      <c r="H190" s="12" t="n"/>
      <c r="I190" s="12" t="n"/>
      <c r="J190" s="12" t="n"/>
      <c r="K190" s="12" t="n"/>
      <c r="L190" s="12" t="n"/>
      <c r="M190" s="12">
        <f>IF(B190="","",IF(L190="Accepted","Accepted",IF(L190="Rejected","Rejected",IF(J190="Yes","Awaiting Inspection",IF(I190="Yes","Snug-Tight","Pending")))))</f>
        <v/>
      </c>
      <c r="N190" s="12" t="n"/>
      <c r="O190" s="12" t="n"/>
    </row>
    <row r="191">
      <c r="A191" s="14" t="n"/>
      <c r="B191" s="12" t="n"/>
      <c r="C191" s="12" t="n"/>
      <c r="D191" s="12" t="n"/>
      <c r="E191" s="12" t="n"/>
      <c r="F191" s="12" t="n"/>
      <c r="G191" s="16" t="n"/>
      <c r="H191" s="12" t="n"/>
      <c r="I191" s="12" t="n"/>
      <c r="J191" s="12" t="n"/>
      <c r="K191" s="12" t="n"/>
      <c r="L191" s="12" t="n"/>
      <c r="M191" s="12">
        <f>IF(B191="","",IF(L191="Accepted","Accepted",IF(L191="Rejected","Rejected",IF(J191="Yes","Awaiting Inspection",IF(I191="Yes","Snug-Tight","Pending")))))</f>
        <v/>
      </c>
      <c r="N191" s="12" t="n"/>
      <c r="O191" s="12" t="n"/>
    </row>
    <row r="192">
      <c r="A192" s="14" t="n"/>
      <c r="B192" s="12" t="n"/>
      <c r="C192" s="12" t="n"/>
      <c r="D192" s="12" t="n"/>
      <c r="E192" s="12" t="n"/>
      <c r="F192" s="12" t="n"/>
      <c r="G192" s="16" t="n"/>
      <c r="H192" s="12" t="n"/>
      <c r="I192" s="12" t="n"/>
      <c r="J192" s="12" t="n"/>
      <c r="K192" s="12" t="n"/>
      <c r="L192" s="12" t="n"/>
      <c r="M192" s="12">
        <f>IF(B192="","",IF(L192="Accepted","Accepted",IF(L192="Rejected","Rejected",IF(J192="Yes","Awaiting Inspection",IF(I192="Yes","Snug-Tight","Pending")))))</f>
        <v/>
      </c>
      <c r="N192" s="12" t="n"/>
      <c r="O192" s="12" t="n"/>
    </row>
    <row r="193">
      <c r="A193" s="14" t="n"/>
      <c r="B193" s="12" t="n"/>
      <c r="C193" s="12" t="n"/>
      <c r="D193" s="12" t="n"/>
      <c r="E193" s="12" t="n"/>
      <c r="F193" s="12" t="n"/>
      <c r="G193" s="16" t="n"/>
      <c r="H193" s="12" t="n"/>
      <c r="I193" s="12" t="n"/>
      <c r="J193" s="12" t="n"/>
      <c r="K193" s="12" t="n"/>
      <c r="L193" s="12" t="n"/>
      <c r="M193" s="12">
        <f>IF(B193="","",IF(L193="Accepted","Accepted",IF(L193="Rejected","Rejected",IF(J193="Yes","Awaiting Inspection",IF(I193="Yes","Snug-Tight","Pending")))))</f>
        <v/>
      </c>
      <c r="N193" s="12" t="n"/>
      <c r="O193" s="12" t="n"/>
    </row>
    <row r="194">
      <c r="A194" s="14" t="n"/>
      <c r="B194" s="12" t="n"/>
      <c r="C194" s="12" t="n"/>
      <c r="D194" s="12" t="n"/>
      <c r="E194" s="12" t="n"/>
      <c r="F194" s="12" t="n"/>
      <c r="G194" s="16" t="n"/>
      <c r="H194" s="12" t="n"/>
      <c r="I194" s="12" t="n"/>
      <c r="J194" s="12" t="n"/>
      <c r="K194" s="12" t="n"/>
      <c r="L194" s="12" t="n"/>
      <c r="M194" s="12">
        <f>IF(B194="","",IF(L194="Accepted","Accepted",IF(L194="Rejected","Rejected",IF(J194="Yes","Awaiting Inspection",IF(I194="Yes","Snug-Tight","Pending")))))</f>
        <v/>
      </c>
      <c r="N194" s="12" t="n"/>
      <c r="O194" s="12" t="n"/>
    </row>
    <row r="195">
      <c r="A195" s="14" t="n"/>
      <c r="B195" s="12" t="n"/>
      <c r="C195" s="12" t="n"/>
      <c r="D195" s="12" t="n"/>
      <c r="E195" s="12" t="n"/>
      <c r="F195" s="12" t="n"/>
      <c r="G195" s="16" t="n"/>
      <c r="H195" s="12" t="n"/>
      <c r="I195" s="12" t="n"/>
      <c r="J195" s="12" t="n"/>
      <c r="K195" s="12" t="n"/>
      <c r="L195" s="12" t="n"/>
      <c r="M195" s="12">
        <f>IF(B195="","",IF(L195="Accepted","Accepted",IF(L195="Rejected","Rejected",IF(J195="Yes","Awaiting Inspection",IF(I195="Yes","Snug-Tight","Pending")))))</f>
        <v/>
      </c>
      <c r="N195" s="12" t="n"/>
      <c r="O195" s="12" t="n"/>
    </row>
    <row r="196">
      <c r="A196" s="14" t="n"/>
      <c r="B196" s="12" t="n"/>
      <c r="C196" s="12" t="n"/>
      <c r="D196" s="12" t="n"/>
      <c r="E196" s="12" t="n"/>
      <c r="F196" s="12" t="n"/>
      <c r="G196" s="16" t="n"/>
      <c r="H196" s="12" t="n"/>
      <c r="I196" s="12" t="n"/>
      <c r="J196" s="12" t="n"/>
      <c r="K196" s="12" t="n"/>
      <c r="L196" s="12" t="n"/>
      <c r="M196" s="12">
        <f>IF(B196="","",IF(L196="Accepted","Accepted",IF(L196="Rejected","Rejected",IF(J196="Yes","Awaiting Inspection",IF(I196="Yes","Snug-Tight","Pending")))))</f>
        <v/>
      </c>
      <c r="N196" s="12" t="n"/>
      <c r="O196" s="12" t="n"/>
    </row>
    <row r="197">
      <c r="A197" s="14" t="n"/>
      <c r="B197" s="12" t="n"/>
      <c r="C197" s="12" t="n"/>
      <c r="D197" s="12" t="n"/>
      <c r="E197" s="12" t="n"/>
      <c r="F197" s="12" t="n"/>
      <c r="G197" s="16" t="n"/>
      <c r="H197" s="12" t="n"/>
      <c r="I197" s="12" t="n"/>
      <c r="J197" s="12" t="n"/>
      <c r="K197" s="12" t="n"/>
      <c r="L197" s="12" t="n"/>
      <c r="M197" s="12">
        <f>IF(B197="","",IF(L197="Accepted","Accepted",IF(L197="Rejected","Rejected",IF(J197="Yes","Awaiting Inspection",IF(I197="Yes","Snug-Tight","Pending")))))</f>
        <v/>
      </c>
      <c r="N197" s="12" t="n"/>
      <c r="O197" s="12" t="n"/>
    </row>
    <row r="198">
      <c r="A198" s="14" t="n"/>
      <c r="B198" s="12" t="n"/>
      <c r="C198" s="12" t="n"/>
      <c r="D198" s="12" t="n"/>
      <c r="E198" s="12" t="n"/>
      <c r="F198" s="12" t="n"/>
      <c r="G198" s="16" t="n"/>
      <c r="H198" s="12" t="n"/>
      <c r="I198" s="12" t="n"/>
      <c r="J198" s="12" t="n"/>
      <c r="K198" s="12" t="n"/>
      <c r="L198" s="12" t="n"/>
      <c r="M198" s="12">
        <f>IF(B198="","",IF(L198="Accepted","Accepted",IF(L198="Rejected","Rejected",IF(J198="Yes","Awaiting Inspection",IF(I198="Yes","Snug-Tight","Pending")))))</f>
        <v/>
      </c>
      <c r="N198" s="12" t="n"/>
      <c r="O198" s="12" t="n"/>
    </row>
    <row r="199">
      <c r="A199" s="14" t="n"/>
      <c r="B199" s="12" t="n"/>
      <c r="C199" s="12" t="n"/>
      <c r="D199" s="12" t="n"/>
      <c r="E199" s="12" t="n"/>
      <c r="F199" s="12" t="n"/>
      <c r="G199" s="16" t="n"/>
      <c r="H199" s="12" t="n"/>
      <c r="I199" s="12" t="n"/>
      <c r="J199" s="12" t="n"/>
      <c r="K199" s="12" t="n"/>
      <c r="L199" s="12" t="n"/>
      <c r="M199" s="12">
        <f>IF(B199="","",IF(L199="Accepted","Accepted",IF(L199="Rejected","Rejected",IF(J199="Yes","Awaiting Inspection",IF(I199="Yes","Snug-Tight","Pending")))))</f>
        <v/>
      </c>
      <c r="N199" s="12" t="n"/>
      <c r="O199" s="12" t="n"/>
    </row>
    <row r="200">
      <c r="A200" s="14" t="n"/>
      <c r="B200" s="12" t="n"/>
      <c r="C200" s="12" t="n"/>
      <c r="D200" s="12" t="n"/>
      <c r="E200" s="12" t="n"/>
      <c r="F200" s="12" t="n"/>
      <c r="G200" s="16" t="n"/>
      <c r="H200" s="12" t="n"/>
      <c r="I200" s="12" t="n"/>
      <c r="J200" s="12" t="n"/>
      <c r="K200" s="12" t="n"/>
      <c r="L200" s="12" t="n"/>
      <c r="M200" s="12">
        <f>IF(B200="","",IF(L200="Accepted","Accepted",IF(L200="Rejected","Rejected",IF(J200="Yes","Awaiting Inspection",IF(I200="Yes","Snug-Tight","Pending")))))</f>
        <v/>
      </c>
      <c r="N200" s="12" t="n"/>
      <c r="O200" s="12" t="n"/>
    </row>
    <row r="201">
      <c r="A201" s="14" t="n"/>
      <c r="B201" s="12" t="n"/>
      <c r="C201" s="12" t="n"/>
      <c r="D201" s="12" t="n"/>
      <c r="E201" s="12" t="n"/>
      <c r="F201" s="12" t="n"/>
      <c r="G201" s="16" t="n"/>
      <c r="H201" s="12" t="n"/>
      <c r="I201" s="12" t="n"/>
      <c r="J201" s="12" t="n"/>
      <c r="K201" s="12" t="n"/>
      <c r="L201" s="12" t="n"/>
      <c r="M201" s="12">
        <f>IF(B201="","",IF(L201="Accepted","Accepted",IF(L201="Rejected","Rejected",IF(J201="Yes","Awaiting Inspection",IF(I201="Yes","Snug-Tight","Pending")))))</f>
        <v/>
      </c>
      <c r="N201" s="12" t="n"/>
      <c r="O201" s="12" t="n"/>
    </row>
    <row r="202">
      <c r="A202" s="14" t="n"/>
      <c r="B202" s="12" t="n"/>
      <c r="C202" s="12" t="n"/>
      <c r="D202" s="12" t="n"/>
      <c r="E202" s="12" t="n"/>
      <c r="F202" s="12" t="n"/>
      <c r="G202" s="16" t="n"/>
      <c r="H202" s="12" t="n"/>
      <c r="I202" s="12" t="n"/>
      <c r="J202" s="12" t="n"/>
      <c r="K202" s="12" t="n"/>
      <c r="L202" s="12" t="n"/>
      <c r="M202" s="12">
        <f>IF(B202="","",IF(L202="Accepted","Accepted",IF(L202="Rejected","Rejected",IF(J202="Yes","Awaiting Inspection",IF(I202="Yes","Snug-Tight","Pending")))))</f>
        <v/>
      </c>
      <c r="N202" s="12" t="n"/>
      <c r="O202" s="12" t="n"/>
    </row>
    <row r="203">
      <c r="A203" s="14" t="n"/>
      <c r="B203" s="12" t="n"/>
      <c r="C203" s="12" t="n"/>
      <c r="D203" s="12" t="n"/>
      <c r="E203" s="12" t="n"/>
      <c r="F203" s="12" t="n"/>
      <c r="G203" s="16" t="n"/>
      <c r="H203" s="12" t="n"/>
      <c r="I203" s="12" t="n"/>
      <c r="J203" s="12" t="n"/>
      <c r="K203" s="12" t="n"/>
      <c r="L203" s="12" t="n"/>
      <c r="M203" s="12">
        <f>IF(B203="","",IF(L203="Accepted","Accepted",IF(L203="Rejected","Rejected",IF(J203="Yes","Awaiting Inspection",IF(I203="Yes","Snug-Tight","Pending")))))</f>
        <v/>
      </c>
      <c r="N203" s="12" t="n"/>
      <c r="O203" s="12" t="n"/>
    </row>
    <row r="204">
      <c r="A204" s="14" t="n"/>
      <c r="B204" s="12" t="n"/>
      <c r="C204" s="12" t="n"/>
      <c r="D204" s="12" t="n"/>
      <c r="E204" s="12" t="n"/>
      <c r="F204" s="12" t="n"/>
      <c r="G204" s="16" t="n"/>
      <c r="H204" s="12" t="n"/>
      <c r="I204" s="12" t="n"/>
      <c r="J204" s="12" t="n"/>
      <c r="K204" s="12" t="n"/>
      <c r="L204" s="12" t="n"/>
      <c r="M204" s="12">
        <f>IF(B204="","",IF(L204="Accepted","Accepted",IF(L204="Rejected","Rejected",IF(J204="Yes","Awaiting Inspection",IF(I204="Yes","Snug-Tight","Pending")))))</f>
        <v/>
      </c>
      <c r="N204" s="12" t="n"/>
      <c r="O204" s="12" t="n"/>
    </row>
    <row r="205">
      <c r="A205" s="14" t="n"/>
      <c r="B205" s="12" t="n"/>
      <c r="C205" s="12" t="n"/>
      <c r="D205" s="12" t="n"/>
      <c r="E205" s="12" t="n"/>
      <c r="F205" s="12" t="n"/>
      <c r="G205" s="16" t="n"/>
      <c r="H205" s="12" t="n"/>
      <c r="I205" s="12" t="n"/>
      <c r="J205" s="12" t="n"/>
      <c r="K205" s="12" t="n"/>
      <c r="L205" s="12" t="n"/>
      <c r="M205" s="12">
        <f>IF(B205="","",IF(L205="Accepted","Accepted",IF(L205="Rejected","Rejected",IF(J205="Yes","Awaiting Inspection",IF(I205="Yes","Snug-Tight","Pending")))))</f>
        <v/>
      </c>
      <c r="N205" s="12" t="n"/>
      <c r="O205" s="12" t="n"/>
    </row>
    <row r="206">
      <c r="A206" s="14" t="n"/>
      <c r="B206" s="12" t="n"/>
      <c r="C206" s="12" t="n"/>
      <c r="D206" s="12" t="n"/>
      <c r="E206" s="12" t="n"/>
      <c r="F206" s="12" t="n"/>
      <c r="G206" s="16" t="n"/>
      <c r="H206" s="12" t="n"/>
      <c r="I206" s="12" t="n"/>
      <c r="J206" s="12" t="n"/>
      <c r="K206" s="12" t="n"/>
      <c r="L206" s="12" t="n"/>
      <c r="M206" s="12">
        <f>IF(B206="","",IF(L206="Accepted","Accepted",IF(L206="Rejected","Rejected",IF(J206="Yes","Awaiting Inspection",IF(I206="Yes","Snug-Tight","Pending")))))</f>
        <v/>
      </c>
      <c r="N206" s="12" t="n"/>
      <c r="O206" s="12" t="n"/>
    </row>
    <row r="207">
      <c r="A207" s="14" t="n"/>
      <c r="B207" s="12" t="n"/>
      <c r="C207" s="12" t="n"/>
      <c r="D207" s="12" t="n"/>
      <c r="E207" s="12" t="n"/>
      <c r="F207" s="12" t="n"/>
      <c r="G207" s="16" t="n"/>
      <c r="H207" s="12" t="n"/>
      <c r="I207" s="12" t="n"/>
      <c r="J207" s="12" t="n"/>
      <c r="K207" s="12" t="n"/>
      <c r="L207" s="12" t="n"/>
      <c r="M207" s="12">
        <f>IF(B207="","",IF(L207="Accepted","Accepted",IF(L207="Rejected","Rejected",IF(J207="Yes","Awaiting Inspection",IF(I207="Yes","Snug-Tight","Pending")))))</f>
        <v/>
      </c>
      <c r="N207" s="12" t="n"/>
      <c r="O207" s="12" t="n"/>
    </row>
    <row r="208">
      <c r="A208" s="14" t="n"/>
      <c r="B208" s="12" t="n"/>
      <c r="C208" s="12" t="n"/>
      <c r="D208" s="12" t="n"/>
      <c r="E208" s="12" t="n"/>
      <c r="F208" s="12" t="n"/>
      <c r="G208" s="16" t="n"/>
      <c r="H208" s="12" t="n"/>
      <c r="I208" s="12" t="n"/>
      <c r="J208" s="12" t="n"/>
      <c r="K208" s="12" t="n"/>
      <c r="L208" s="12" t="n"/>
      <c r="M208" s="12">
        <f>IF(B208="","",IF(L208="Accepted","Accepted",IF(L208="Rejected","Rejected",IF(J208="Yes","Awaiting Inspection",IF(I208="Yes","Snug-Tight","Pending")))))</f>
        <v/>
      </c>
      <c r="N208" s="12" t="n"/>
      <c r="O208" s="12" t="n"/>
    </row>
    <row r="209">
      <c r="A209" s="14" t="n"/>
      <c r="B209" s="12" t="n"/>
      <c r="C209" s="12" t="n"/>
      <c r="D209" s="12" t="n"/>
      <c r="E209" s="12" t="n"/>
      <c r="F209" s="12" t="n"/>
      <c r="G209" s="16" t="n"/>
      <c r="H209" s="12" t="n"/>
      <c r="I209" s="12" t="n"/>
      <c r="J209" s="12" t="n"/>
      <c r="K209" s="12" t="n"/>
      <c r="L209" s="12" t="n"/>
      <c r="M209" s="12">
        <f>IF(B209="","",IF(L209="Accepted","Accepted",IF(L209="Rejected","Rejected",IF(J209="Yes","Awaiting Inspection",IF(I209="Yes","Snug-Tight","Pending")))))</f>
        <v/>
      </c>
      <c r="N209" s="12" t="n"/>
      <c r="O209" s="12" t="n"/>
    </row>
    <row r="210">
      <c r="A210" s="14" t="n"/>
      <c r="B210" s="12" t="n"/>
      <c r="C210" s="12" t="n"/>
      <c r="D210" s="12" t="n"/>
      <c r="E210" s="12" t="n"/>
      <c r="F210" s="12" t="n"/>
      <c r="G210" s="16" t="n"/>
      <c r="H210" s="12" t="n"/>
      <c r="I210" s="12" t="n"/>
      <c r="J210" s="12" t="n"/>
      <c r="K210" s="12" t="n"/>
      <c r="L210" s="12" t="n"/>
      <c r="M210" s="12">
        <f>IF(B210="","",IF(L210="Accepted","Accepted",IF(L210="Rejected","Rejected",IF(J210="Yes","Awaiting Inspection",IF(I210="Yes","Snug-Tight","Pending")))))</f>
        <v/>
      </c>
      <c r="N210" s="12" t="n"/>
      <c r="O210" s="12" t="n"/>
    </row>
    <row r="211">
      <c r="A211" s="14" t="n"/>
      <c r="B211" s="12" t="n"/>
      <c r="C211" s="12" t="n"/>
      <c r="D211" s="12" t="n"/>
      <c r="E211" s="12" t="n"/>
      <c r="F211" s="12" t="n"/>
      <c r="G211" s="16" t="n"/>
      <c r="H211" s="12" t="n"/>
      <c r="I211" s="12" t="n"/>
      <c r="J211" s="12" t="n"/>
      <c r="K211" s="12" t="n"/>
      <c r="L211" s="12" t="n"/>
      <c r="M211" s="12">
        <f>IF(B211="","",IF(L211="Accepted","Accepted",IF(L211="Rejected","Rejected",IF(J211="Yes","Awaiting Inspection",IF(I211="Yes","Snug-Tight","Pending")))))</f>
        <v/>
      </c>
      <c r="N211" s="12" t="n"/>
      <c r="O211" s="12" t="n"/>
    </row>
    <row r="212">
      <c r="A212" s="14" t="n"/>
      <c r="B212" s="12" t="n"/>
      <c r="C212" s="12" t="n"/>
      <c r="D212" s="12" t="n"/>
      <c r="E212" s="12" t="n"/>
      <c r="F212" s="12" t="n"/>
      <c r="G212" s="16" t="n"/>
      <c r="H212" s="12" t="n"/>
      <c r="I212" s="12" t="n"/>
      <c r="J212" s="12" t="n"/>
      <c r="K212" s="12" t="n"/>
      <c r="L212" s="12" t="n"/>
      <c r="M212" s="12">
        <f>IF(B212="","",IF(L212="Accepted","Accepted",IF(L212="Rejected","Rejected",IF(J212="Yes","Awaiting Inspection",IF(I212="Yes","Snug-Tight","Pending")))))</f>
        <v/>
      </c>
      <c r="N212" s="12" t="n"/>
      <c r="O212" s="12" t="n"/>
    </row>
    <row r="213">
      <c r="A213" s="14" t="n"/>
      <c r="B213" s="12" t="n"/>
      <c r="C213" s="12" t="n"/>
      <c r="D213" s="12" t="n"/>
      <c r="E213" s="12" t="n"/>
      <c r="F213" s="12" t="n"/>
      <c r="G213" s="16" t="n"/>
      <c r="H213" s="12" t="n"/>
      <c r="I213" s="12" t="n"/>
      <c r="J213" s="12" t="n"/>
      <c r="K213" s="12" t="n"/>
      <c r="L213" s="12" t="n"/>
      <c r="M213" s="12">
        <f>IF(B213="","",IF(L213="Accepted","Accepted",IF(L213="Rejected","Rejected",IF(J213="Yes","Awaiting Inspection",IF(I213="Yes","Snug-Tight","Pending")))))</f>
        <v/>
      </c>
      <c r="N213" s="12" t="n"/>
      <c r="O213" s="12" t="n"/>
    </row>
    <row r="214">
      <c r="A214" s="14" t="n"/>
      <c r="B214" s="12" t="n"/>
      <c r="C214" s="12" t="n"/>
      <c r="D214" s="12" t="n"/>
      <c r="E214" s="12" t="n"/>
      <c r="F214" s="12" t="n"/>
      <c r="G214" s="16" t="n"/>
      <c r="H214" s="12" t="n"/>
      <c r="I214" s="12" t="n"/>
      <c r="J214" s="12" t="n"/>
      <c r="K214" s="12" t="n"/>
      <c r="L214" s="12" t="n"/>
      <c r="M214" s="12">
        <f>IF(B214="","",IF(L214="Accepted","Accepted",IF(L214="Rejected","Rejected",IF(J214="Yes","Awaiting Inspection",IF(I214="Yes","Snug-Tight","Pending")))))</f>
        <v/>
      </c>
      <c r="N214" s="12" t="n"/>
      <c r="O214" s="12" t="n"/>
    </row>
    <row r="215">
      <c r="A215" s="14" t="n"/>
      <c r="B215" s="12" t="n"/>
      <c r="C215" s="12" t="n"/>
      <c r="D215" s="12" t="n"/>
      <c r="E215" s="12" t="n"/>
      <c r="F215" s="12" t="n"/>
      <c r="G215" s="16" t="n"/>
      <c r="H215" s="12" t="n"/>
      <c r="I215" s="12" t="n"/>
      <c r="J215" s="12" t="n"/>
      <c r="K215" s="12" t="n"/>
      <c r="L215" s="12" t="n"/>
      <c r="M215" s="12">
        <f>IF(B215="","",IF(L215="Accepted","Accepted",IF(L215="Rejected","Rejected",IF(J215="Yes","Awaiting Inspection",IF(I215="Yes","Snug-Tight","Pending")))))</f>
        <v/>
      </c>
      <c r="N215" s="12" t="n"/>
      <c r="O215" s="12" t="n"/>
    </row>
    <row r="216">
      <c r="A216" s="14" t="n"/>
      <c r="B216" s="12" t="n"/>
      <c r="C216" s="12" t="n"/>
      <c r="D216" s="12" t="n"/>
      <c r="E216" s="12" t="n"/>
      <c r="F216" s="12" t="n"/>
      <c r="G216" s="16" t="n"/>
      <c r="H216" s="12" t="n"/>
      <c r="I216" s="12" t="n"/>
      <c r="J216" s="12" t="n"/>
      <c r="K216" s="12" t="n"/>
      <c r="L216" s="12" t="n"/>
      <c r="M216" s="12">
        <f>IF(B216="","",IF(L216="Accepted","Accepted",IF(L216="Rejected","Rejected",IF(J216="Yes","Awaiting Inspection",IF(I216="Yes","Snug-Tight","Pending")))))</f>
        <v/>
      </c>
      <c r="N216" s="12" t="n"/>
      <c r="O216" s="12" t="n"/>
    </row>
    <row r="217">
      <c r="A217" s="14" t="n"/>
      <c r="B217" s="12" t="n"/>
      <c r="C217" s="12" t="n"/>
      <c r="D217" s="12" t="n"/>
      <c r="E217" s="12" t="n"/>
      <c r="F217" s="12" t="n"/>
      <c r="G217" s="16" t="n"/>
      <c r="H217" s="12" t="n"/>
      <c r="I217" s="12" t="n"/>
      <c r="J217" s="12" t="n"/>
      <c r="K217" s="12" t="n"/>
      <c r="L217" s="12" t="n"/>
      <c r="M217" s="12">
        <f>IF(B217="","",IF(L217="Accepted","Accepted",IF(L217="Rejected","Rejected",IF(J217="Yes","Awaiting Inspection",IF(I217="Yes","Snug-Tight","Pending")))))</f>
        <v/>
      </c>
      <c r="N217" s="12" t="n"/>
      <c r="O217" s="12" t="n"/>
    </row>
    <row r="218">
      <c r="A218" s="14" t="n"/>
      <c r="B218" s="12" t="n"/>
      <c r="C218" s="12" t="n"/>
      <c r="D218" s="12" t="n"/>
      <c r="E218" s="12" t="n"/>
      <c r="F218" s="12" t="n"/>
      <c r="G218" s="16" t="n"/>
      <c r="H218" s="12" t="n"/>
      <c r="I218" s="12" t="n"/>
      <c r="J218" s="12" t="n"/>
      <c r="K218" s="12" t="n"/>
      <c r="L218" s="12" t="n"/>
      <c r="M218" s="12">
        <f>IF(B218="","",IF(L218="Accepted","Accepted",IF(L218="Rejected","Rejected",IF(J218="Yes","Awaiting Inspection",IF(I218="Yes","Snug-Tight","Pending")))))</f>
        <v/>
      </c>
      <c r="N218" s="12" t="n"/>
      <c r="O218" s="12" t="n"/>
    </row>
    <row r="219">
      <c r="A219" s="14" t="n"/>
      <c r="B219" s="12" t="n"/>
      <c r="C219" s="12" t="n"/>
      <c r="D219" s="12" t="n"/>
      <c r="E219" s="12" t="n"/>
      <c r="F219" s="12" t="n"/>
      <c r="G219" s="16" t="n"/>
      <c r="H219" s="12" t="n"/>
      <c r="I219" s="12" t="n"/>
      <c r="J219" s="12" t="n"/>
      <c r="K219" s="12" t="n"/>
      <c r="L219" s="12" t="n"/>
      <c r="M219" s="12">
        <f>IF(B219="","",IF(L219="Accepted","Accepted",IF(L219="Rejected","Rejected",IF(J219="Yes","Awaiting Inspection",IF(I219="Yes","Snug-Tight","Pending")))))</f>
        <v/>
      </c>
      <c r="N219" s="12" t="n"/>
      <c r="O219" s="12" t="n"/>
    </row>
    <row r="220">
      <c r="A220" s="14" t="n"/>
      <c r="B220" s="12" t="n"/>
      <c r="C220" s="12" t="n"/>
      <c r="D220" s="12" t="n"/>
      <c r="E220" s="12" t="n"/>
      <c r="F220" s="12" t="n"/>
      <c r="G220" s="16" t="n"/>
      <c r="H220" s="12" t="n"/>
      <c r="I220" s="12" t="n"/>
      <c r="J220" s="12" t="n"/>
      <c r="K220" s="12" t="n"/>
      <c r="L220" s="12" t="n"/>
      <c r="M220" s="12">
        <f>IF(B220="","",IF(L220="Accepted","Accepted",IF(L220="Rejected","Rejected",IF(J220="Yes","Awaiting Inspection",IF(I220="Yes","Snug-Tight","Pending")))))</f>
        <v/>
      </c>
      <c r="N220" s="12" t="n"/>
      <c r="O220" s="12" t="n"/>
    </row>
    <row r="221">
      <c r="A221" s="14" t="n"/>
      <c r="B221" s="12" t="n"/>
      <c r="C221" s="12" t="n"/>
      <c r="D221" s="12" t="n"/>
      <c r="E221" s="12" t="n"/>
      <c r="F221" s="12" t="n"/>
      <c r="G221" s="16" t="n"/>
      <c r="H221" s="12" t="n"/>
      <c r="I221" s="12" t="n"/>
      <c r="J221" s="12" t="n"/>
      <c r="K221" s="12" t="n"/>
      <c r="L221" s="12" t="n"/>
      <c r="M221" s="12">
        <f>IF(B221="","",IF(L221="Accepted","Accepted",IF(L221="Rejected","Rejected",IF(J221="Yes","Awaiting Inspection",IF(I221="Yes","Snug-Tight","Pending")))))</f>
        <v/>
      </c>
      <c r="N221" s="12" t="n"/>
      <c r="O221" s="12" t="n"/>
    </row>
    <row r="222">
      <c r="A222" s="14" t="n"/>
      <c r="B222" s="12" t="n"/>
      <c r="C222" s="12" t="n"/>
      <c r="D222" s="12" t="n"/>
      <c r="E222" s="12" t="n"/>
      <c r="F222" s="12" t="n"/>
      <c r="G222" s="16" t="n"/>
      <c r="H222" s="12" t="n"/>
      <c r="I222" s="12" t="n"/>
      <c r="J222" s="12" t="n"/>
      <c r="K222" s="12" t="n"/>
      <c r="L222" s="12" t="n"/>
      <c r="M222" s="12">
        <f>IF(B222="","",IF(L222="Accepted","Accepted",IF(L222="Rejected","Rejected",IF(J222="Yes","Awaiting Inspection",IF(I222="Yes","Snug-Tight","Pending")))))</f>
        <v/>
      </c>
      <c r="N222" s="12" t="n"/>
      <c r="O222" s="12" t="n"/>
    </row>
    <row r="223">
      <c r="A223" s="14" t="n"/>
      <c r="B223" s="12" t="n"/>
      <c r="C223" s="12" t="n"/>
      <c r="D223" s="12" t="n"/>
      <c r="E223" s="12" t="n"/>
      <c r="F223" s="12" t="n"/>
      <c r="G223" s="16" t="n"/>
      <c r="H223" s="12" t="n"/>
      <c r="I223" s="12" t="n"/>
      <c r="J223" s="12" t="n"/>
      <c r="K223" s="12" t="n"/>
      <c r="L223" s="12" t="n"/>
      <c r="M223" s="12">
        <f>IF(B223="","",IF(L223="Accepted","Accepted",IF(L223="Rejected","Rejected",IF(J223="Yes","Awaiting Inspection",IF(I223="Yes","Snug-Tight","Pending")))))</f>
        <v/>
      </c>
      <c r="N223" s="12" t="n"/>
      <c r="O223" s="12" t="n"/>
    </row>
    <row r="224">
      <c r="A224" s="14" t="n"/>
      <c r="B224" s="12" t="n"/>
      <c r="C224" s="12" t="n"/>
      <c r="D224" s="12" t="n"/>
      <c r="E224" s="12" t="n"/>
      <c r="F224" s="12" t="n"/>
      <c r="G224" s="16" t="n"/>
      <c r="H224" s="12" t="n"/>
      <c r="I224" s="12" t="n"/>
      <c r="J224" s="12" t="n"/>
      <c r="K224" s="12" t="n"/>
      <c r="L224" s="12" t="n"/>
      <c r="M224" s="12">
        <f>IF(B224="","",IF(L224="Accepted","Accepted",IF(L224="Rejected","Rejected",IF(J224="Yes","Awaiting Inspection",IF(I224="Yes","Snug-Tight","Pending")))))</f>
        <v/>
      </c>
      <c r="N224" s="12" t="n"/>
      <c r="O224" s="12" t="n"/>
    </row>
    <row r="225">
      <c r="A225" s="14" t="n"/>
      <c r="B225" s="12" t="n"/>
      <c r="C225" s="12" t="n"/>
      <c r="D225" s="12" t="n"/>
      <c r="E225" s="12" t="n"/>
      <c r="F225" s="12" t="n"/>
      <c r="G225" s="16" t="n"/>
      <c r="H225" s="12" t="n"/>
      <c r="I225" s="12" t="n"/>
      <c r="J225" s="12" t="n"/>
      <c r="K225" s="12" t="n"/>
      <c r="L225" s="12" t="n"/>
      <c r="M225" s="12">
        <f>IF(B225="","",IF(L225="Accepted","Accepted",IF(L225="Rejected","Rejected",IF(J225="Yes","Awaiting Inspection",IF(I225="Yes","Snug-Tight","Pending")))))</f>
        <v/>
      </c>
      <c r="N225" s="12" t="n"/>
      <c r="O225" s="12" t="n"/>
    </row>
    <row r="226">
      <c r="A226" s="14" t="n"/>
      <c r="B226" s="12" t="n"/>
      <c r="C226" s="12" t="n"/>
      <c r="D226" s="12" t="n"/>
      <c r="E226" s="12" t="n"/>
      <c r="F226" s="12" t="n"/>
      <c r="G226" s="16" t="n"/>
      <c r="H226" s="12" t="n"/>
      <c r="I226" s="12" t="n"/>
      <c r="J226" s="12" t="n"/>
      <c r="K226" s="12" t="n"/>
      <c r="L226" s="12" t="n"/>
      <c r="M226" s="12">
        <f>IF(B226="","",IF(L226="Accepted","Accepted",IF(L226="Rejected","Rejected",IF(J226="Yes","Awaiting Inspection",IF(I226="Yes","Snug-Tight","Pending")))))</f>
        <v/>
      </c>
      <c r="N226" s="12" t="n"/>
      <c r="O226" s="12" t="n"/>
    </row>
    <row r="227">
      <c r="A227" s="14" t="n"/>
      <c r="B227" s="12" t="n"/>
      <c r="C227" s="12" t="n"/>
      <c r="D227" s="12" t="n"/>
      <c r="E227" s="12" t="n"/>
      <c r="F227" s="12" t="n"/>
      <c r="G227" s="16" t="n"/>
      <c r="H227" s="12" t="n"/>
      <c r="I227" s="12" t="n"/>
      <c r="J227" s="12" t="n"/>
      <c r="K227" s="12" t="n"/>
      <c r="L227" s="12" t="n"/>
      <c r="M227" s="12">
        <f>IF(B227="","",IF(L227="Accepted","Accepted",IF(L227="Rejected","Rejected",IF(J227="Yes","Awaiting Inspection",IF(I227="Yes","Snug-Tight","Pending")))))</f>
        <v/>
      </c>
      <c r="N227" s="12" t="n"/>
      <c r="O227" s="12" t="n"/>
    </row>
    <row r="228">
      <c r="A228" s="14" t="n"/>
      <c r="B228" s="12" t="n"/>
      <c r="C228" s="12" t="n"/>
      <c r="D228" s="12" t="n"/>
      <c r="E228" s="12" t="n"/>
      <c r="F228" s="12" t="n"/>
      <c r="G228" s="16" t="n"/>
      <c r="H228" s="12" t="n"/>
      <c r="I228" s="12" t="n"/>
      <c r="J228" s="12" t="n"/>
      <c r="K228" s="12" t="n"/>
      <c r="L228" s="12" t="n"/>
      <c r="M228" s="12">
        <f>IF(B228="","",IF(L228="Accepted","Accepted",IF(L228="Rejected","Rejected",IF(J228="Yes","Awaiting Inspection",IF(I228="Yes","Snug-Tight","Pending")))))</f>
        <v/>
      </c>
      <c r="N228" s="12" t="n"/>
      <c r="O228" s="12" t="n"/>
    </row>
    <row r="229">
      <c r="A229" s="14" t="n"/>
      <c r="B229" s="12" t="n"/>
      <c r="C229" s="12" t="n"/>
      <c r="D229" s="12" t="n"/>
      <c r="E229" s="12" t="n"/>
      <c r="F229" s="12" t="n"/>
      <c r="G229" s="16" t="n"/>
      <c r="H229" s="12" t="n"/>
      <c r="I229" s="12" t="n"/>
      <c r="J229" s="12" t="n"/>
      <c r="K229" s="12" t="n"/>
      <c r="L229" s="12" t="n"/>
      <c r="M229" s="12">
        <f>IF(B229="","",IF(L229="Accepted","Accepted",IF(L229="Rejected","Rejected",IF(J229="Yes","Awaiting Inspection",IF(I229="Yes","Snug-Tight","Pending")))))</f>
        <v/>
      </c>
      <c r="N229" s="12" t="n"/>
      <c r="O229" s="12" t="n"/>
    </row>
    <row r="230">
      <c r="A230" s="14" t="n"/>
      <c r="B230" s="12" t="n"/>
      <c r="C230" s="12" t="n"/>
      <c r="D230" s="12" t="n"/>
      <c r="E230" s="12" t="n"/>
      <c r="F230" s="12" t="n"/>
      <c r="G230" s="16" t="n"/>
      <c r="H230" s="12" t="n"/>
      <c r="I230" s="12" t="n"/>
      <c r="J230" s="12" t="n"/>
      <c r="K230" s="12" t="n"/>
      <c r="L230" s="12" t="n"/>
      <c r="M230" s="12">
        <f>IF(B230="","",IF(L230="Accepted","Accepted",IF(L230="Rejected","Rejected",IF(J230="Yes","Awaiting Inspection",IF(I230="Yes","Snug-Tight","Pending")))))</f>
        <v/>
      </c>
      <c r="N230" s="12" t="n"/>
      <c r="O230" s="12" t="n"/>
    </row>
    <row r="231">
      <c r="A231" s="14" t="n"/>
      <c r="B231" s="12" t="n"/>
      <c r="C231" s="12" t="n"/>
      <c r="D231" s="12" t="n"/>
      <c r="E231" s="12" t="n"/>
      <c r="F231" s="12" t="n"/>
      <c r="G231" s="16" t="n"/>
      <c r="H231" s="12" t="n"/>
      <c r="I231" s="12" t="n"/>
      <c r="J231" s="12" t="n"/>
      <c r="K231" s="12" t="n"/>
      <c r="L231" s="12" t="n"/>
      <c r="M231" s="12">
        <f>IF(B231="","",IF(L231="Accepted","Accepted",IF(L231="Rejected","Rejected",IF(J231="Yes","Awaiting Inspection",IF(I231="Yes","Snug-Tight","Pending")))))</f>
        <v/>
      </c>
      <c r="N231" s="12" t="n"/>
      <c r="O231" s="12" t="n"/>
    </row>
    <row r="232">
      <c r="A232" s="14" t="n"/>
      <c r="B232" s="12" t="n"/>
      <c r="C232" s="12" t="n"/>
      <c r="D232" s="12" t="n"/>
      <c r="E232" s="12" t="n"/>
      <c r="F232" s="12" t="n"/>
      <c r="G232" s="16" t="n"/>
      <c r="H232" s="12" t="n"/>
      <c r="I232" s="12" t="n"/>
      <c r="J232" s="12" t="n"/>
      <c r="K232" s="12" t="n"/>
      <c r="L232" s="12" t="n"/>
      <c r="M232" s="12">
        <f>IF(B232="","",IF(L232="Accepted","Accepted",IF(L232="Rejected","Rejected",IF(J232="Yes","Awaiting Inspection",IF(I232="Yes","Snug-Tight","Pending")))))</f>
        <v/>
      </c>
      <c r="N232" s="12" t="n"/>
      <c r="O232" s="12" t="n"/>
    </row>
    <row r="233">
      <c r="A233" s="14" t="n"/>
      <c r="B233" s="12" t="n"/>
      <c r="C233" s="12" t="n"/>
      <c r="D233" s="12" t="n"/>
      <c r="E233" s="12" t="n"/>
      <c r="F233" s="12" t="n"/>
      <c r="G233" s="16" t="n"/>
      <c r="H233" s="12" t="n"/>
      <c r="I233" s="12" t="n"/>
      <c r="J233" s="12" t="n"/>
      <c r="K233" s="12" t="n"/>
      <c r="L233" s="12" t="n"/>
      <c r="M233" s="12">
        <f>IF(B233="","",IF(L233="Accepted","Accepted",IF(L233="Rejected","Rejected",IF(J233="Yes","Awaiting Inspection",IF(I233="Yes","Snug-Tight","Pending")))))</f>
        <v/>
      </c>
      <c r="N233" s="12" t="n"/>
      <c r="O233" s="12" t="n"/>
    </row>
    <row r="234">
      <c r="A234" s="14" t="n"/>
      <c r="B234" s="12" t="n"/>
      <c r="C234" s="12" t="n"/>
      <c r="D234" s="12" t="n"/>
      <c r="E234" s="12" t="n"/>
      <c r="F234" s="12" t="n"/>
      <c r="G234" s="16" t="n"/>
      <c r="H234" s="12" t="n"/>
      <c r="I234" s="12" t="n"/>
      <c r="J234" s="12" t="n"/>
      <c r="K234" s="12" t="n"/>
      <c r="L234" s="12" t="n"/>
      <c r="M234" s="12">
        <f>IF(B234="","",IF(L234="Accepted","Accepted",IF(L234="Rejected","Rejected",IF(J234="Yes","Awaiting Inspection",IF(I234="Yes","Snug-Tight","Pending")))))</f>
        <v/>
      </c>
      <c r="N234" s="12" t="n"/>
      <c r="O234" s="12" t="n"/>
    </row>
    <row r="235">
      <c r="A235" s="14" t="n"/>
      <c r="B235" s="12" t="n"/>
      <c r="C235" s="12" t="n"/>
      <c r="D235" s="12" t="n"/>
      <c r="E235" s="12" t="n"/>
      <c r="F235" s="12" t="n"/>
      <c r="G235" s="16" t="n"/>
      <c r="H235" s="12" t="n"/>
      <c r="I235" s="12" t="n"/>
      <c r="J235" s="12" t="n"/>
      <c r="K235" s="12" t="n"/>
      <c r="L235" s="12" t="n"/>
      <c r="M235" s="12">
        <f>IF(B235="","",IF(L235="Accepted","Accepted",IF(L235="Rejected","Rejected",IF(J235="Yes","Awaiting Inspection",IF(I235="Yes","Snug-Tight","Pending")))))</f>
        <v/>
      </c>
      <c r="N235" s="12" t="n"/>
      <c r="O235" s="12" t="n"/>
    </row>
    <row r="236">
      <c r="A236" s="14" t="n"/>
      <c r="B236" s="12" t="n"/>
      <c r="C236" s="12" t="n"/>
      <c r="D236" s="12" t="n"/>
      <c r="E236" s="12" t="n"/>
      <c r="F236" s="12" t="n"/>
      <c r="G236" s="16" t="n"/>
      <c r="H236" s="12" t="n"/>
      <c r="I236" s="12" t="n"/>
      <c r="J236" s="12" t="n"/>
      <c r="K236" s="12" t="n"/>
      <c r="L236" s="12" t="n"/>
      <c r="M236" s="12">
        <f>IF(B236="","",IF(L236="Accepted","Accepted",IF(L236="Rejected","Rejected",IF(J236="Yes","Awaiting Inspection",IF(I236="Yes","Snug-Tight","Pending")))))</f>
        <v/>
      </c>
      <c r="N236" s="12" t="n"/>
      <c r="O236" s="12" t="n"/>
    </row>
    <row r="237">
      <c r="A237" s="14" t="n"/>
      <c r="B237" s="12" t="n"/>
      <c r="C237" s="12" t="n"/>
      <c r="D237" s="12" t="n"/>
      <c r="E237" s="12" t="n"/>
      <c r="F237" s="12" t="n"/>
      <c r="G237" s="16" t="n"/>
      <c r="H237" s="12" t="n"/>
      <c r="I237" s="12" t="n"/>
      <c r="J237" s="12" t="n"/>
      <c r="K237" s="12" t="n"/>
      <c r="L237" s="12" t="n"/>
      <c r="M237" s="12">
        <f>IF(B237="","",IF(L237="Accepted","Accepted",IF(L237="Rejected","Rejected",IF(J237="Yes","Awaiting Inspection",IF(I237="Yes","Snug-Tight","Pending")))))</f>
        <v/>
      </c>
      <c r="N237" s="12" t="n"/>
      <c r="O237" s="12" t="n"/>
    </row>
    <row r="238">
      <c r="A238" s="14" t="n"/>
      <c r="B238" s="12" t="n"/>
      <c r="C238" s="12" t="n"/>
      <c r="D238" s="12" t="n"/>
      <c r="E238" s="12" t="n"/>
      <c r="F238" s="12" t="n"/>
      <c r="G238" s="16" t="n"/>
      <c r="H238" s="12" t="n"/>
      <c r="I238" s="12" t="n"/>
      <c r="J238" s="12" t="n"/>
      <c r="K238" s="12" t="n"/>
      <c r="L238" s="12" t="n"/>
      <c r="M238" s="12">
        <f>IF(B238="","",IF(L238="Accepted","Accepted",IF(L238="Rejected","Rejected",IF(J238="Yes","Awaiting Inspection",IF(I238="Yes","Snug-Tight","Pending")))))</f>
        <v/>
      </c>
      <c r="N238" s="12" t="n"/>
      <c r="O238" s="12" t="n"/>
    </row>
    <row r="239">
      <c r="A239" s="14" t="n"/>
      <c r="B239" s="12" t="n"/>
      <c r="C239" s="12" t="n"/>
      <c r="D239" s="12" t="n"/>
      <c r="E239" s="12" t="n"/>
      <c r="F239" s="12" t="n"/>
      <c r="G239" s="16" t="n"/>
      <c r="H239" s="12" t="n"/>
      <c r="I239" s="12" t="n"/>
      <c r="J239" s="12" t="n"/>
      <c r="K239" s="12" t="n"/>
      <c r="L239" s="12" t="n"/>
      <c r="M239" s="12">
        <f>IF(B239="","",IF(L239="Accepted","Accepted",IF(L239="Rejected","Rejected",IF(J239="Yes","Awaiting Inspection",IF(I239="Yes","Snug-Tight","Pending")))))</f>
        <v/>
      </c>
      <c r="N239" s="12" t="n"/>
      <c r="O239" s="12" t="n"/>
    </row>
    <row r="240">
      <c r="A240" s="14" t="n"/>
      <c r="B240" s="12" t="n"/>
      <c r="C240" s="12" t="n"/>
      <c r="D240" s="12" t="n"/>
      <c r="E240" s="12" t="n"/>
      <c r="F240" s="12" t="n"/>
      <c r="G240" s="16" t="n"/>
      <c r="H240" s="12" t="n"/>
      <c r="I240" s="12" t="n"/>
      <c r="J240" s="12" t="n"/>
      <c r="K240" s="12" t="n"/>
      <c r="L240" s="12" t="n"/>
      <c r="M240" s="12">
        <f>IF(B240="","",IF(L240="Accepted","Accepted",IF(L240="Rejected","Rejected",IF(J240="Yes","Awaiting Inspection",IF(I240="Yes","Snug-Tight","Pending")))))</f>
        <v/>
      </c>
      <c r="N240" s="12" t="n"/>
      <c r="O240" s="12" t="n"/>
    </row>
    <row r="241">
      <c r="A241" s="14" t="n"/>
      <c r="B241" s="12" t="n"/>
      <c r="C241" s="12" t="n"/>
      <c r="D241" s="12" t="n"/>
      <c r="E241" s="12" t="n"/>
      <c r="F241" s="12" t="n"/>
      <c r="G241" s="16" t="n"/>
      <c r="H241" s="12" t="n"/>
      <c r="I241" s="12" t="n"/>
      <c r="J241" s="12" t="n"/>
      <c r="K241" s="12" t="n"/>
      <c r="L241" s="12" t="n"/>
      <c r="M241" s="12">
        <f>IF(B241="","",IF(L241="Accepted","Accepted",IF(L241="Rejected","Rejected",IF(J241="Yes","Awaiting Inspection",IF(I241="Yes","Snug-Tight","Pending")))))</f>
        <v/>
      </c>
      <c r="N241" s="12" t="n"/>
      <c r="O241" s="12" t="n"/>
    </row>
    <row r="242">
      <c r="A242" s="14" t="n"/>
      <c r="B242" s="12" t="n"/>
      <c r="C242" s="12" t="n"/>
      <c r="D242" s="12" t="n"/>
      <c r="E242" s="12" t="n"/>
      <c r="F242" s="12" t="n"/>
      <c r="G242" s="16" t="n"/>
      <c r="H242" s="12" t="n"/>
      <c r="I242" s="12" t="n"/>
      <c r="J242" s="12" t="n"/>
      <c r="K242" s="12" t="n"/>
      <c r="L242" s="12" t="n"/>
      <c r="M242" s="12">
        <f>IF(B242="","",IF(L242="Accepted","Accepted",IF(L242="Rejected","Rejected",IF(J242="Yes","Awaiting Inspection",IF(I242="Yes","Snug-Tight","Pending")))))</f>
        <v/>
      </c>
      <c r="N242" s="12" t="n"/>
      <c r="O242" s="12" t="n"/>
    </row>
    <row r="243">
      <c r="A243" s="14" t="n"/>
      <c r="B243" s="12" t="n"/>
      <c r="C243" s="12" t="n"/>
      <c r="D243" s="12" t="n"/>
      <c r="E243" s="12" t="n"/>
      <c r="F243" s="12" t="n"/>
      <c r="G243" s="16" t="n"/>
      <c r="H243" s="12" t="n"/>
      <c r="I243" s="12" t="n"/>
      <c r="J243" s="12" t="n"/>
      <c r="K243" s="12" t="n"/>
      <c r="L243" s="12" t="n"/>
      <c r="M243" s="12">
        <f>IF(B243="","",IF(L243="Accepted","Accepted",IF(L243="Rejected","Rejected",IF(J243="Yes","Awaiting Inspection",IF(I243="Yes","Snug-Tight","Pending")))))</f>
        <v/>
      </c>
      <c r="N243" s="12" t="n"/>
      <c r="O243" s="12" t="n"/>
    </row>
    <row r="244">
      <c r="A244" s="14" t="n"/>
      <c r="B244" s="12" t="n"/>
      <c r="C244" s="12" t="n"/>
      <c r="D244" s="12" t="n"/>
      <c r="E244" s="12" t="n"/>
      <c r="F244" s="12" t="n"/>
      <c r="G244" s="16" t="n"/>
      <c r="H244" s="12" t="n"/>
      <c r="I244" s="12" t="n"/>
      <c r="J244" s="12" t="n"/>
      <c r="K244" s="12" t="n"/>
      <c r="L244" s="12" t="n"/>
      <c r="M244" s="12">
        <f>IF(B244="","",IF(L244="Accepted","Accepted",IF(L244="Rejected","Rejected",IF(J244="Yes","Awaiting Inspection",IF(I244="Yes","Snug-Tight","Pending")))))</f>
        <v/>
      </c>
      <c r="N244" s="12" t="n"/>
      <c r="O244" s="12" t="n"/>
    </row>
    <row r="245">
      <c r="A245" s="14" t="n"/>
      <c r="B245" s="12" t="n"/>
      <c r="C245" s="12" t="n"/>
      <c r="D245" s="12" t="n"/>
      <c r="E245" s="12" t="n"/>
      <c r="F245" s="12" t="n"/>
      <c r="G245" s="16" t="n"/>
      <c r="H245" s="12" t="n"/>
      <c r="I245" s="12" t="n"/>
      <c r="J245" s="12" t="n"/>
      <c r="K245" s="12" t="n"/>
      <c r="L245" s="12" t="n"/>
      <c r="M245" s="12">
        <f>IF(B245="","",IF(L245="Accepted","Accepted",IF(L245="Rejected","Rejected",IF(J245="Yes","Awaiting Inspection",IF(I245="Yes","Snug-Tight","Pending")))))</f>
        <v/>
      </c>
      <c r="N245" s="12" t="n"/>
      <c r="O245" s="12" t="n"/>
    </row>
    <row r="246">
      <c r="A246" s="14" t="n"/>
      <c r="B246" s="12" t="n"/>
      <c r="C246" s="12" t="n"/>
      <c r="D246" s="12" t="n"/>
      <c r="E246" s="12" t="n"/>
      <c r="F246" s="12" t="n"/>
      <c r="G246" s="16" t="n"/>
      <c r="H246" s="12" t="n"/>
      <c r="I246" s="12" t="n"/>
      <c r="J246" s="12" t="n"/>
      <c r="K246" s="12" t="n"/>
      <c r="L246" s="12" t="n"/>
      <c r="M246" s="12">
        <f>IF(B246="","",IF(L246="Accepted","Accepted",IF(L246="Rejected","Rejected",IF(J246="Yes","Awaiting Inspection",IF(I246="Yes","Snug-Tight","Pending")))))</f>
        <v/>
      </c>
      <c r="N246" s="12" t="n"/>
      <c r="O246" s="12" t="n"/>
    </row>
    <row r="247">
      <c r="A247" s="14" t="n"/>
      <c r="B247" s="12" t="n"/>
      <c r="C247" s="12" t="n"/>
      <c r="D247" s="12" t="n"/>
      <c r="E247" s="12" t="n"/>
      <c r="F247" s="12" t="n"/>
      <c r="G247" s="16" t="n"/>
      <c r="H247" s="12" t="n"/>
      <c r="I247" s="12" t="n"/>
      <c r="J247" s="12" t="n"/>
      <c r="K247" s="12" t="n"/>
      <c r="L247" s="12" t="n"/>
      <c r="M247" s="12">
        <f>IF(B247="","",IF(L247="Accepted","Accepted",IF(L247="Rejected","Rejected",IF(J247="Yes","Awaiting Inspection",IF(I247="Yes","Snug-Tight","Pending")))))</f>
        <v/>
      </c>
      <c r="N247" s="12" t="n"/>
      <c r="O247" s="12" t="n"/>
    </row>
    <row r="248">
      <c r="A248" s="14" t="n"/>
      <c r="B248" s="12" t="n"/>
      <c r="C248" s="12" t="n"/>
      <c r="D248" s="12" t="n"/>
      <c r="E248" s="12" t="n"/>
      <c r="F248" s="12" t="n"/>
      <c r="G248" s="16" t="n"/>
      <c r="H248" s="12" t="n"/>
      <c r="I248" s="12" t="n"/>
      <c r="J248" s="12" t="n"/>
      <c r="K248" s="12" t="n"/>
      <c r="L248" s="12" t="n"/>
      <c r="M248" s="12">
        <f>IF(B248="","",IF(L248="Accepted","Accepted",IF(L248="Rejected","Rejected",IF(J248="Yes","Awaiting Inspection",IF(I248="Yes","Snug-Tight","Pending")))))</f>
        <v/>
      </c>
      <c r="N248" s="12" t="n"/>
      <c r="O248" s="12" t="n"/>
    </row>
    <row r="249">
      <c r="A249" s="14" t="n"/>
      <c r="B249" s="12" t="n"/>
      <c r="C249" s="12" t="n"/>
      <c r="D249" s="12" t="n"/>
      <c r="E249" s="12" t="n"/>
      <c r="F249" s="12" t="n"/>
      <c r="G249" s="16" t="n"/>
      <c r="H249" s="12" t="n"/>
      <c r="I249" s="12" t="n"/>
      <c r="J249" s="12" t="n"/>
      <c r="K249" s="12" t="n"/>
      <c r="L249" s="12" t="n"/>
      <c r="M249" s="12">
        <f>IF(B249="","",IF(L249="Accepted","Accepted",IF(L249="Rejected","Rejected",IF(J249="Yes","Awaiting Inspection",IF(I249="Yes","Snug-Tight","Pending")))))</f>
        <v/>
      </c>
      <c r="N249" s="12" t="n"/>
      <c r="O249" s="12" t="n"/>
    </row>
    <row r="250">
      <c r="A250" s="14" t="n"/>
      <c r="B250" s="12" t="n"/>
      <c r="C250" s="12" t="n"/>
      <c r="D250" s="12" t="n"/>
      <c r="E250" s="12" t="n"/>
      <c r="F250" s="12" t="n"/>
      <c r="G250" s="16" t="n"/>
      <c r="H250" s="12" t="n"/>
      <c r="I250" s="12" t="n"/>
      <c r="J250" s="12" t="n"/>
      <c r="K250" s="12" t="n"/>
      <c r="L250" s="12" t="n"/>
      <c r="M250" s="12">
        <f>IF(B250="","",IF(L250="Accepted","Accepted",IF(L250="Rejected","Rejected",IF(J250="Yes","Awaiting Inspection",IF(I250="Yes","Snug-Tight","Pending")))))</f>
        <v/>
      </c>
      <c r="N250" s="12" t="n"/>
      <c r="O250" s="12" t="n"/>
    </row>
    <row r="251">
      <c r="A251" s="14" t="n"/>
      <c r="B251" s="12" t="n"/>
      <c r="C251" s="12" t="n"/>
      <c r="D251" s="12" t="n"/>
      <c r="E251" s="12" t="n"/>
      <c r="F251" s="12" t="n"/>
      <c r="G251" s="16" t="n"/>
      <c r="H251" s="12" t="n"/>
      <c r="I251" s="12" t="n"/>
      <c r="J251" s="12" t="n"/>
      <c r="K251" s="12" t="n"/>
      <c r="L251" s="12" t="n"/>
      <c r="M251" s="12">
        <f>IF(B251="","",IF(L251="Accepted","Accepted",IF(L251="Rejected","Rejected",IF(J251="Yes","Awaiting Inspection",IF(I251="Yes","Snug-Tight","Pending")))))</f>
        <v/>
      </c>
      <c r="N251" s="12" t="n"/>
      <c r="O251" s="12" t="n"/>
    </row>
    <row r="252">
      <c r="A252" s="14" t="n"/>
      <c r="B252" s="12" t="n"/>
      <c r="C252" s="12" t="n"/>
      <c r="D252" s="12" t="n"/>
      <c r="E252" s="12" t="n"/>
      <c r="F252" s="12" t="n"/>
      <c r="G252" s="16" t="n"/>
      <c r="H252" s="12" t="n"/>
      <c r="I252" s="12" t="n"/>
      <c r="J252" s="12" t="n"/>
      <c r="K252" s="12" t="n"/>
      <c r="L252" s="12" t="n"/>
      <c r="M252" s="12">
        <f>IF(B252="","",IF(L252="Accepted","Accepted",IF(L252="Rejected","Rejected",IF(J252="Yes","Awaiting Inspection",IF(I252="Yes","Snug-Tight","Pending")))))</f>
        <v/>
      </c>
      <c r="N252" s="12" t="n"/>
      <c r="O252" s="12" t="n"/>
    </row>
    <row r="253">
      <c r="A253" s="14" t="n"/>
      <c r="B253" s="12" t="n"/>
      <c r="C253" s="12" t="n"/>
      <c r="D253" s="12" t="n"/>
      <c r="E253" s="12" t="n"/>
      <c r="F253" s="12" t="n"/>
      <c r="G253" s="16" t="n"/>
      <c r="H253" s="12" t="n"/>
      <c r="I253" s="12" t="n"/>
      <c r="J253" s="12" t="n"/>
      <c r="K253" s="12" t="n"/>
      <c r="L253" s="12" t="n"/>
      <c r="M253" s="12">
        <f>IF(B253="","",IF(L253="Accepted","Accepted",IF(L253="Rejected","Rejected",IF(J253="Yes","Awaiting Inspection",IF(I253="Yes","Snug-Tight","Pending")))))</f>
        <v/>
      </c>
      <c r="N253" s="12" t="n"/>
      <c r="O253" s="12" t="n"/>
    </row>
    <row r="254">
      <c r="A254" s="14" t="n"/>
      <c r="B254" s="12" t="n"/>
      <c r="C254" s="12" t="n"/>
      <c r="D254" s="12" t="n"/>
      <c r="E254" s="12" t="n"/>
      <c r="F254" s="12" t="n"/>
      <c r="G254" s="16" t="n"/>
      <c r="H254" s="12" t="n"/>
      <c r="I254" s="12" t="n"/>
      <c r="J254" s="12" t="n"/>
      <c r="K254" s="12" t="n"/>
      <c r="L254" s="12" t="n"/>
      <c r="M254" s="12">
        <f>IF(B254="","",IF(L254="Accepted","Accepted",IF(L254="Rejected","Rejected",IF(J254="Yes","Awaiting Inspection",IF(I254="Yes","Snug-Tight","Pending")))))</f>
        <v/>
      </c>
      <c r="N254" s="12" t="n"/>
      <c r="O254" s="12" t="n"/>
    </row>
    <row r="255">
      <c r="A255" s="14" t="n"/>
      <c r="B255" s="12" t="n"/>
      <c r="C255" s="12" t="n"/>
      <c r="D255" s="12" t="n"/>
      <c r="E255" s="12" t="n"/>
      <c r="F255" s="12" t="n"/>
      <c r="G255" s="16" t="n"/>
      <c r="H255" s="12" t="n"/>
      <c r="I255" s="12" t="n"/>
      <c r="J255" s="12" t="n"/>
      <c r="K255" s="12" t="n"/>
      <c r="L255" s="12" t="n"/>
      <c r="M255" s="12">
        <f>IF(B255="","",IF(L255="Accepted","Accepted",IF(L255="Rejected","Rejected",IF(J255="Yes","Awaiting Inspection",IF(I255="Yes","Snug-Tight","Pending")))))</f>
        <v/>
      </c>
      <c r="N255" s="12" t="n"/>
      <c r="O255" s="12" t="n"/>
    </row>
    <row r="256">
      <c r="A256" s="14" t="n"/>
      <c r="B256" s="12" t="n"/>
      <c r="C256" s="12" t="n"/>
      <c r="D256" s="12" t="n"/>
      <c r="E256" s="12" t="n"/>
      <c r="F256" s="12" t="n"/>
      <c r="G256" s="16" t="n"/>
      <c r="H256" s="12" t="n"/>
      <c r="I256" s="12" t="n"/>
      <c r="J256" s="12" t="n"/>
      <c r="K256" s="12" t="n"/>
      <c r="L256" s="12" t="n"/>
      <c r="M256" s="12">
        <f>IF(B256="","",IF(L256="Accepted","Accepted",IF(L256="Rejected","Rejected",IF(J256="Yes","Awaiting Inspection",IF(I256="Yes","Snug-Tight","Pending")))))</f>
        <v/>
      </c>
      <c r="N256" s="12" t="n"/>
      <c r="O256" s="12" t="n"/>
    </row>
    <row r="257">
      <c r="A257" s="14" t="n"/>
      <c r="B257" s="12" t="n"/>
      <c r="C257" s="12" t="n"/>
      <c r="D257" s="12" t="n"/>
      <c r="E257" s="12" t="n"/>
      <c r="F257" s="12" t="n"/>
      <c r="G257" s="16" t="n"/>
      <c r="H257" s="12" t="n"/>
      <c r="I257" s="12" t="n"/>
      <c r="J257" s="12" t="n"/>
      <c r="K257" s="12" t="n"/>
      <c r="L257" s="12" t="n"/>
      <c r="M257" s="12">
        <f>IF(B257="","",IF(L257="Accepted","Accepted",IF(L257="Rejected","Rejected",IF(J257="Yes","Awaiting Inspection",IF(I257="Yes","Snug-Tight","Pending")))))</f>
        <v/>
      </c>
      <c r="N257" s="12" t="n"/>
      <c r="O257" s="12" t="n"/>
    </row>
    <row r="258">
      <c r="A258" s="14" t="n"/>
      <c r="B258" s="12" t="n"/>
      <c r="C258" s="12" t="n"/>
      <c r="D258" s="12" t="n"/>
      <c r="E258" s="12" t="n"/>
      <c r="F258" s="12" t="n"/>
      <c r="G258" s="16" t="n"/>
      <c r="H258" s="12" t="n"/>
      <c r="I258" s="12" t="n"/>
      <c r="J258" s="12" t="n"/>
      <c r="K258" s="12" t="n"/>
      <c r="L258" s="12" t="n"/>
      <c r="M258" s="12">
        <f>IF(B258="","",IF(L258="Accepted","Accepted",IF(L258="Rejected","Rejected",IF(J258="Yes","Awaiting Inspection",IF(I258="Yes","Snug-Tight","Pending")))))</f>
        <v/>
      </c>
      <c r="N258" s="12" t="n"/>
      <c r="O258" s="12" t="n"/>
    </row>
    <row r="259">
      <c r="A259" s="14" t="n"/>
      <c r="B259" s="12" t="n"/>
      <c r="C259" s="12" t="n"/>
      <c r="D259" s="12" t="n"/>
      <c r="E259" s="12" t="n"/>
      <c r="F259" s="12" t="n"/>
      <c r="G259" s="16" t="n"/>
      <c r="H259" s="12" t="n"/>
      <c r="I259" s="12" t="n"/>
      <c r="J259" s="12" t="n"/>
      <c r="K259" s="12" t="n"/>
      <c r="L259" s="12" t="n"/>
      <c r="M259" s="12">
        <f>IF(B259="","",IF(L259="Accepted","Accepted",IF(L259="Rejected","Rejected",IF(J259="Yes","Awaiting Inspection",IF(I259="Yes","Snug-Tight","Pending")))))</f>
        <v/>
      </c>
      <c r="N259" s="12" t="n"/>
      <c r="O259" s="12" t="n"/>
    </row>
    <row r="260">
      <c r="A260" s="14" t="n"/>
      <c r="B260" s="12" t="n"/>
      <c r="C260" s="12" t="n"/>
      <c r="D260" s="12" t="n"/>
      <c r="E260" s="12" t="n"/>
      <c r="F260" s="12" t="n"/>
      <c r="G260" s="16" t="n"/>
      <c r="H260" s="12" t="n"/>
      <c r="I260" s="12" t="n"/>
      <c r="J260" s="12" t="n"/>
      <c r="K260" s="12" t="n"/>
      <c r="L260" s="12" t="n"/>
      <c r="M260" s="12">
        <f>IF(B260="","",IF(L260="Accepted","Accepted",IF(L260="Rejected","Rejected",IF(J260="Yes","Awaiting Inspection",IF(I260="Yes","Snug-Tight","Pending")))))</f>
        <v/>
      </c>
      <c r="N260" s="12" t="n"/>
      <c r="O260" s="12" t="n"/>
    </row>
    <row r="261">
      <c r="A261" s="14" t="n"/>
      <c r="B261" s="12" t="n"/>
      <c r="C261" s="12" t="n"/>
      <c r="D261" s="12" t="n"/>
      <c r="E261" s="12" t="n"/>
      <c r="F261" s="12" t="n"/>
      <c r="G261" s="16" t="n"/>
      <c r="H261" s="12" t="n"/>
      <c r="I261" s="12" t="n"/>
      <c r="J261" s="12" t="n"/>
      <c r="K261" s="12" t="n"/>
      <c r="L261" s="12" t="n"/>
      <c r="M261" s="12">
        <f>IF(B261="","",IF(L261="Accepted","Accepted",IF(L261="Rejected","Rejected",IF(J261="Yes","Awaiting Inspection",IF(I261="Yes","Snug-Tight","Pending")))))</f>
        <v/>
      </c>
      <c r="N261" s="12" t="n"/>
      <c r="O261" s="12" t="n"/>
    </row>
    <row r="262">
      <c r="A262" s="14" t="n"/>
      <c r="B262" s="12" t="n"/>
      <c r="C262" s="12" t="n"/>
      <c r="D262" s="12" t="n"/>
      <c r="E262" s="12" t="n"/>
      <c r="F262" s="12" t="n"/>
      <c r="G262" s="16" t="n"/>
      <c r="H262" s="12" t="n"/>
      <c r="I262" s="12" t="n"/>
      <c r="J262" s="12" t="n"/>
      <c r="K262" s="12" t="n"/>
      <c r="L262" s="12" t="n"/>
      <c r="M262" s="12">
        <f>IF(B262="","",IF(L262="Accepted","Accepted",IF(L262="Rejected","Rejected",IF(J262="Yes","Awaiting Inspection",IF(I262="Yes","Snug-Tight","Pending")))))</f>
        <v/>
      </c>
      <c r="N262" s="12" t="n"/>
      <c r="O262" s="12" t="n"/>
    </row>
    <row r="263">
      <c r="A263" s="14" t="n"/>
      <c r="B263" s="12" t="n"/>
      <c r="C263" s="12" t="n"/>
      <c r="D263" s="12" t="n"/>
      <c r="E263" s="12" t="n"/>
      <c r="F263" s="12" t="n"/>
      <c r="G263" s="16" t="n"/>
      <c r="H263" s="12" t="n"/>
      <c r="I263" s="12" t="n"/>
      <c r="J263" s="12" t="n"/>
      <c r="K263" s="12" t="n"/>
      <c r="L263" s="12" t="n"/>
      <c r="M263" s="12">
        <f>IF(B263="","",IF(L263="Accepted","Accepted",IF(L263="Rejected","Rejected",IF(J263="Yes","Awaiting Inspection",IF(I263="Yes","Snug-Tight","Pending")))))</f>
        <v/>
      </c>
      <c r="N263" s="12" t="n"/>
      <c r="O263" s="12" t="n"/>
    </row>
    <row r="264">
      <c r="A264" s="14" t="n"/>
      <c r="B264" s="12" t="n"/>
      <c r="C264" s="12" t="n"/>
      <c r="D264" s="12" t="n"/>
      <c r="E264" s="12" t="n"/>
      <c r="F264" s="12" t="n"/>
      <c r="G264" s="16" t="n"/>
      <c r="H264" s="12" t="n"/>
      <c r="I264" s="12" t="n"/>
      <c r="J264" s="12" t="n"/>
      <c r="K264" s="12" t="n"/>
      <c r="L264" s="12" t="n"/>
      <c r="M264" s="12">
        <f>IF(B264="","",IF(L264="Accepted","Accepted",IF(L264="Rejected","Rejected",IF(J264="Yes","Awaiting Inspection",IF(I264="Yes","Snug-Tight","Pending")))))</f>
        <v/>
      </c>
      <c r="N264" s="12" t="n"/>
      <c r="O264" s="12" t="n"/>
    </row>
    <row r="265">
      <c r="A265" s="14" t="n"/>
      <c r="B265" s="12" t="n"/>
      <c r="C265" s="12" t="n"/>
      <c r="D265" s="12" t="n"/>
      <c r="E265" s="12" t="n"/>
      <c r="F265" s="12" t="n"/>
      <c r="G265" s="16" t="n"/>
      <c r="H265" s="12" t="n"/>
      <c r="I265" s="12" t="n"/>
      <c r="J265" s="12" t="n"/>
      <c r="K265" s="12" t="n"/>
      <c r="L265" s="12" t="n"/>
      <c r="M265" s="12">
        <f>IF(B265="","",IF(L265="Accepted","Accepted",IF(L265="Rejected","Rejected",IF(J265="Yes","Awaiting Inspection",IF(I265="Yes","Snug-Tight","Pending")))))</f>
        <v/>
      </c>
      <c r="N265" s="12" t="n"/>
      <c r="O265" s="12" t="n"/>
    </row>
    <row r="266">
      <c r="A266" s="14" t="n"/>
      <c r="B266" s="12" t="n"/>
      <c r="C266" s="12" t="n"/>
      <c r="D266" s="12" t="n"/>
      <c r="E266" s="12" t="n"/>
      <c r="F266" s="12" t="n"/>
      <c r="G266" s="16" t="n"/>
      <c r="H266" s="12" t="n"/>
      <c r="I266" s="12" t="n"/>
      <c r="J266" s="12" t="n"/>
      <c r="K266" s="12" t="n"/>
      <c r="L266" s="12" t="n"/>
      <c r="M266" s="12">
        <f>IF(B266="","",IF(L266="Accepted","Accepted",IF(L266="Rejected","Rejected",IF(J266="Yes","Awaiting Inspection",IF(I266="Yes","Snug-Tight","Pending")))))</f>
        <v/>
      </c>
      <c r="N266" s="12" t="n"/>
      <c r="O266" s="12" t="n"/>
    </row>
    <row r="267">
      <c r="A267" s="14" t="n"/>
      <c r="B267" s="12" t="n"/>
      <c r="C267" s="12" t="n"/>
      <c r="D267" s="12" t="n"/>
      <c r="E267" s="12" t="n"/>
      <c r="F267" s="12" t="n"/>
      <c r="G267" s="16" t="n"/>
      <c r="H267" s="12" t="n"/>
      <c r="I267" s="12" t="n"/>
      <c r="J267" s="12" t="n"/>
      <c r="K267" s="12" t="n"/>
      <c r="L267" s="12" t="n"/>
      <c r="M267" s="12">
        <f>IF(B267="","",IF(L267="Accepted","Accepted",IF(L267="Rejected","Rejected",IF(J267="Yes","Awaiting Inspection",IF(I267="Yes","Snug-Tight","Pending")))))</f>
        <v/>
      </c>
      <c r="N267" s="12" t="n"/>
      <c r="O267" s="12" t="n"/>
    </row>
    <row r="268">
      <c r="A268" s="14" t="n"/>
      <c r="B268" s="12" t="n"/>
      <c r="C268" s="12" t="n"/>
      <c r="D268" s="12" t="n"/>
      <c r="E268" s="12" t="n"/>
      <c r="F268" s="12" t="n"/>
      <c r="G268" s="16" t="n"/>
      <c r="H268" s="12" t="n"/>
      <c r="I268" s="12" t="n"/>
      <c r="J268" s="12" t="n"/>
      <c r="K268" s="12" t="n"/>
      <c r="L268" s="12" t="n"/>
      <c r="M268" s="12">
        <f>IF(B268="","",IF(L268="Accepted","Accepted",IF(L268="Rejected","Rejected",IF(J268="Yes","Awaiting Inspection",IF(I268="Yes","Snug-Tight","Pending")))))</f>
        <v/>
      </c>
      <c r="N268" s="12" t="n"/>
      <c r="O268" s="12" t="n"/>
    </row>
    <row r="269">
      <c r="A269" s="14" t="n"/>
      <c r="B269" s="12" t="n"/>
      <c r="C269" s="12" t="n"/>
      <c r="D269" s="12" t="n"/>
      <c r="E269" s="12" t="n"/>
      <c r="F269" s="12" t="n"/>
      <c r="G269" s="16" t="n"/>
      <c r="H269" s="12" t="n"/>
      <c r="I269" s="12" t="n"/>
      <c r="J269" s="12" t="n"/>
      <c r="K269" s="12" t="n"/>
      <c r="L269" s="12" t="n"/>
      <c r="M269" s="12">
        <f>IF(B269="","",IF(L269="Accepted","Accepted",IF(L269="Rejected","Rejected",IF(J269="Yes","Awaiting Inspection",IF(I269="Yes","Snug-Tight","Pending")))))</f>
        <v/>
      </c>
      <c r="N269" s="12" t="n"/>
      <c r="O269" s="12" t="n"/>
    </row>
    <row r="270">
      <c r="A270" s="14" t="n"/>
      <c r="B270" s="12" t="n"/>
      <c r="C270" s="12" t="n"/>
      <c r="D270" s="12" t="n"/>
      <c r="E270" s="12" t="n"/>
      <c r="F270" s="12" t="n"/>
      <c r="G270" s="16" t="n"/>
      <c r="H270" s="12" t="n"/>
      <c r="I270" s="12" t="n"/>
      <c r="J270" s="12" t="n"/>
      <c r="K270" s="12" t="n"/>
      <c r="L270" s="12" t="n"/>
      <c r="M270" s="12">
        <f>IF(B270="","",IF(L270="Accepted","Accepted",IF(L270="Rejected","Rejected",IF(J270="Yes","Awaiting Inspection",IF(I270="Yes","Snug-Tight","Pending")))))</f>
        <v/>
      </c>
      <c r="N270" s="12" t="n"/>
      <c r="O270" s="12" t="n"/>
    </row>
    <row r="271">
      <c r="A271" s="14" t="n"/>
      <c r="B271" s="12" t="n"/>
      <c r="C271" s="12" t="n"/>
      <c r="D271" s="12" t="n"/>
      <c r="E271" s="12" t="n"/>
      <c r="F271" s="12" t="n"/>
      <c r="G271" s="16" t="n"/>
      <c r="H271" s="12" t="n"/>
      <c r="I271" s="12" t="n"/>
      <c r="J271" s="12" t="n"/>
      <c r="K271" s="12" t="n"/>
      <c r="L271" s="12" t="n"/>
      <c r="M271" s="12">
        <f>IF(B271="","",IF(L271="Accepted","Accepted",IF(L271="Rejected","Rejected",IF(J271="Yes","Awaiting Inspection",IF(I271="Yes","Snug-Tight","Pending")))))</f>
        <v/>
      </c>
      <c r="N271" s="12" t="n"/>
      <c r="O271" s="12" t="n"/>
    </row>
    <row r="272">
      <c r="A272" s="14" t="n"/>
      <c r="B272" s="12" t="n"/>
      <c r="C272" s="12" t="n"/>
      <c r="D272" s="12" t="n"/>
      <c r="E272" s="12" t="n"/>
      <c r="F272" s="12" t="n"/>
      <c r="G272" s="16" t="n"/>
      <c r="H272" s="12" t="n"/>
      <c r="I272" s="12" t="n"/>
      <c r="J272" s="12" t="n"/>
      <c r="K272" s="12" t="n"/>
      <c r="L272" s="12" t="n"/>
      <c r="M272" s="12">
        <f>IF(B272="","",IF(L272="Accepted","Accepted",IF(L272="Rejected","Rejected",IF(J272="Yes","Awaiting Inspection",IF(I272="Yes","Snug-Tight","Pending")))))</f>
        <v/>
      </c>
      <c r="N272" s="12" t="n"/>
      <c r="O272" s="12" t="n"/>
    </row>
    <row r="273">
      <c r="A273" s="14" t="n"/>
      <c r="B273" s="12" t="n"/>
      <c r="C273" s="12" t="n"/>
      <c r="D273" s="12" t="n"/>
      <c r="E273" s="12" t="n"/>
      <c r="F273" s="12" t="n"/>
      <c r="G273" s="16" t="n"/>
      <c r="H273" s="12" t="n"/>
      <c r="I273" s="12" t="n"/>
      <c r="J273" s="12" t="n"/>
      <c r="K273" s="12" t="n"/>
      <c r="L273" s="12" t="n"/>
      <c r="M273" s="12">
        <f>IF(B273="","",IF(L273="Accepted","Accepted",IF(L273="Rejected","Rejected",IF(J273="Yes","Awaiting Inspection",IF(I273="Yes","Snug-Tight","Pending")))))</f>
        <v/>
      </c>
      <c r="N273" s="12" t="n"/>
      <c r="O273" s="12" t="n"/>
    </row>
    <row r="274">
      <c r="A274" s="14" t="n"/>
      <c r="B274" s="12" t="n"/>
      <c r="C274" s="12" t="n"/>
      <c r="D274" s="12" t="n"/>
      <c r="E274" s="12" t="n"/>
      <c r="F274" s="12" t="n"/>
      <c r="G274" s="16" t="n"/>
      <c r="H274" s="12" t="n"/>
      <c r="I274" s="12" t="n"/>
      <c r="J274" s="12" t="n"/>
      <c r="K274" s="12" t="n"/>
      <c r="L274" s="12" t="n"/>
      <c r="M274" s="12">
        <f>IF(B274="","",IF(L274="Accepted","Accepted",IF(L274="Rejected","Rejected",IF(J274="Yes","Awaiting Inspection",IF(I274="Yes","Snug-Tight","Pending")))))</f>
        <v/>
      </c>
      <c r="N274" s="12" t="n"/>
      <c r="O274" s="12" t="n"/>
    </row>
    <row r="275">
      <c r="A275" s="14" t="n"/>
      <c r="B275" s="12" t="n"/>
      <c r="C275" s="12" t="n"/>
      <c r="D275" s="12" t="n"/>
      <c r="E275" s="12" t="n"/>
      <c r="F275" s="12" t="n"/>
      <c r="G275" s="16" t="n"/>
      <c r="H275" s="12" t="n"/>
      <c r="I275" s="12" t="n"/>
      <c r="J275" s="12" t="n"/>
      <c r="K275" s="12" t="n"/>
      <c r="L275" s="12" t="n"/>
      <c r="M275" s="12">
        <f>IF(B275="","",IF(L275="Accepted","Accepted",IF(L275="Rejected","Rejected",IF(J275="Yes","Awaiting Inspection",IF(I275="Yes","Snug-Tight","Pending")))))</f>
        <v/>
      </c>
      <c r="N275" s="12" t="n"/>
      <c r="O275" s="12" t="n"/>
    </row>
    <row r="276">
      <c r="A276" s="14" t="n"/>
      <c r="B276" s="12" t="n"/>
      <c r="C276" s="12" t="n"/>
      <c r="D276" s="12" t="n"/>
      <c r="E276" s="12" t="n"/>
      <c r="F276" s="12" t="n"/>
      <c r="G276" s="16" t="n"/>
      <c r="H276" s="12" t="n"/>
      <c r="I276" s="12" t="n"/>
      <c r="J276" s="12" t="n"/>
      <c r="K276" s="12" t="n"/>
      <c r="L276" s="12" t="n"/>
      <c r="M276" s="12">
        <f>IF(B276="","",IF(L276="Accepted","Accepted",IF(L276="Rejected","Rejected",IF(J276="Yes","Awaiting Inspection",IF(I276="Yes","Snug-Tight","Pending")))))</f>
        <v/>
      </c>
      <c r="N276" s="12" t="n"/>
      <c r="O276" s="12" t="n"/>
    </row>
    <row r="277">
      <c r="A277" s="14" t="n"/>
      <c r="B277" s="12" t="n"/>
      <c r="C277" s="12" t="n"/>
      <c r="D277" s="12" t="n"/>
      <c r="E277" s="12" t="n"/>
      <c r="F277" s="12" t="n"/>
      <c r="G277" s="16" t="n"/>
      <c r="H277" s="12" t="n"/>
      <c r="I277" s="12" t="n"/>
      <c r="J277" s="12" t="n"/>
      <c r="K277" s="12" t="n"/>
      <c r="L277" s="12" t="n"/>
      <c r="M277" s="12">
        <f>IF(B277="","",IF(L277="Accepted","Accepted",IF(L277="Rejected","Rejected",IF(J277="Yes","Awaiting Inspection",IF(I277="Yes","Snug-Tight","Pending")))))</f>
        <v/>
      </c>
      <c r="N277" s="12" t="n"/>
      <c r="O277" s="12" t="n"/>
    </row>
    <row r="278">
      <c r="A278" s="14" t="n"/>
      <c r="B278" s="12" t="n"/>
      <c r="C278" s="12" t="n"/>
      <c r="D278" s="12" t="n"/>
      <c r="E278" s="12" t="n"/>
      <c r="F278" s="12" t="n"/>
      <c r="G278" s="16" t="n"/>
      <c r="H278" s="12" t="n"/>
      <c r="I278" s="12" t="n"/>
      <c r="J278" s="12" t="n"/>
      <c r="K278" s="12" t="n"/>
      <c r="L278" s="12" t="n"/>
      <c r="M278" s="12">
        <f>IF(B278="","",IF(L278="Accepted","Accepted",IF(L278="Rejected","Rejected",IF(J278="Yes","Awaiting Inspection",IF(I278="Yes","Snug-Tight","Pending")))))</f>
        <v/>
      </c>
      <c r="N278" s="12" t="n"/>
      <c r="O278" s="12" t="n"/>
    </row>
    <row r="279">
      <c r="A279" s="14" t="n"/>
      <c r="B279" s="12" t="n"/>
      <c r="C279" s="12" t="n"/>
      <c r="D279" s="12" t="n"/>
      <c r="E279" s="12" t="n"/>
      <c r="F279" s="12" t="n"/>
      <c r="G279" s="16" t="n"/>
      <c r="H279" s="12" t="n"/>
      <c r="I279" s="12" t="n"/>
      <c r="J279" s="12" t="n"/>
      <c r="K279" s="12" t="n"/>
      <c r="L279" s="12" t="n"/>
      <c r="M279" s="12">
        <f>IF(B279="","",IF(L279="Accepted","Accepted",IF(L279="Rejected","Rejected",IF(J279="Yes","Awaiting Inspection",IF(I279="Yes","Snug-Tight","Pending")))))</f>
        <v/>
      </c>
      <c r="N279" s="12" t="n"/>
      <c r="O279" s="12" t="n"/>
    </row>
    <row r="280">
      <c r="A280" s="14" t="n"/>
      <c r="B280" s="12" t="n"/>
      <c r="C280" s="12" t="n"/>
      <c r="D280" s="12" t="n"/>
      <c r="E280" s="12" t="n"/>
      <c r="F280" s="12" t="n"/>
      <c r="G280" s="16" t="n"/>
      <c r="H280" s="12" t="n"/>
      <c r="I280" s="12" t="n"/>
      <c r="J280" s="12" t="n"/>
      <c r="K280" s="12" t="n"/>
      <c r="L280" s="12" t="n"/>
      <c r="M280" s="12">
        <f>IF(B280="","",IF(L280="Accepted","Accepted",IF(L280="Rejected","Rejected",IF(J280="Yes","Awaiting Inspection",IF(I280="Yes","Snug-Tight","Pending")))))</f>
        <v/>
      </c>
      <c r="N280" s="12" t="n"/>
      <c r="O280" s="12" t="n"/>
    </row>
    <row r="281">
      <c r="A281" s="14" t="n"/>
      <c r="B281" s="12" t="n"/>
      <c r="C281" s="12" t="n"/>
      <c r="D281" s="12" t="n"/>
      <c r="E281" s="12" t="n"/>
      <c r="F281" s="12" t="n"/>
      <c r="G281" s="16" t="n"/>
      <c r="H281" s="12" t="n"/>
      <c r="I281" s="12" t="n"/>
      <c r="J281" s="12" t="n"/>
      <c r="K281" s="12" t="n"/>
      <c r="L281" s="12" t="n"/>
      <c r="M281" s="12">
        <f>IF(B281="","",IF(L281="Accepted","Accepted",IF(L281="Rejected","Rejected",IF(J281="Yes","Awaiting Inspection",IF(I281="Yes","Snug-Tight","Pending")))))</f>
        <v/>
      </c>
      <c r="N281" s="12" t="n"/>
      <c r="O281" s="12" t="n"/>
    </row>
    <row r="282">
      <c r="A282" s="14" t="n"/>
      <c r="B282" s="12" t="n"/>
      <c r="C282" s="12" t="n"/>
      <c r="D282" s="12" t="n"/>
      <c r="E282" s="12" t="n"/>
      <c r="F282" s="12" t="n"/>
      <c r="G282" s="16" t="n"/>
      <c r="H282" s="12" t="n"/>
      <c r="I282" s="12" t="n"/>
      <c r="J282" s="12" t="n"/>
      <c r="K282" s="12" t="n"/>
      <c r="L282" s="12" t="n"/>
      <c r="M282" s="12">
        <f>IF(B282="","",IF(L282="Accepted","Accepted",IF(L282="Rejected","Rejected",IF(J282="Yes","Awaiting Inspection",IF(I282="Yes","Snug-Tight","Pending")))))</f>
        <v/>
      </c>
      <c r="N282" s="12" t="n"/>
      <c r="O282" s="12" t="n"/>
    </row>
    <row r="283">
      <c r="A283" s="14" t="n"/>
      <c r="B283" s="12" t="n"/>
      <c r="C283" s="12" t="n"/>
      <c r="D283" s="12" t="n"/>
      <c r="E283" s="12" t="n"/>
      <c r="F283" s="12" t="n"/>
      <c r="G283" s="16" t="n"/>
      <c r="H283" s="12" t="n"/>
      <c r="I283" s="12" t="n"/>
      <c r="J283" s="12" t="n"/>
      <c r="K283" s="12" t="n"/>
      <c r="L283" s="12" t="n"/>
      <c r="M283" s="12">
        <f>IF(B283="","",IF(L283="Accepted","Accepted",IF(L283="Rejected","Rejected",IF(J283="Yes","Awaiting Inspection",IF(I283="Yes","Snug-Tight","Pending")))))</f>
        <v/>
      </c>
      <c r="N283" s="12" t="n"/>
      <c r="O283" s="12" t="n"/>
    </row>
    <row r="284">
      <c r="A284" s="14" t="n"/>
      <c r="B284" s="12" t="n"/>
      <c r="C284" s="12" t="n"/>
      <c r="D284" s="12" t="n"/>
      <c r="E284" s="12" t="n"/>
      <c r="F284" s="12" t="n"/>
      <c r="G284" s="16" t="n"/>
      <c r="H284" s="12" t="n"/>
      <c r="I284" s="12" t="n"/>
      <c r="J284" s="12" t="n"/>
      <c r="K284" s="12" t="n"/>
      <c r="L284" s="12" t="n"/>
      <c r="M284" s="12">
        <f>IF(B284="","",IF(L284="Accepted","Accepted",IF(L284="Rejected","Rejected",IF(J284="Yes","Awaiting Inspection",IF(I284="Yes","Snug-Tight","Pending")))))</f>
        <v/>
      </c>
      <c r="N284" s="12" t="n"/>
      <c r="O284" s="12" t="n"/>
    </row>
    <row r="285">
      <c r="A285" s="14" t="n"/>
      <c r="B285" s="12" t="n"/>
      <c r="C285" s="12" t="n"/>
      <c r="D285" s="12" t="n"/>
      <c r="E285" s="12" t="n"/>
      <c r="F285" s="12" t="n"/>
      <c r="G285" s="16" t="n"/>
      <c r="H285" s="12" t="n"/>
      <c r="I285" s="12" t="n"/>
      <c r="J285" s="12" t="n"/>
      <c r="K285" s="12" t="n"/>
      <c r="L285" s="12" t="n"/>
      <c r="M285" s="12">
        <f>IF(B285="","",IF(L285="Accepted","Accepted",IF(L285="Rejected","Rejected",IF(J285="Yes","Awaiting Inspection",IF(I285="Yes","Snug-Tight","Pending")))))</f>
        <v/>
      </c>
      <c r="N285" s="12" t="n"/>
      <c r="O285" s="12" t="n"/>
    </row>
    <row r="286">
      <c r="A286" s="14" t="n"/>
      <c r="B286" s="12" t="n"/>
      <c r="C286" s="12" t="n"/>
      <c r="D286" s="12" t="n"/>
      <c r="E286" s="12" t="n"/>
      <c r="F286" s="12" t="n"/>
      <c r="G286" s="16" t="n"/>
      <c r="H286" s="12" t="n"/>
      <c r="I286" s="12" t="n"/>
      <c r="J286" s="12" t="n"/>
      <c r="K286" s="12" t="n"/>
      <c r="L286" s="12" t="n"/>
      <c r="M286" s="12">
        <f>IF(B286="","",IF(L286="Accepted","Accepted",IF(L286="Rejected","Rejected",IF(J286="Yes","Awaiting Inspection",IF(I286="Yes","Snug-Tight","Pending")))))</f>
        <v/>
      </c>
      <c r="N286" s="12" t="n"/>
      <c r="O286" s="12" t="n"/>
    </row>
    <row r="287">
      <c r="A287" s="14" t="n"/>
      <c r="B287" s="12" t="n"/>
      <c r="C287" s="12" t="n"/>
      <c r="D287" s="12" t="n"/>
      <c r="E287" s="12" t="n"/>
      <c r="F287" s="12" t="n"/>
      <c r="G287" s="16" t="n"/>
      <c r="H287" s="12" t="n"/>
      <c r="I287" s="12" t="n"/>
      <c r="J287" s="12" t="n"/>
      <c r="K287" s="12" t="n"/>
      <c r="L287" s="12" t="n"/>
      <c r="M287" s="12">
        <f>IF(B287="","",IF(L287="Accepted","Accepted",IF(L287="Rejected","Rejected",IF(J287="Yes","Awaiting Inspection",IF(I287="Yes","Snug-Tight","Pending")))))</f>
        <v/>
      </c>
      <c r="N287" s="12" t="n"/>
      <c r="O287" s="12" t="n"/>
    </row>
    <row r="288">
      <c r="A288" s="14" t="n"/>
      <c r="B288" s="12" t="n"/>
      <c r="C288" s="12" t="n"/>
      <c r="D288" s="12" t="n"/>
      <c r="E288" s="12" t="n"/>
      <c r="F288" s="12" t="n"/>
      <c r="G288" s="16" t="n"/>
      <c r="H288" s="12" t="n"/>
      <c r="I288" s="12" t="n"/>
      <c r="J288" s="12" t="n"/>
      <c r="K288" s="12" t="n"/>
      <c r="L288" s="12" t="n"/>
      <c r="M288" s="12">
        <f>IF(B288="","",IF(L288="Accepted","Accepted",IF(L288="Rejected","Rejected",IF(J288="Yes","Awaiting Inspection",IF(I288="Yes","Snug-Tight","Pending")))))</f>
        <v/>
      </c>
      <c r="N288" s="12" t="n"/>
      <c r="O288" s="12" t="n"/>
    </row>
    <row r="289">
      <c r="A289" s="14" t="n"/>
      <c r="B289" s="12" t="n"/>
      <c r="C289" s="12" t="n"/>
      <c r="D289" s="12" t="n"/>
      <c r="E289" s="12" t="n"/>
      <c r="F289" s="12" t="n"/>
      <c r="G289" s="16" t="n"/>
      <c r="H289" s="12" t="n"/>
      <c r="I289" s="12" t="n"/>
      <c r="J289" s="12" t="n"/>
      <c r="K289" s="12" t="n"/>
      <c r="L289" s="12" t="n"/>
      <c r="M289" s="12">
        <f>IF(B289="","",IF(L289="Accepted","Accepted",IF(L289="Rejected","Rejected",IF(J289="Yes","Awaiting Inspection",IF(I289="Yes","Snug-Tight","Pending")))))</f>
        <v/>
      </c>
      <c r="N289" s="12" t="n"/>
      <c r="O289" s="12" t="n"/>
    </row>
    <row r="290">
      <c r="A290" s="14" t="n"/>
      <c r="B290" s="12" t="n"/>
      <c r="C290" s="12" t="n"/>
      <c r="D290" s="12" t="n"/>
      <c r="E290" s="12" t="n"/>
      <c r="F290" s="12" t="n"/>
      <c r="G290" s="16" t="n"/>
      <c r="H290" s="12" t="n"/>
      <c r="I290" s="12" t="n"/>
      <c r="J290" s="12" t="n"/>
      <c r="K290" s="12" t="n"/>
      <c r="L290" s="12" t="n"/>
      <c r="M290" s="12">
        <f>IF(B290="","",IF(L290="Accepted","Accepted",IF(L290="Rejected","Rejected",IF(J290="Yes","Awaiting Inspection",IF(I290="Yes","Snug-Tight","Pending")))))</f>
        <v/>
      </c>
      <c r="N290" s="12" t="n"/>
      <c r="O290" s="12" t="n"/>
    </row>
    <row r="291">
      <c r="A291" s="14" t="n"/>
      <c r="B291" s="12" t="n"/>
      <c r="C291" s="12" t="n"/>
      <c r="D291" s="12" t="n"/>
      <c r="E291" s="12" t="n"/>
      <c r="F291" s="12" t="n"/>
      <c r="G291" s="16" t="n"/>
      <c r="H291" s="12" t="n"/>
      <c r="I291" s="12" t="n"/>
      <c r="J291" s="12" t="n"/>
      <c r="K291" s="12" t="n"/>
      <c r="L291" s="12" t="n"/>
      <c r="M291" s="12">
        <f>IF(B291="","",IF(L291="Accepted","Accepted",IF(L291="Rejected","Rejected",IF(J291="Yes","Awaiting Inspection",IF(I291="Yes","Snug-Tight","Pending")))))</f>
        <v/>
      </c>
      <c r="N291" s="12" t="n"/>
      <c r="O291" s="12" t="n"/>
    </row>
    <row r="292">
      <c r="A292" s="14" t="n"/>
      <c r="B292" s="12" t="n"/>
      <c r="C292" s="12" t="n"/>
      <c r="D292" s="12" t="n"/>
      <c r="E292" s="12" t="n"/>
      <c r="F292" s="12" t="n"/>
      <c r="G292" s="16" t="n"/>
      <c r="H292" s="12" t="n"/>
      <c r="I292" s="12" t="n"/>
      <c r="J292" s="12" t="n"/>
      <c r="K292" s="12" t="n"/>
      <c r="L292" s="12" t="n"/>
      <c r="M292" s="12">
        <f>IF(B292="","",IF(L292="Accepted","Accepted",IF(L292="Rejected","Rejected",IF(J292="Yes","Awaiting Inspection",IF(I292="Yes","Snug-Tight","Pending")))))</f>
        <v/>
      </c>
      <c r="N292" s="12" t="n"/>
      <c r="O292" s="12" t="n"/>
    </row>
    <row r="293">
      <c r="A293" s="14" t="n"/>
      <c r="B293" s="12" t="n"/>
      <c r="C293" s="12" t="n"/>
      <c r="D293" s="12" t="n"/>
      <c r="E293" s="12" t="n"/>
      <c r="F293" s="12" t="n"/>
      <c r="G293" s="16" t="n"/>
      <c r="H293" s="12" t="n"/>
      <c r="I293" s="12" t="n"/>
      <c r="J293" s="12" t="n"/>
      <c r="K293" s="12" t="n"/>
      <c r="L293" s="12" t="n"/>
      <c r="M293" s="12">
        <f>IF(B293="","",IF(L293="Accepted","Accepted",IF(L293="Rejected","Rejected",IF(J293="Yes","Awaiting Inspection",IF(I293="Yes","Snug-Tight","Pending")))))</f>
        <v/>
      </c>
      <c r="N293" s="12" t="n"/>
      <c r="O293" s="12" t="n"/>
    </row>
    <row r="294">
      <c r="A294" s="14" t="n"/>
      <c r="B294" s="12" t="n"/>
      <c r="C294" s="12" t="n"/>
      <c r="D294" s="12" t="n"/>
      <c r="E294" s="12" t="n"/>
      <c r="F294" s="12" t="n"/>
      <c r="G294" s="16" t="n"/>
      <c r="H294" s="12" t="n"/>
      <c r="I294" s="12" t="n"/>
      <c r="J294" s="12" t="n"/>
      <c r="K294" s="12" t="n"/>
      <c r="L294" s="12" t="n"/>
      <c r="M294" s="12">
        <f>IF(B294="","",IF(L294="Accepted","Accepted",IF(L294="Rejected","Rejected",IF(J294="Yes","Awaiting Inspection",IF(I294="Yes","Snug-Tight","Pending")))))</f>
        <v/>
      </c>
      <c r="N294" s="12" t="n"/>
      <c r="O294" s="12" t="n"/>
    </row>
    <row r="295">
      <c r="A295" s="14" t="n"/>
      <c r="B295" s="12" t="n"/>
      <c r="C295" s="12" t="n"/>
      <c r="D295" s="12" t="n"/>
      <c r="E295" s="12" t="n"/>
      <c r="F295" s="12" t="n"/>
      <c r="G295" s="16" t="n"/>
      <c r="H295" s="12" t="n"/>
      <c r="I295" s="12" t="n"/>
      <c r="J295" s="12" t="n"/>
      <c r="K295" s="12" t="n"/>
      <c r="L295" s="12" t="n"/>
      <c r="M295" s="12">
        <f>IF(B295="","",IF(L295="Accepted","Accepted",IF(L295="Rejected","Rejected",IF(J295="Yes","Awaiting Inspection",IF(I295="Yes","Snug-Tight","Pending")))))</f>
        <v/>
      </c>
      <c r="N295" s="12" t="n"/>
      <c r="O295" s="12" t="n"/>
    </row>
    <row r="296">
      <c r="A296" s="14" t="n"/>
      <c r="B296" s="12" t="n"/>
      <c r="C296" s="12" t="n"/>
      <c r="D296" s="12" t="n"/>
      <c r="E296" s="12" t="n"/>
      <c r="F296" s="12" t="n"/>
      <c r="G296" s="16" t="n"/>
      <c r="H296" s="12" t="n"/>
      <c r="I296" s="12" t="n"/>
      <c r="J296" s="12" t="n"/>
      <c r="K296" s="12" t="n"/>
      <c r="L296" s="12" t="n"/>
      <c r="M296" s="12">
        <f>IF(B296="","",IF(L296="Accepted","Accepted",IF(L296="Rejected","Rejected",IF(J296="Yes","Awaiting Inspection",IF(I296="Yes","Snug-Tight","Pending")))))</f>
        <v/>
      </c>
      <c r="N296" s="12" t="n"/>
      <c r="O296" s="12" t="n"/>
    </row>
    <row r="297">
      <c r="A297" s="14" t="n"/>
      <c r="B297" s="12" t="n"/>
      <c r="C297" s="12" t="n"/>
      <c r="D297" s="12" t="n"/>
      <c r="E297" s="12" t="n"/>
      <c r="F297" s="12" t="n"/>
      <c r="G297" s="16" t="n"/>
      <c r="H297" s="12" t="n"/>
      <c r="I297" s="12" t="n"/>
      <c r="J297" s="12" t="n"/>
      <c r="K297" s="12" t="n"/>
      <c r="L297" s="12" t="n"/>
      <c r="M297" s="12">
        <f>IF(B297="","",IF(L297="Accepted","Accepted",IF(L297="Rejected","Rejected",IF(J297="Yes","Awaiting Inspection",IF(I297="Yes","Snug-Tight","Pending")))))</f>
        <v/>
      </c>
      <c r="N297" s="12" t="n"/>
      <c r="O297" s="12" t="n"/>
    </row>
    <row r="298">
      <c r="A298" s="14" t="n"/>
      <c r="B298" s="12" t="n"/>
      <c r="C298" s="12" t="n"/>
      <c r="D298" s="12" t="n"/>
      <c r="E298" s="12" t="n"/>
      <c r="F298" s="12" t="n"/>
      <c r="G298" s="16" t="n"/>
      <c r="H298" s="12" t="n"/>
      <c r="I298" s="12" t="n"/>
      <c r="J298" s="12" t="n"/>
      <c r="K298" s="12" t="n"/>
      <c r="L298" s="12" t="n"/>
      <c r="M298" s="12">
        <f>IF(B298="","",IF(L298="Accepted","Accepted",IF(L298="Rejected","Rejected",IF(J298="Yes","Awaiting Inspection",IF(I298="Yes","Snug-Tight","Pending")))))</f>
        <v/>
      </c>
      <c r="N298" s="12" t="n"/>
      <c r="O298" s="12" t="n"/>
    </row>
    <row r="299">
      <c r="A299" s="14" t="n"/>
      <c r="B299" s="12" t="n"/>
      <c r="C299" s="12" t="n"/>
      <c r="D299" s="12" t="n"/>
      <c r="E299" s="12" t="n"/>
      <c r="F299" s="12" t="n"/>
      <c r="G299" s="16" t="n"/>
      <c r="H299" s="12" t="n"/>
      <c r="I299" s="12" t="n"/>
      <c r="J299" s="12" t="n"/>
      <c r="K299" s="12" t="n"/>
      <c r="L299" s="12" t="n"/>
      <c r="M299" s="12">
        <f>IF(B299="","",IF(L299="Accepted","Accepted",IF(L299="Rejected","Rejected",IF(J299="Yes","Awaiting Inspection",IF(I299="Yes","Snug-Tight","Pending")))))</f>
        <v/>
      </c>
      <c r="N299" s="12" t="n"/>
      <c r="O299" s="12" t="n"/>
    </row>
    <row r="300">
      <c r="A300" s="14" t="n"/>
      <c r="B300" s="12" t="n"/>
      <c r="C300" s="12" t="n"/>
      <c r="D300" s="12" t="n"/>
      <c r="E300" s="12" t="n"/>
      <c r="F300" s="12" t="n"/>
      <c r="G300" s="16" t="n"/>
      <c r="H300" s="12" t="n"/>
      <c r="I300" s="12" t="n"/>
      <c r="J300" s="12" t="n"/>
      <c r="K300" s="12" t="n"/>
      <c r="L300" s="12" t="n"/>
      <c r="M300" s="12">
        <f>IF(B300="","",IF(L300="Accepted","Accepted",IF(L300="Rejected","Rejected",IF(J300="Yes","Awaiting Inspection",IF(I300="Yes","Snug-Tight","Pending")))))</f>
        <v/>
      </c>
      <c r="N300" s="12" t="n"/>
      <c r="O300" s="12" t="n"/>
    </row>
    <row r="301">
      <c r="A301" s="14" t="n"/>
      <c r="B301" s="12" t="n"/>
      <c r="C301" s="12" t="n"/>
      <c r="D301" s="12" t="n"/>
      <c r="E301" s="12" t="n"/>
      <c r="F301" s="12" t="n"/>
      <c r="G301" s="16" t="n"/>
      <c r="H301" s="12" t="n"/>
      <c r="I301" s="12" t="n"/>
      <c r="J301" s="12" t="n"/>
      <c r="K301" s="12" t="n"/>
      <c r="L301" s="12" t="n"/>
      <c r="M301" s="12">
        <f>IF(B301="","",IF(L301="Accepted","Accepted",IF(L301="Rejected","Rejected",IF(J301="Yes","Awaiting Inspection",IF(I301="Yes","Snug-Tight","Pending")))))</f>
        <v/>
      </c>
      <c r="N301" s="12" t="n"/>
      <c r="O301" s="12" t="n"/>
    </row>
    <row r="302">
      <c r="A302" s="14" t="n"/>
      <c r="B302" s="12" t="n"/>
      <c r="C302" s="12" t="n"/>
      <c r="D302" s="12" t="n"/>
      <c r="E302" s="12" t="n"/>
      <c r="F302" s="12" t="n"/>
      <c r="G302" s="16" t="n"/>
      <c r="H302" s="12" t="n"/>
      <c r="I302" s="12" t="n"/>
      <c r="J302" s="12" t="n"/>
      <c r="K302" s="12" t="n"/>
      <c r="L302" s="12" t="n"/>
      <c r="M302" s="12">
        <f>IF(B302="","",IF(L302="Accepted","Accepted",IF(L302="Rejected","Rejected",IF(J302="Yes","Awaiting Inspection",IF(I302="Yes","Snug-Tight","Pending")))))</f>
        <v/>
      </c>
      <c r="N302" s="12" t="n"/>
      <c r="O302" s="12" t="n"/>
    </row>
    <row r="303">
      <c r="A303" s="14" t="n"/>
      <c r="B303" s="12" t="n"/>
      <c r="C303" s="12" t="n"/>
      <c r="D303" s="12" t="n"/>
      <c r="E303" s="12" t="n"/>
      <c r="F303" s="12" t="n"/>
      <c r="G303" s="16" t="n"/>
      <c r="H303" s="12" t="n"/>
      <c r="I303" s="12" t="n"/>
      <c r="J303" s="12" t="n"/>
      <c r="K303" s="12" t="n"/>
      <c r="L303" s="12" t="n"/>
      <c r="M303" s="12">
        <f>IF(B303="","",IF(L303="Accepted","Accepted",IF(L303="Rejected","Rejected",IF(J303="Yes","Awaiting Inspection",IF(I303="Yes","Snug-Tight","Pending")))))</f>
        <v/>
      </c>
      <c r="N303" s="12" t="n"/>
      <c r="O303" s="12" t="n"/>
    </row>
    <row r="304">
      <c r="A304" s="14" t="n"/>
      <c r="B304" s="12" t="n"/>
      <c r="C304" s="12" t="n"/>
      <c r="D304" s="12" t="n"/>
      <c r="E304" s="12" t="n"/>
      <c r="F304" s="12" t="n"/>
      <c r="G304" s="16" t="n"/>
      <c r="H304" s="12" t="n"/>
      <c r="I304" s="12" t="n"/>
      <c r="J304" s="12" t="n"/>
      <c r="K304" s="12" t="n"/>
      <c r="L304" s="12" t="n"/>
      <c r="M304" s="12">
        <f>IF(B304="","",IF(L304="Accepted","Accepted",IF(L304="Rejected","Rejected",IF(J304="Yes","Awaiting Inspection",IF(I304="Yes","Snug-Tight","Pending")))))</f>
        <v/>
      </c>
      <c r="N304" s="12" t="n"/>
      <c r="O304" s="12" t="n"/>
    </row>
    <row r="305">
      <c r="B305" s="17" t="inlineStr">
        <is>
          <t>TOTALS</t>
        </is>
      </c>
      <c r="G305" s="18">
        <f>SUM(G5:G304)</f>
        <v/>
      </c>
    </row>
  </sheetData>
  <mergeCells count="2">
    <mergeCell ref="A1:O1"/>
    <mergeCell ref="A2:O2"/>
  </mergeCells>
  <conditionalFormatting sqref="M5:M304">
    <cfRule type="expression" priority="1" dxfId="3">
      <formula>M5="Accepted"</formula>
    </cfRule>
    <cfRule type="expression" priority="2" dxfId="4">
      <formula>M5="Rejected"</formula>
    </cfRule>
    <cfRule type="expression" priority="3" dxfId="2">
      <formula>M5="Awaiting Inspection"</formula>
    </cfRule>
  </conditionalFormatting>
  <dataValidations count="5">
    <dataValidation sqref="D5:D304" showDropDown="0" showInputMessage="0" showErrorMessage="0" allowBlank="1" type="list">
      <formula1>"Snug-Tight,Pretensioned,Slip-Critical"</formula1>
    </dataValidation>
    <dataValidation sqref="E5:E304" showDropDown="0" showInputMessage="0" showErrorMessage="0" allowBlank="1" type="list">
      <formula1>"N/A — Snug,Turn-of-Nut,Calibrated Wrench,Twist-Off (TC),DTI Washer"</formula1>
    </dataValidation>
    <dataValidation sqref="I5:I304 J5:J304 N5:N304" showDropDown="0" showInputMessage="0" showErrorMessage="0" allowBlank="1" type="list">
      <formula1>"Yes,No,N/A"</formula1>
    </dataValidation>
    <dataValidation sqref="K5:K304" showDropDown="0" showInputMessage="0" showErrorMessage="0" allowBlank="1" type="list">
      <formula1>"Yellow,Green,Red,Not Marked"</formula1>
    </dataValidation>
    <dataValidation sqref="L5:L304" showDropDown="0" showInputMessage="0" showErrorMessage="0" allowBlank="1" type="list">
      <formula1>"Pending,Accepted,Rejected,Re-inspect"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D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28" customWidth="1" min="4" max="4"/>
  </cols>
  <sheetData>
    <row r="1" ht="32" customHeight="1">
      <c r="B1" s="1" t="inlineStr">
        <is>
          <t>DAILY ROLL-UP — Bolt Installation Status</t>
        </is>
      </c>
    </row>
    <row r="2">
      <c r="B2" s="10" t="inlineStr">
        <is>
          <t>Auto-aggregated from Connection Log. Use for daily progress reporting + monthly billing back-up.</t>
        </is>
      </c>
    </row>
    <row r="4">
      <c r="B4" s="4" t="inlineStr">
        <is>
          <t>Total connections logged</t>
        </is>
      </c>
      <c r="C4" s="19">
        <f>COUNTA('Connection Log'!B5:B304)</f>
        <v/>
      </c>
    </row>
    <row r="5">
      <c r="B5" s="4" t="inlineStr">
        <is>
          <t>Total bolts installed</t>
        </is>
      </c>
      <c r="C5" s="19">
        <f>SUM('Connection Log'!G5:G304)</f>
        <v/>
      </c>
    </row>
    <row r="6">
      <c r="B6" s="4" t="inlineStr">
        <is>
          <t>Connections — Pending</t>
        </is>
      </c>
      <c r="C6" s="20">
        <f>COUNTIF('Connection Log'!M5:M304,"Pending")</f>
        <v/>
      </c>
    </row>
    <row r="7">
      <c r="B7" s="4" t="inlineStr">
        <is>
          <t>Connections — Snug-Tight only</t>
        </is>
      </c>
      <c r="C7" s="20">
        <f>COUNTIF('Connection Log'!M5:M304,"Snug-Tight")</f>
        <v/>
      </c>
    </row>
    <row r="8">
      <c r="B8" s="4" t="inlineStr">
        <is>
          <t>Connections — Awaiting Inspection</t>
        </is>
      </c>
      <c r="C8" s="20">
        <f>COUNTIF('Connection Log'!M5:M304,"Awaiting Inspection")</f>
        <v/>
      </c>
    </row>
    <row r="9">
      <c r="B9" s="4" t="inlineStr">
        <is>
          <t>Connections — Accepted</t>
        </is>
      </c>
      <c r="C9" s="20">
        <f>COUNTIF('Connection Log'!M5:M304,"Accepted")</f>
        <v/>
      </c>
    </row>
    <row r="10">
      <c r="B10" s="4" t="inlineStr">
        <is>
          <t>Connections — Rejected</t>
        </is>
      </c>
      <c r="C10" s="20">
        <f>COUNTIF('Connection Log'!M5:M304,"Rejected")</f>
        <v/>
      </c>
    </row>
    <row r="11">
      <c r="B11" s="4" t="inlineStr">
        <is>
          <t>Connections — Re-inspect</t>
        </is>
      </c>
      <c r="C11" s="20">
        <f>COUNTIF('Connection Log'!L5:L304,"Re-inspect")</f>
        <v/>
      </c>
    </row>
    <row r="13">
      <c r="B13" s="7" t="inlineStr">
        <is>
          <t>By Connection Type</t>
        </is>
      </c>
    </row>
    <row r="14">
      <c r="B14" s="4" t="inlineStr">
        <is>
          <t>Snug-Tight type connections</t>
        </is>
      </c>
      <c r="C14" s="20">
        <f>COUNTIF('Connection Log'!D5:D304,"Snug-Tight")</f>
        <v/>
      </c>
    </row>
    <row r="15">
      <c r="B15" s="4" t="inlineStr">
        <is>
          <t>Pretensioned type connections</t>
        </is>
      </c>
      <c r="C15" s="20">
        <f>COUNTIF('Connection Log'!D5:D304,"Pretensioned")</f>
        <v/>
      </c>
    </row>
    <row r="16">
      <c r="B16" s="4" t="inlineStr">
        <is>
          <t>Slip-Critical type connections</t>
        </is>
      </c>
      <c r="C16" s="20">
        <f>COUNTIF('Connection Log'!D5:D304,"Slip-Critical")</f>
        <v/>
      </c>
    </row>
    <row r="18">
      <c r="B18" s="7" t="inlineStr">
        <is>
          <t>By Method</t>
        </is>
      </c>
    </row>
    <row r="19">
      <c r="B19" s="4" t="inlineStr">
        <is>
          <t>Turn-of-Nut</t>
        </is>
      </c>
      <c r="C19" s="20">
        <f>COUNTIF('Connection Log'!E5:E304,"Turn-of-Nut")</f>
        <v/>
      </c>
    </row>
    <row r="20">
      <c r="B20" s="4" t="inlineStr">
        <is>
          <t>Calibrated Wrench</t>
        </is>
      </c>
      <c r="C20" s="20">
        <f>COUNTIF('Connection Log'!E5:E304,"Calibrated Wrench")</f>
        <v/>
      </c>
    </row>
    <row r="21">
      <c r="B21" s="4" t="inlineStr">
        <is>
          <t>Twist-Off (TC)</t>
        </is>
      </c>
      <c r="C21" s="20">
        <f>COUNTIF('Connection Log'!E5:E304,"Twist-Off (TC)")</f>
        <v/>
      </c>
    </row>
    <row r="22">
      <c r="B22" s="4" t="inlineStr">
        <is>
          <t>DTI Washer</t>
        </is>
      </c>
      <c r="C22" s="20">
        <f>COUNTIF('Connection Log'!E5:E304,"DTI Washer")</f>
        <v/>
      </c>
    </row>
    <row r="24">
      <c r="B24" s="4" t="inlineStr">
        <is>
          <t>Skidmore verifications logged</t>
        </is>
      </c>
      <c r="C24" s="20">
        <f>COUNTA('Pre-Install Verification'!C5:C104)</f>
        <v/>
      </c>
    </row>
    <row r="25">
      <c r="B25" s="4" t="inlineStr">
        <is>
          <t>Skidmore verifications PASSED</t>
        </is>
      </c>
      <c r="C25" s="20">
        <f>COUNTIF('Pre-Install Verification'!K5:K104,"Pass")</f>
        <v/>
      </c>
    </row>
    <row r="26">
      <c r="B26" s="4" t="inlineStr">
        <is>
          <t>Skidmore verifications FAILED</t>
        </is>
      </c>
      <c r="C26" s="20">
        <f>COUNTIF('Pre-Install Verification'!K5:K104,"Fail")</f>
        <v/>
      </c>
    </row>
  </sheetData>
  <mergeCells count="4">
    <mergeCell ref="B18:D18"/>
    <mergeCell ref="B13:D13"/>
    <mergeCell ref="B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2026-05-17T14:25:40Z</dcterms:created>
  <dcterms:modified xmlns:dcterms="http://purl.org/dc/terms/" xmlns:xsi="http://www.w3.org/2001/XMLSchema-instance" xsi:type="dcterms:W3CDTF">2026-05-17T14:25:40Z</dcterms:modified>
</cp:coreProperties>
</file>