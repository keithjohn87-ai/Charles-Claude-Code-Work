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Bid Summary" sheetId="2" state="visible" r:id="rId2"/>
    <sheet xmlns:r="http://schemas.openxmlformats.org/officeDocument/2006/relationships" name="Project Info" sheetId="3" state="visible" r:id="rId3"/>
    <sheet xmlns:r="http://schemas.openxmlformats.org/officeDocument/2006/relationships" name="Wage Rates" sheetId="4" state="visible" r:id="rId4"/>
    <sheet xmlns:r="http://schemas.openxmlformats.org/officeDocument/2006/relationships" name="Material Takeoff" sheetId="5" state="visible" r:id="rId5"/>
    <sheet xmlns:r="http://schemas.openxmlformats.org/officeDocument/2006/relationships" name="Labor Estimate" sheetId="6" state="visible" r:id="rId6"/>
    <sheet xmlns:r="http://schemas.openxmlformats.org/officeDocument/2006/relationships" name="Equipment" sheetId="7" state="visible" r:id="rId7"/>
    <sheet xmlns:r="http://schemas.openxmlformats.org/officeDocument/2006/relationships" name="Subcontract" sheetId="8" state="visible" r:id="rId8"/>
    <sheet xmlns:r="http://schemas.openxmlformats.org/officeDocument/2006/relationships" name="Premiums" sheetId="9" state="visible" r:id="rId9"/>
    <sheet xmlns:r="http://schemas.openxmlformats.org/officeDocument/2006/relationships" name="CSI Reference" sheetId="10" state="visible" r:id="rId10"/>
  </sheets>
  <definedNames>
    <definedName name="WageClassifications">'Wage Rates'!$A$4:$A$10</definedName>
    <definedName name="WageLoadedRates">'Wage Rates'!$F$4:$F$10</definedName>
  </definedNames>
  <calcPr calcId="124519" fullCalcOnLoad="1"/>
</workbook>
</file>

<file path=xl/styles.xml><?xml version="1.0" encoding="utf-8"?>
<styleSheet xmlns="http://schemas.openxmlformats.org/spreadsheetml/2006/main">
  <numFmts count="3">
    <numFmt numFmtId="164" formatCode="_($* #,##0.00_);_($* (#,##0.00);_($* &quot;-&quot;??_);_(@_)"/>
    <numFmt numFmtId="165" formatCode="0.0%"/>
    <numFmt numFmtId="166" formatCode="_(* #,##0.0_);_(* (#,##0.0);_(* &quot;-&quot;_);_(@_)"/>
  </numFmts>
  <fonts count="9">
    <font>
      <name val="Calibri"/>
      <family val="2"/>
      <color theme="1"/>
      <sz val="11"/>
      <scheme val="minor"/>
    </font>
    <font>
      <name val="Calibri"/>
      <b val="1"/>
      <color rgb="001E3A5F"/>
      <sz val="22"/>
    </font>
    <font>
      <name val="Calibri"/>
      <sz val="11"/>
    </font>
    <font>
      <name val="Calibri"/>
      <b val="1"/>
      <color rgb="001E3A5F"/>
      <sz val="12"/>
    </font>
    <font>
      <name val="Calibri"/>
      <b val="1"/>
      <sz val="11"/>
    </font>
    <font>
      <name val="Calibri"/>
      <i val="1"/>
      <color rgb="00808080"/>
      <sz val="11"/>
    </font>
    <font>
      <name val="Calibri"/>
      <b val="1"/>
      <color rgb="00FFFFFF"/>
      <sz val="11"/>
    </font>
    <font>
      <name val="Calibri"/>
      <b val="1"/>
      <color rgb="00FFFFFF"/>
      <sz val="14"/>
    </font>
    <font>
      <name val="Calibri"/>
      <b val="1"/>
      <color rgb="001E3A5F"/>
      <sz val="14"/>
    </font>
  </fonts>
  <fills count="5">
    <fill>
      <patternFill/>
    </fill>
    <fill>
      <patternFill patternType="gray125"/>
    </fill>
    <fill>
      <patternFill patternType="solid">
        <fgColor rgb="00D6E0EC"/>
      </patternFill>
    </fill>
    <fill>
      <patternFill patternType="solid">
        <fgColor rgb="001E3A5F"/>
      </patternFill>
    </fill>
    <fill>
      <patternFill patternType="solid">
        <fgColor rgb="00C9A227"/>
      </patternFill>
    </fill>
  </fills>
  <borders count="2">
    <border>
      <left/>
      <right/>
      <top/>
      <bottom/>
      <diagonal/>
    </border>
    <border>
      <left style="thin">
        <color rgb="00B0B7BF"/>
      </left>
      <right style="thin">
        <color rgb="00B0B7BF"/>
      </right>
      <top style="thin">
        <color rgb="00B0B7BF"/>
      </top>
      <bottom style="thin">
        <color rgb="00B0B7B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1" applyAlignment="1" pivotButton="0" quotePrefix="0" xfId="0">
      <alignment horizontal="right" vertical="center"/>
    </xf>
    <xf numFmtId="164" fontId="4" fillId="0" borderId="1" pivotButton="0" quotePrefix="0" xfId="0"/>
    <xf numFmtId="165" fontId="4" fillId="0" borderId="1" pivotButton="0" quotePrefix="0" xfId="0"/>
    <xf numFmtId="0" fontId="8" fillId="4" borderId="1" applyAlignment="1" pivotButton="0" quotePrefix="0" xfId="0">
      <alignment horizontal="right" vertical="center"/>
    </xf>
    <xf numFmtId="164" fontId="7" fillId="3" borderId="1" pivotButton="0" quotePrefix="0" xfId="0"/>
    <xf numFmtId="0" fontId="5" fillId="0" borderId="0" pivotButton="0" quotePrefix="0" xfId="0"/>
    <xf numFmtId="0" fontId="3" fillId="0" borderId="0" pivotButton="0" quotePrefix="0" xfId="0"/>
    <xf numFmtId="0" fontId="6" fillId="3" borderId="1" applyAlignment="1" pivotButton="0" quotePrefix="0" xfId="0">
      <alignment horizontal="center" vertical="center" wrapText="1"/>
    </xf>
    <xf numFmtId="0" fontId="0" fillId="0" borderId="1" applyAlignment="1" pivotButton="0" quotePrefix="0" xfId="0">
      <alignment horizontal="left" vertical="center" wrapText="1"/>
    </xf>
    <xf numFmtId="164" fontId="0" fillId="0" borderId="1" pivotButton="0" quotePrefix="0" xfId="0"/>
    <xf numFmtId="0" fontId="4" fillId="2" borderId="1" applyAlignment="1" pivotButton="0" quotePrefix="0" xfId="0">
      <alignment horizontal="left" vertical="center" wrapText="1"/>
    </xf>
    <xf numFmtId="0" fontId="2" fillId="0" borderId="1" applyAlignment="1" pivotButton="0" quotePrefix="0" xfId="0">
      <alignment horizontal="left" vertical="center" wrapText="1"/>
    </xf>
    <xf numFmtId="0" fontId="5" fillId="0" borderId="1" applyAlignment="1" pivotButton="0" quotePrefix="0" xfId="0">
      <alignment horizontal="left" vertical="center" wrapText="1"/>
    </xf>
    <xf numFmtId="0" fontId="4" fillId="0" borderId="1" applyAlignment="1" pivotButton="0" quotePrefix="0" xfId="0">
      <alignment horizontal="left" vertical="center" wrapText="1"/>
    </xf>
    <xf numFmtId="164" fontId="0" fillId="0" borderId="1" applyAlignment="1" pivotButton="0" quotePrefix="0" xfId="0">
      <alignment horizontal="center" vertical="center" wrapText="1"/>
    </xf>
    <xf numFmtId="165" fontId="0" fillId="0" borderId="1" applyAlignment="1" pivotButton="0" quotePrefix="0" xfId="0">
      <alignment horizontal="center" vertical="center" wrapText="1"/>
    </xf>
    <xf numFmtId="0" fontId="2" fillId="0" borderId="1" applyAlignment="1" pivotButton="0" quotePrefix="0" xfId="0">
      <alignment horizontal="center" vertical="center" wrapText="1"/>
    </xf>
    <xf numFmtId="1" fontId="2" fillId="0" borderId="1" pivotButton="0" quotePrefix="0" xfId="0"/>
    <xf numFmtId="164" fontId="2" fillId="0" borderId="1" pivotButton="0" quotePrefix="0" xfId="0"/>
    <xf numFmtId="0" fontId="4" fillId="0" borderId="0" applyAlignment="1" pivotButton="0" quotePrefix="0" xfId="0">
      <alignment horizontal="right" vertical="center"/>
    </xf>
    <xf numFmtId="164" fontId="4" fillId="2" borderId="0" pivotButton="0" quotePrefix="0" xfId="0"/>
    <xf numFmtId="165" fontId="0" fillId="0" borderId="0" pivotButton="0" quotePrefix="0" xfId="0"/>
    <xf numFmtId="164" fontId="0" fillId="0" borderId="0" pivotButton="0" quotePrefix="0" xfId="0"/>
    <xf numFmtId="0" fontId="4" fillId="4" borderId="0" applyAlignment="1" pivotButton="0" quotePrefix="0" xfId="0">
      <alignment horizontal="right" vertical="center"/>
    </xf>
    <xf numFmtId="164" fontId="4" fillId="4" borderId="0" pivotButton="0" quotePrefix="0" xfId="0"/>
    <xf numFmtId="2" fontId="2" fillId="0" borderId="1" pivotButton="0" quotePrefix="0" xfId="0"/>
    <xf numFmtId="166" fontId="2" fillId="0" borderId="1" pivotButton="0" quotePrefix="0" xfId="0"/>
    <xf numFmtId="2" fontId="0" fillId="2" borderId="0" pivotButton="0" quotePrefix="0" xfId="0"/>
    <xf numFmtId="165" fontId="2" fillId="0" borderId="1" pivotButton="0" quotePrefix="0" xfId="0"/>
    <xf numFmtId="165" fontId="4" fillId="4" borderId="0" pivotButton="0" quotePrefix="0" xfId="0"/>
    <xf numFmtId="0" fontId="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6"/>
  <sheetViews>
    <sheetView workbookViewId="0">
      <selection activeCell="A1" sqref="A1"/>
    </sheetView>
  </sheetViews>
  <sheetFormatPr baseColWidth="8" defaultRowHeight="15"/>
  <cols>
    <col width="110" customWidth="1" min="1" max="1"/>
  </cols>
  <sheetData>
    <row r="1">
      <c r="A1" s="1" t="inlineStr">
        <is>
          <t>PLUMBING BID ESTIMATOR — INSTRUCTIONS</t>
        </is>
      </c>
    </row>
    <row r="3">
      <c r="A3" s="2" t="inlineStr"/>
    </row>
    <row r="4">
      <c r="A4" s="3" t="inlineStr">
        <is>
          <t>PURPOSE</t>
        </is>
      </c>
    </row>
    <row r="5">
      <c r="A5" s="2" t="inlineStr">
        <is>
          <t>Production estimating tool for commercial plumbing contractors. Fixture- and</t>
        </is>
      </c>
    </row>
    <row r="6">
      <c r="A6" s="2" t="inlineStr">
        <is>
          <t>linear-foot-based with PHCC/MCAA-style labor units. CSI Division 22 primary</t>
        </is>
      </c>
    </row>
    <row r="7">
      <c r="A7" s="2" t="inlineStr">
        <is>
          <t>with cross-references to Division 23 (mechanical), 31 (earthwork), and 33</t>
        </is>
      </c>
    </row>
    <row r="8">
      <c r="A8" s="2" t="inlineStr">
        <is>
          <t>(utilities). Output rolls up by CSI division so the bid integrates cleanly into</t>
        </is>
      </c>
    </row>
    <row r="9">
      <c r="A9" s="2" t="inlineStr">
        <is>
          <t>the GC's job-cost accounting and into your monthly billing on the Universal</t>
        </is>
      </c>
    </row>
    <row r="10">
      <c r="A10" s="2" t="inlineStr">
        <is>
          <t>Sub Suite's Sub_Schedule_of_Values.xlsx.</t>
        </is>
      </c>
    </row>
    <row r="11">
      <c r="A11" s="2" t="inlineStr"/>
    </row>
    <row r="12">
      <c r="A12" s="3" t="inlineStr">
        <is>
          <t>WORKFLOW</t>
        </is>
      </c>
    </row>
    <row r="13">
      <c r="A13" s="2" t="inlineStr">
        <is>
          <t xml:space="preserve">  1. Project Info — fill in every blue-filled field. The cells you leave blank</t>
        </is>
      </c>
    </row>
    <row r="14">
      <c r="A14" s="2" t="inlineStr">
        <is>
          <t xml:space="preserve">     show up as warnings on the Bid Summary tab.</t>
        </is>
      </c>
    </row>
    <row r="15">
      <c r="A15" s="2" t="inlineStr">
        <is>
          <t xml:space="preserve">  2. Wage Rates — set hourly base + fringe + OT premium for each classification.</t>
        </is>
      </c>
    </row>
    <row r="16">
      <c r="A16" s="2" t="inlineStr">
        <is>
          <t xml:space="preserve">     Defaults are placeholders; calibrate to YOUR market.</t>
        </is>
      </c>
    </row>
    <row r="17">
      <c r="A17" s="2" t="inlineStr">
        <is>
          <t xml:space="preserve">  3. Material Takeoff — enter quantities by CSI line item. Unit prices flow</t>
        </is>
      </c>
    </row>
    <row r="18">
      <c r="A18" s="2" t="inlineStr">
        <is>
          <t xml:space="preserve">     into the Bid Summary by division.</t>
        </is>
      </c>
    </row>
    <row r="19">
      <c r="A19" s="2" t="inlineStr">
        <is>
          <t xml:space="preserve">  4. Labor Estimate — productivity defaults assume standard commercial work.</t>
        </is>
      </c>
    </row>
    <row r="20">
      <c r="A20" s="2" t="inlineStr">
        <is>
          <t xml:space="preserve">     Adjust the productivity factor for difficult work (occupied buildings,</t>
        </is>
      </c>
    </row>
    <row r="21">
      <c r="A21" s="2" t="inlineStr">
        <is>
          <t xml:space="preserve">     extensive demo, hazmat). Labor hours × crew rate flow to the Bid Summary.</t>
        </is>
      </c>
    </row>
    <row r="22">
      <c r="A22" s="2" t="inlineStr">
        <is>
          <t xml:space="preserve">  5. Equipment — daily/weekly rates for owned + rented. The daily/weekly toggle</t>
        </is>
      </c>
    </row>
    <row r="23">
      <c r="A23" s="2" t="inlineStr">
        <is>
          <t xml:space="preserve">     drives the multiplication.</t>
        </is>
      </c>
    </row>
    <row r="24">
      <c r="A24" s="2" t="inlineStr">
        <is>
          <t xml:space="preserve">  6. Subcontract — any work you sub out (insulation, gas, controls wiring).</t>
        </is>
      </c>
    </row>
    <row r="25">
      <c r="A25" s="2" t="inlineStr">
        <is>
          <t xml:space="preserve">  7. Premiums — height, hazardous area, prevailing wage, occupied-building disruption.</t>
        </is>
      </c>
    </row>
    <row r="26">
      <c r="A26" s="2" t="inlineStr">
        <is>
          <t xml:space="preserve">  8. Bid Summary — automatic roll-up. Sets contingency / bond / OH / profit.</t>
        </is>
      </c>
    </row>
    <row r="27">
      <c r="A27" s="2" t="inlineStr">
        <is>
          <t xml:space="preserve">     The bottom of the tab is your final bid number.</t>
        </is>
      </c>
    </row>
    <row r="28">
      <c r="A28" s="2" t="inlineStr"/>
    </row>
    <row r="29">
      <c r="A29" s="3" t="inlineStr">
        <is>
          <t>PHCC / MCAA LABOR UNITS</t>
        </is>
      </c>
    </row>
    <row r="30">
      <c r="A30" s="2" t="inlineStr">
        <is>
          <t>Default hours-per-unit assume average commercial conditions. Calibrate against</t>
        </is>
      </c>
    </row>
    <row r="31">
      <c r="A31" s="2" t="inlineStr">
        <is>
          <t>your own historical job-cost data before relying on this bid. Underestimating</t>
        </is>
      </c>
    </row>
    <row r="32">
      <c r="A32" s="2" t="inlineStr">
        <is>
          <t>labor is the #1 cause of plumbing-bid losses; if your historical productivity</t>
        </is>
      </c>
    </row>
    <row r="33">
      <c r="A33" s="2" t="inlineStr">
        <is>
          <t>differs from these defaults by more than 15%, change the defaults — don't ignore</t>
        </is>
      </c>
    </row>
    <row r="34">
      <c r="A34" s="2" t="inlineStr">
        <is>
          <t>the gap.</t>
        </is>
      </c>
    </row>
    <row r="35">
      <c r="A35" s="2" t="inlineStr"/>
    </row>
    <row r="36">
      <c r="A36" s="3" t="inlineStr">
        <is>
          <t>FIELD-ONLY SCOPE</t>
        </is>
      </c>
    </row>
    <row r="37">
      <c r="A37" s="2" t="inlineStr">
        <is>
          <t>Calibrated for field installation only. Fabrication-shop pre-assembly (modular</t>
        </is>
      </c>
    </row>
    <row r="38">
      <c r="A38" s="2" t="inlineStr">
        <is>
          <t>racks, pump skids built off-site) is out of scope and requires a separate</t>
        </is>
      </c>
    </row>
    <row r="39">
      <c r="A39" s="2" t="inlineStr">
        <is>
          <t>shop-prefab estimator with different rate structures.</t>
        </is>
      </c>
    </row>
    <row r="40">
      <c r="A40" s="2" t="inlineStr"/>
    </row>
    <row r="41">
      <c r="A41" s="3" t="inlineStr">
        <is>
          <t>CSI MASTERFORMAT</t>
        </is>
      </c>
    </row>
    <row r="42">
      <c r="A42" s="2" t="inlineStr">
        <is>
          <t>Every line in Material Takeoff and Labor Estimate is CSI-coded. See the CSI</t>
        </is>
      </c>
    </row>
    <row r="43">
      <c r="A43" s="2" t="inlineStr">
        <is>
          <t>Reference tab for the Division 22 codes used in this workbook. The Bid Summary</t>
        </is>
      </c>
    </row>
    <row r="44">
      <c r="A44" s="2" t="inlineStr">
        <is>
          <t>rolls up totals by CSI division for clean handoff to the GC's accounting system.</t>
        </is>
      </c>
    </row>
    <row r="45">
      <c r="A45" s="2" t="inlineStr"/>
    </row>
    <row r="46">
      <c r="A46" s="3" t="inlineStr">
        <is>
          <t>RED-FLAGS YOU SHOULD CATCH BEFORE SUBMITTING THE BID</t>
        </is>
      </c>
    </row>
    <row r="47">
      <c r="A47" s="2" t="inlineStr">
        <is>
          <t xml:space="preserve">  • Project Info has blanks — Bid Summary will warn you</t>
        </is>
      </c>
    </row>
    <row r="48">
      <c r="A48" s="2" t="inlineStr">
        <is>
          <t xml:space="preserve">  • Labor productivity defaults unchanged on a difficult project</t>
        </is>
      </c>
    </row>
    <row r="49">
      <c r="A49" s="2" t="inlineStr">
        <is>
          <t xml:space="preserve">  • No allowance for the prevailing-wage premium on a public-works job</t>
        </is>
      </c>
    </row>
    <row r="50">
      <c r="A50" s="2" t="inlineStr">
        <is>
          <t xml:space="preserve">  • Equipment crane/lift rentals omitted on a high-ceiling job</t>
        </is>
      </c>
    </row>
    <row r="51">
      <c r="A51" s="2" t="inlineStr">
        <is>
          <t xml:space="preserve">  • Bond/insurance/permit costs left at $0</t>
        </is>
      </c>
    </row>
    <row r="52">
      <c r="A52" s="2" t="inlineStr">
        <is>
          <t xml:space="preserve">  • Profit margin set below your historical floor</t>
        </is>
      </c>
    </row>
    <row r="53">
      <c r="A53" s="2" t="inlineStr"/>
    </row>
    <row r="54">
      <c r="A54" s="3" t="inlineStr">
        <is>
          <t>DOCUMENT VERSION</t>
        </is>
      </c>
    </row>
    <row r="55">
      <c r="A55" s="2" t="inlineStr">
        <is>
          <t>Plumbing_Bid_Estimator.xlsx v1.0 — 2026-05-19</t>
        </is>
      </c>
    </row>
    <row r="56">
      <c r="A56" s="2" t="inlineStr">
        <is>
          <t>ContrPro Complete Tier · Plumbing Trade Pack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4" customWidth="1" min="1" max="1"/>
    <col width="38" customWidth="1" min="2" max="2"/>
    <col width="20" customWidth="1" min="3" max="3"/>
    <col width="22" customWidth="1" min="4" max="4"/>
  </cols>
  <sheetData>
    <row r="1">
      <c r="A1" s="1" t="inlineStr">
        <is>
          <t>BID SUMMARY — Plumbing Trade Pack</t>
        </is>
      </c>
    </row>
    <row r="3">
      <c r="B3" s="4" t="inlineStr">
        <is>
          <t>Material total (incl. tax)</t>
        </is>
      </c>
      <c r="C3" s="5">
        <f>'Material Takeoff'!$F$81</f>
        <v/>
      </c>
    </row>
    <row r="4">
      <c r="B4" s="4" t="inlineStr">
        <is>
          <t>Labor total</t>
        </is>
      </c>
      <c r="C4" s="5">
        <f>'Labor Estimate'!$H$50</f>
        <v/>
      </c>
    </row>
    <row r="5">
      <c r="B5" s="4" t="inlineStr">
        <is>
          <t>Equipment total</t>
        </is>
      </c>
      <c r="C5" s="5">
        <f>'Equipment'!$F$22</f>
        <v/>
      </c>
    </row>
    <row r="6">
      <c r="B6" s="4" t="inlineStr">
        <is>
          <t>Subcontract total</t>
        </is>
      </c>
      <c r="C6" s="5">
        <f>'Subcontract'!$E$15</f>
        <v/>
      </c>
    </row>
    <row r="7">
      <c r="B7" s="4" t="inlineStr">
        <is>
          <t>Premiums $ (sum of applies-Y)</t>
        </is>
      </c>
      <c r="C7" s="5">
        <f>'Premiums'!$D$19</f>
        <v/>
      </c>
    </row>
    <row r="8">
      <c r="B8" s="4" t="inlineStr">
        <is>
          <t>Direct cost subtotal</t>
        </is>
      </c>
      <c r="C8" s="5">
        <f>SUM(C3:C7)</f>
        <v/>
      </c>
    </row>
    <row r="9">
      <c r="B9" s="4" t="inlineStr">
        <is>
          <t>Premium % applied to direct cost</t>
        </is>
      </c>
      <c r="C9" s="5">
        <f>'Premiums'!$D$20</f>
        <v/>
      </c>
    </row>
    <row r="10">
      <c r="B10" s="4" t="inlineStr">
        <is>
          <t>Premium % adder $</t>
        </is>
      </c>
      <c r="C10" s="5">
        <f>C8*C9</f>
        <v/>
      </c>
    </row>
    <row r="11">
      <c r="B11" s="4" t="inlineStr">
        <is>
          <t>Direct cost with premium %</t>
        </is>
      </c>
      <c r="C11" s="6">
        <f>C8+C10</f>
        <v/>
      </c>
    </row>
    <row r="12">
      <c r="B12" s="4" t="inlineStr">
        <is>
          <t>Contingency %</t>
        </is>
      </c>
      <c r="C12" s="6" t="n">
        <v>0.05</v>
      </c>
    </row>
    <row r="13">
      <c r="B13" s="4" t="inlineStr">
        <is>
          <t>Contingency $</t>
        </is>
      </c>
      <c r="C13" s="5">
        <f>C11*C12</f>
        <v/>
      </c>
    </row>
    <row r="14">
      <c r="B14" s="4" t="inlineStr">
        <is>
          <t>Direct + contingency</t>
        </is>
      </c>
      <c r="C14" s="5">
        <f>C11+C13</f>
        <v/>
      </c>
    </row>
    <row r="15">
      <c r="B15" s="4" t="inlineStr">
        <is>
          <t>Overhead %</t>
        </is>
      </c>
      <c r="C15" s="6" t="n">
        <v>0.1</v>
      </c>
    </row>
    <row r="16">
      <c r="B16" s="4" t="inlineStr">
        <is>
          <t>Overhead $</t>
        </is>
      </c>
      <c r="C16" s="5">
        <f>C14*C15</f>
        <v/>
      </c>
    </row>
    <row r="17">
      <c r="B17" s="4" t="inlineStr">
        <is>
          <t>Profit %</t>
        </is>
      </c>
      <c r="C17" s="6" t="n">
        <v>0.1</v>
      </c>
    </row>
    <row r="18">
      <c r="B18" s="4" t="inlineStr">
        <is>
          <t>Profit $</t>
        </is>
      </c>
      <c r="C18" s="5">
        <f>(C14+C16)*C17</f>
        <v/>
      </c>
    </row>
    <row r="19">
      <c r="B19" s="4" t="inlineStr">
        <is>
          <t>Bond %</t>
        </is>
      </c>
      <c r="C19" s="6" t="n">
        <v>0.012</v>
      </c>
    </row>
    <row r="20">
      <c r="B20" s="4" t="inlineStr">
        <is>
          <t>Bond $</t>
        </is>
      </c>
      <c r="C20" s="5">
        <f>(C14+C16+C18)*C19</f>
        <v/>
      </c>
    </row>
    <row r="21">
      <c r="B21" s="4" t="inlineStr">
        <is>
          <t>Insurance / GL premium %</t>
        </is>
      </c>
      <c r="C21" s="6" t="n">
        <v>0.018</v>
      </c>
    </row>
    <row r="22">
      <c r="B22" s="4" t="inlineStr">
        <is>
          <t>Insurance $</t>
        </is>
      </c>
      <c r="C22" s="5">
        <f>(C14+C16+C18)*C21</f>
        <v/>
      </c>
    </row>
    <row r="23">
      <c r="B23" s="7" t="inlineStr">
        <is>
          <t>FINAL BID</t>
        </is>
      </c>
      <c r="C23" s="8">
        <f>C14+C16+C18+C20+C22</f>
        <v/>
      </c>
    </row>
    <row r="26">
      <c r="B26" s="9" t="inlineStr">
        <is>
          <t>Premium % adders APPLY ON TOP of the direct-cost subtotal before contingency. Contingency, OH, and profit each compound on the running subtotal. Adjust OH and profit % to match your historical floor.</t>
        </is>
      </c>
    </row>
    <row r="29">
      <c r="B29" s="10" t="inlineStr">
        <is>
          <t>CSI DIVISION ROLL-UP (informational)</t>
        </is>
      </c>
    </row>
    <row r="30">
      <c r="B30" s="11" t="inlineStr">
        <is>
          <t>CSI Division</t>
        </is>
      </c>
      <c r="C30" s="11" t="inlineStr">
        <is>
          <t>Material $</t>
        </is>
      </c>
      <c r="D30" s="11" t="inlineStr">
        <is>
          <t>Labor $</t>
        </is>
      </c>
    </row>
    <row r="31">
      <c r="B31" s="12" t="inlineStr">
        <is>
          <t>22 11 - Water Distribution</t>
        </is>
      </c>
      <c r="C31" s="13">
        <f>SUMPRODUCT((LEFT('Material Takeoff'!A4:A200,LEN("22 11"))="22 11")*'Material Takeoff'!F4:F200)</f>
        <v/>
      </c>
      <c r="D31" s="13">
        <f>SUMPRODUCT((LEFT('Labor Estimate'!A4:A200,LEN("22 11"))="22 11")*'Labor Estimate'!H4:H200)</f>
        <v/>
      </c>
    </row>
    <row r="32">
      <c r="B32" s="12" t="inlineStr">
        <is>
          <t>22 13 - Sanitary Sewerage</t>
        </is>
      </c>
      <c r="C32" s="13">
        <f>SUMPRODUCT((LEFT('Material Takeoff'!A4:A200,LEN("22 13"))="22 13")*'Material Takeoff'!F4:F200)</f>
        <v/>
      </c>
      <c r="D32" s="13">
        <f>SUMPRODUCT((LEFT('Labor Estimate'!A4:A200,LEN("22 13"))="22 13")*'Labor Estimate'!H4:H200)</f>
        <v/>
      </c>
    </row>
    <row r="33">
      <c r="B33" s="12" t="inlineStr">
        <is>
          <t>22 14 - Storm Drainage</t>
        </is>
      </c>
      <c r="C33" s="13">
        <f>SUMPRODUCT((LEFT('Material Takeoff'!A4:A200,LEN("22 14"))="22 14")*'Material Takeoff'!F4:F200)</f>
        <v/>
      </c>
      <c r="D33" s="13">
        <f>SUMPRODUCT((LEFT('Labor Estimate'!A4:A200,LEN("22 14"))="22 14")*'Labor Estimate'!H4:H200)</f>
        <v/>
      </c>
    </row>
    <row r="34">
      <c r="B34" s="12" t="inlineStr">
        <is>
          <t>22 33-35 - Water Heaters</t>
        </is>
      </c>
      <c r="C34" s="13">
        <f>SUMPRODUCT((LEFT('Material Takeoff'!A4:A200,LEN("22 3"))="22 3")*'Material Takeoff'!F4:F200)</f>
        <v/>
      </c>
      <c r="D34" s="13">
        <f>SUMPRODUCT((LEFT('Labor Estimate'!A4:A200,LEN("22 3"))="22 3")*'Labor Estimate'!H4:H200)</f>
        <v/>
      </c>
    </row>
    <row r="35">
      <c r="B35" s="12" t="inlineStr">
        <is>
          <t>22 42-45 - Plumbing Fixtures</t>
        </is>
      </c>
      <c r="C35" s="13">
        <f>SUMPRODUCT((LEFT('Material Takeoff'!A4:A200,LEN("22 4"))="22 4")*'Material Takeoff'!F4:F200)</f>
        <v/>
      </c>
      <c r="D35" s="13">
        <f>SUMPRODUCT((LEFT('Labor Estimate'!A4:A200,LEN("22 4"))="22 4")*'Labor Estimate'!H4:H200)</f>
        <v/>
      </c>
    </row>
    <row r="36">
      <c r="B36" s="12" t="inlineStr">
        <is>
          <t>22 60-67 - Gas + Specialty</t>
        </is>
      </c>
      <c r="C36" s="13">
        <f>SUMPRODUCT((LEFT('Material Takeoff'!A4:A200,LEN("22 6"))="22 6")*'Material Takeoff'!F4:F200)</f>
        <v/>
      </c>
      <c r="D36" s="13">
        <f>SUMPRODUCT((LEFT('Labor Estimate'!A4:A200,LEN("22 6"))="22 6")*'Labor Estimate'!H4:H200)</f>
        <v/>
      </c>
    </row>
    <row r="37">
      <c r="B37" s="12" t="inlineStr">
        <is>
          <t>22 05 - Common Work Results</t>
        </is>
      </c>
      <c r="C37" s="13">
        <f>SUMPRODUCT((LEFT('Material Takeoff'!A4:A200,LEN("22 05"))="22 05")*'Material Takeoff'!F4:F200)</f>
        <v/>
      </c>
      <c r="D37" s="13">
        <f>SUMPRODUCT((LEFT('Labor Estimate'!A4:A200,LEN("22 05"))="22 05")*'Labor Estimate'!H4:H200)</f>
        <v/>
      </c>
    </row>
    <row r="38">
      <c r="B38" s="12" t="inlineStr">
        <is>
          <t>22 07 - Insulation</t>
        </is>
      </c>
      <c r="C38" s="13">
        <f>SUMPRODUCT((LEFT('Material Takeoff'!A4:A200,LEN("22 07"))="22 07")*'Material Takeoff'!F4:F200)</f>
        <v/>
      </c>
      <c r="D38" s="13">
        <f>SUMPRODUCT((LEFT('Labor Estimate'!A4:A200,LEN("22 07"))="22 07")*'Labor Estimate'!H4:H200)</f>
        <v/>
      </c>
    </row>
    <row r="39">
      <c r="B39" s="12" t="inlineStr">
        <is>
          <t>22 08 - Test + Commissioning</t>
        </is>
      </c>
      <c r="C39" s="13">
        <f>SUMPRODUCT((LEFT('Material Takeoff'!A4:A200,LEN("22 08"))="22 08")*'Material Takeoff'!F4:F200)</f>
        <v/>
      </c>
      <c r="D39" s="13">
        <f>SUMPRODUCT((LEFT('Labor Estimate'!A4:A200,LEN("22 08"))="22 08")*'Labor Estimate'!H4:H200)</f>
        <v/>
      </c>
    </row>
  </sheetData>
  <mergeCells count="3">
    <mergeCell ref="B26:D26"/>
    <mergeCell ref="A1:D1"/>
    <mergeCell ref="B29:D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2" customWidth="1" min="1" max="1"/>
    <col width="60" customWidth="1" min="2" max="2"/>
  </cols>
  <sheetData>
    <row r="1" ht="30" customHeight="1">
      <c r="A1" s="1" t="inlineStr">
        <is>
          <t>PROJECT INFORMATION</t>
        </is>
      </c>
    </row>
    <row r="3">
      <c r="A3" s="14" t="inlineStr">
        <is>
          <t>Project Name</t>
        </is>
      </c>
      <c r="B3" s="15" t="inlineStr"/>
    </row>
    <row r="4">
      <c r="A4" s="14" t="inlineStr">
        <is>
          <t>Project Address</t>
        </is>
      </c>
      <c r="B4" s="15" t="inlineStr"/>
    </row>
    <row r="5">
      <c r="A5" s="14" t="inlineStr">
        <is>
          <t>Owner</t>
        </is>
      </c>
      <c r="B5" s="15" t="inlineStr"/>
    </row>
    <row r="6">
      <c r="A6" s="14" t="inlineStr">
        <is>
          <t>General Contractor</t>
        </is>
      </c>
      <c r="B6" s="15" t="inlineStr"/>
    </row>
    <row r="7">
      <c r="A7" s="14" t="inlineStr">
        <is>
          <t>Architect / Engineer</t>
        </is>
      </c>
      <c r="B7" s="15" t="inlineStr"/>
    </row>
    <row r="8">
      <c r="A8" s="14" t="inlineStr">
        <is>
          <t>Bid Due Date</t>
        </is>
      </c>
      <c r="B8" s="15" t="inlineStr"/>
    </row>
    <row r="9">
      <c r="A9" s="14" t="inlineStr">
        <is>
          <t>Bid Reference / Number</t>
        </is>
      </c>
      <c r="B9" s="15" t="inlineStr"/>
    </row>
    <row r="10">
      <c r="A10" s="14" t="inlineStr">
        <is>
          <t>Project Type</t>
        </is>
      </c>
      <c r="B10" s="16" t="inlineStr">
        <is>
          <t>(New construction / Renovation / Tenant fit-out / Adaptive reuse)</t>
        </is>
      </c>
    </row>
    <row r="11">
      <c r="A11" s="14" t="inlineStr">
        <is>
          <t>Building Use</t>
        </is>
      </c>
      <c r="B11" s="16" t="inlineStr">
        <is>
          <t>(Office / Retail / Healthcare / Education / Multi-family / Hospitality / Industrial / Mixed)</t>
        </is>
      </c>
    </row>
    <row r="12">
      <c r="A12" s="14" t="inlineStr">
        <is>
          <t>Approx. Square Footage</t>
        </is>
      </c>
      <c r="B12" s="15" t="inlineStr"/>
    </row>
    <row r="13">
      <c r="A13" s="14" t="inlineStr">
        <is>
          <t>Stories</t>
        </is>
      </c>
      <c r="B13" s="15" t="inlineStr"/>
    </row>
    <row r="14">
      <c r="A14" s="14" t="inlineStr">
        <is>
          <t>Plumbing Fixture Count (est.)</t>
        </is>
      </c>
      <c r="B14" s="15" t="inlineStr"/>
    </row>
    <row r="15">
      <c r="A15" s="14" t="inlineStr">
        <is>
          <t>AHJ — Plumbing Inspector</t>
        </is>
      </c>
      <c r="B15" s="15" t="inlineStr"/>
    </row>
    <row r="16">
      <c r="A16" s="14" t="inlineStr">
        <is>
          <t>Applicable Plumbing Code</t>
        </is>
      </c>
      <c r="B16" s="16" t="inlineStr">
        <is>
          <t>(IPC 2024 / UPC 2024 / Local amendment)</t>
        </is>
      </c>
    </row>
    <row r="17">
      <c r="A17" s="14" t="inlineStr">
        <is>
          <t>Estimator Name</t>
        </is>
      </c>
      <c r="B17" s="15" t="inlineStr"/>
    </row>
    <row r="18">
      <c r="A18" s="14" t="inlineStr">
        <is>
          <t>Estimator Phone</t>
        </is>
      </c>
      <c r="B18" s="15" t="inlineStr"/>
    </row>
    <row r="19">
      <c r="A19" s="14" t="inlineStr">
        <is>
          <t>Estimator Email</t>
        </is>
      </c>
      <c r="B19" s="15" t="inlineStr"/>
    </row>
    <row r="20">
      <c r="A20" s="14" t="inlineStr">
        <is>
          <t>Date Prepared</t>
        </is>
      </c>
      <c r="B20" s="15" t="inlineStr"/>
    </row>
    <row r="21">
      <c r="A21" s="14" t="inlineStr">
        <is>
          <t>Internal Bid Number</t>
        </is>
      </c>
      <c r="B21" s="15" t="inlineStr"/>
    </row>
    <row r="22">
      <c r="A22" s="14" t="inlineStr">
        <is>
          <t>Notes / Assumptions</t>
        </is>
      </c>
      <c r="B22" s="15" t="inlineStr"/>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6" customWidth="1" min="6" max="6"/>
  </cols>
  <sheetData>
    <row r="1">
      <c r="A1" s="1" t="inlineStr">
        <is>
          <t>WAGE RATES (calibrate to your market)</t>
        </is>
      </c>
    </row>
    <row r="3" ht="26" customHeight="1">
      <c r="A3" s="11" t="inlineStr">
        <is>
          <t>Classification</t>
        </is>
      </c>
      <c r="B3" s="11" t="inlineStr">
        <is>
          <t>Base Rate ($/hr)</t>
        </is>
      </c>
      <c r="C3" s="11" t="inlineStr">
        <is>
          <t>Fringe ($/hr)</t>
        </is>
      </c>
      <c r="D3" s="11" t="inlineStr">
        <is>
          <t>Burden % (WC/GL/FICA)</t>
        </is>
      </c>
      <c r="E3" s="11" t="inlineStr">
        <is>
          <t>OT Premium (1.5×)</t>
        </is>
      </c>
      <c r="F3" s="11" t="inlineStr">
        <is>
          <t>Loaded Rate ($/hr)</t>
        </is>
      </c>
    </row>
    <row r="4">
      <c r="A4" s="17" t="inlineStr">
        <is>
          <t>Plumbing Foreman</t>
        </is>
      </c>
      <c r="B4" s="18" t="n">
        <v>58</v>
      </c>
      <c r="C4" s="18" t="n">
        <v>18.5</v>
      </c>
      <c r="D4" s="19" t="n">
        <v>0.32</v>
      </c>
      <c r="E4" s="18">
        <f>B4*1.5</f>
        <v/>
      </c>
      <c r="F4" s="18">
        <f>(B4+C4)*(1+D4)</f>
        <v/>
      </c>
    </row>
    <row r="5">
      <c r="A5" s="17" t="inlineStr">
        <is>
          <t>Journeyman Plumber</t>
        </is>
      </c>
      <c r="B5" s="18" t="n">
        <v>48</v>
      </c>
      <c r="C5" s="18" t="n">
        <v>18.5</v>
      </c>
      <c r="D5" s="19" t="n">
        <v>0.32</v>
      </c>
      <c r="E5" s="18">
        <f>B5*1.5</f>
        <v/>
      </c>
      <c r="F5" s="18">
        <f>(B5+C5)*(1+D5)</f>
        <v/>
      </c>
    </row>
    <row r="6">
      <c r="A6" s="17" t="inlineStr">
        <is>
          <t>Apprentice (Yr 4)</t>
        </is>
      </c>
      <c r="B6" s="18" t="n">
        <v>38</v>
      </c>
      <c r="C6" s="18" t="n">
        <v>14</v>
      </c>
      <c r="D6" s="19" t="n">
        <v>0.32</v>
      </c>
      <c r="E6" s="18">
        <f>B6*1.5</f>
        <v/>
      </c>
      <c r="F6" s="18">
        <f>(B6+C6)*(1+D6)</f>
        <v/>
      </c>
    </row>
    <row r="7">
      <c r="A7" s="17" t="inlineStr">
        <is>
          <t>Apprentice (Yr 2)</t>
        </is>
      </c>
      <c r="B7" s="18" t="n">
        <v>28</v>
      </c>
      <c r="C7" s="18" t="n">
        <v>12</v>
      </c>
      <c r="D7" s="19" t="n">
        <v>0.32</v>
      </c>
      <c r="E7" s="18">
        <f>B7*1.5</f>
        <v/>
      </c>
      <c r="F7" s="18">
        <f>(B7+C7)*(1+D7)</f>
        <v/>
      </c>
    </row>
    <row r="8">
      <c r="A8" s="17" t="inlineStr">
        <is>
          <t>Laborer / Helper</t>
        </is>
      </c>
      <c r="B8" s="18" t="n">
        <v>22</v>
      </c>
      <c r="C8" s="18" t="n">
        <v>9</v>
      </c>
      <c r="D8" s="19" t="n">
        <v>0.32</v>
      </c>
      <c r="E8" s="18">
        <f>B8*1.5</f>
        <v/>
      </c>
      <c r="F8" s="18">
        <f>(B8+C8)*(1+D8)</f>
        <v/>
      </c>
    </row>
    <row r="9">
      <c r="A9" s="17" t="inlineStr">
        <is>
          <t>Service Tech</t>
        </is>
      </c>
      <c r="B9" s="18" t="n">
        <v>55</v>
      </c>
      <c r="C9" s="18" t="n">
        <v>18.5</v>
      </c>
      <c r="D9" s="19" t="n">
        <v>0.32</v>
      </c>
      <c r="E9" s="18">
        <f>B9*1.5</f>
        <v/>
      </c>
      <c r="F9" s="18">
        <f>(B9+C9)*(1+D9)</f>
        <v/>
      </c>
    </row>
    <row r="10">
      <c r="A10" s="17" t="inlineStr">
        <is>
          <t>Pipefitter (gas)</t>
        </is>
      </c>
      <c r="B10" s="18" t="n">
        <v>54</v>
      </c>
      <c r="C10" s="18" t="n">
        <v>18.5</v>
      </c>
      <c r="D10" s="19" t="n">
        <v>0.32</v>
      </c>
      <c r="E10" s="18">
        <f>B10*1.5</f>
        <v/>
      </c>
      <c r="F10" s="18">
        <f>(B10+C10)*(1+D10)</f>
        <v/>
      </c>
    </row>
    <row r="12">
      <c r="A12" s="9" t="inlineStr">
        <is>
          <t>Burden default 32% covers WC + GL + FICA/Medicare + SUTA/FUTA. Verify against your insurance certificates + payroll service for accuracy. Prevailing-wage jobs may require federal Davis-Bacon wage determinations — see Universal Sub Suite's Certified Payroll guide.</t>
        </is>
      </c>
    </row>
  </sheetData>
  <mergeCells count="2">
    <mergeCell ref="A1:F1"/>
    <mergeCell ref="A12:F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cols>
    <col width="14" customWidth="1" min="1" max="1"/>
    <col width="44" customWidth="1" min="2" max="2"/>
    <col width="10" customWidth="1" min="3" max="3"/>
    <col width="10" customWidth="1" min="4" max="4"/>
    <col width="14" customWidth="1" min="5" max="5"/>
    <col width="16" customWidth="1" min="6" max="6"/>
    <col width="16" customWidth="1" min="7" max="7"/>
  </cols>
  <sheetData>
    <row r="1">
      <c r="A1" s="1" t="inlineStr">
        <is>
          <t>MATERIAL TAKEOFF (CSI Division 22)</t>
        </is>
      </c>
    </row>
    <row r="3" ht="26" customHeight="1">
      <c r="A3" s="11" t="inlineStr">
        <is>
          <t>CSI Code</t>
        </is>
      </c>
      <c r="B3" s="11" t="inlineStr">
        <is>
          <t>Description</t>
        </is>
      </c>
      <c r="C3" s="11" t="inlineStr">
        <is>
          <t>QTY</t>
        </is>
      </c>
      <c r="D3" s="11" t="inlineStr">
        <is>
          <t>UOM</t>
        </is>
      </c>
      <c r="E3" s="11" t="inlineStr">
        <is>
          <t>Unit Cost ($)</t>
        </is>
      </c>
      <c r="F3" s="11" t="inlineStr">
        <is>
          <t>Material Subtotal ($)</t>
        </is>
      </c>
      <c r="G3" s="11" t="inlineStr">
        <is>
          <t>Notes</t>
        </is>
      </c>
    </row>
    <row r="4">
      <c r="A4" s="20" t="inlineStr">
        <is>
          <t>22 11 00</t>
        </is>
      </c>
      <c r="B4" s="15" t="inlineStr">
        <is>
          <t>Domestic water — CPVC piping, 1/2"</t>
        </is>
      </c>
      <c r="C4" s="21" t="n">
        <v>0</v>
      </c>
      <c r="D4" s="20" t="inlineStr">
        <is>
          <t>LF</t>
        </is>
      </c>
      <c r="E4" s="22" t="n">
        <v>1.85</v>
      </c>
      <c r="F4" s="22">
        <f>C4*E4</f>
        <v/>
      </c>
      <c r="G4" s="15" t="inlineStr"/>
    </row>
    <row r="5">
      <c r="A5" s="20" t="inlineStr">
        <is>
          <t>22 11 00</t>
        </is>
      </c>
      <c r="B5" s="15" t="inlineStr">
        <is>
          <t>Domestic water — CPVC piping, 3/4"</t>
        </is>
      </c>
      <c r="C5" s="21" t="n">
        <v>0</v>
      </c>
      <c r="D5" s="20" t="inlineStr">
        <is>
          <t>LF</t>
        </is>
      </c>
      <c r="E5" s="22" t="n">
        <v>2.4</v>
      </c>
      <c r="F5" s="22">
        <f>C5*E5</f>
        <v/>
      </c>
      <c r="G5" s="15" t="inlineStr"/>
    </row>
    <row r="6">
      <c r="A6" s="20" t="inlineStr">
        <is>
          <t>22 11 00</t>
        </is>
      </c>
      <c r="B6" s="15" t="inlineStr">
        <is>
          <t>Domestic water — CPVC piping, 1"</t>
        </is>
      </c>
      <c r="C6" s="21" t="n">
        <v>0</v>
      </c>
      <c r="D6" s="20" t="inlineStr">
        <is>
          <t>LF</t>
        </is>
      </c>
      <c r="E6" s="22" t="n">
        <v>3.2</v>
      </c>
      <c r="F6" s="22">
        <f>C6*E6</f>
        <v/>
      </c>
      <c r="G6" s="15" t="inlineStr"/>
    </row>
    <row r="7">
      <c r="A7" s="20" t="inlineStr">
        <is>
          <t>22 11 00</t>
        </is>
      </c>
      <c r="B7" s="15" t="inlineStr">
        <is>
          <t>Domestic water — CPVC piping, 1-1/2"</t>
        </is>
      </c>
      <c r="C7" s="21" t="n">
        <v>0</v>
      </c>
      <c r="D7" s="20" t="inlineStr">
        <is>
          <t>LF</t>
        </is>
      </c>
      <c r="E7" s="22" t="n">
        <v>4.85</v>
      </c>
      <c r="F7" s="22">
        <f>C7*E7</f>
        <v/>
      </c>
      <c r="G7" s="15" t="inlineStr"/>
    </row>
    <row r="8">
      <c r="A8" s="20" t="inlineStr">
        <is>
          <t>22 11 00</t>
        </is>
      </c>
      <c r="B8" s="15" t="inlineStr">
        <is>
          <t>Domestic water — CPVC piping, 2"</t>
        </is>
      </c>
      <c r="C8" s="21" t="n">
        <v>0</v>
      </c>
      <c r="D8" s="20" t="inlineStr">
        <is>
          <t>LF</t>
        </is>
      </c>
      <c r="E8" s="22" t="n">
        <v>6.1</v>
      </c>
      <c r="F8" s="22">
        <f>C8*E8</f>
        <v/>
      </c>
      <c r="G8" s="15" t="inlineStr"/>
    </row>
    <row r="9">
      <c r="A9" s="20" t="inlineStr">
        <is>
          <t>22 11 00</t>
        </is>
      </c>
      <c r="B9" s="15" t="inlineStr">
        <is>
          <t>Domestic water — PEX-A piping, 1/2"</t>
        </is>
      </c>
      <c r="C9" s="21" t="n">
        <v>0</v>
      </c>
      <c r="D9" s="20" t="inlineStr">
        <is>
          <t>LF</t>
        </is>
      </c>
      <c r="E9" s="22" t="n">
        <v>0.95</v>
      </c>
      <c r="F9" s="22">
        <f>C9*E9</f>
        <v/>
      </c>
      <c r="G9" s="15" t="inlineStr">
        <is>
          <t>Crimp/cinch connections</t>
        </is>
      </c>
    </row>
    <row r="10">
      <c r="A10" s="20" t="inlineStr">
        <is>
          <t>22 11 00</t>
        </is>
      </c>
      <c r="B10" s="15" t="inlineStr">
        <is>
          <t>Domestic water — PEX-A piping, 3/4"</t>
        </is>
      </c>
      <c r="C10" s="21" t="n">
        <v>0</v>
      </c>
      <c r="D10" s="20" t="inlineStr">
        <is>
          <t>LF</t>
        </is>
      </c>
      <c r="E10" s="22" t="n">
        <v>1.45</v>
      </c>
      <c r="F10" s="22">
        <f>C10*E10</f>
        <v/>
      </c>
      <c r="G10" s="15" t="inlineStr"/>
    </row>
    <row r="11">
      <c r="A11" s="20" t="inlineStr">
        <is>
          <t>22 11 00</t>
        </is>
      </c>
      <c r="B11" s="15" t="inlineStr">
        <is>
          <t>Domestic water — Copper Type L, 1/2"</t>
        </is>
      </c>
      <c r="C11" s="21" t="n">
        <v>0</v>
      </c>
      <c r="D11" s="20" t="inlineStr">
        <is>
          <t>LF</t>
        </is>
      </c>
      <c r="E11" s="22" t="n">
        <v>4.75</v>
      </c>
      <c r="F11" s="22">
        <f>C11*E11</f>
        <v/>
      </c>
      <c r="G11" s="15" t="inlineStr">
        <is>
          <t>Soldered + ProPress</t>
        </is>
      </c>
    </row>
    <row r="12">
      <c r="A12" s="20" t="inlineStr">
        <is>
          <t>22 11 00</t>
        </is>
      </c>
      <c r="B12" s="15" t="inlineStr">
        <is>
          <t>Domestic water — Copper Type L, 3/4"</t>
        </is>
      </c>
      <c r="C12" s="21" t="n">
        <v>0</v>
      </c>
      <c r="D12" s="20" t="inlineStr">
        <is>
          <t>LF</t>
        </is>
      </c>
      <c r="E12" s="22" t="n">
        <v>6.85</v>
      </c>
      <c r="F12" s="22">
        <f>C12*E12</f>
        <v/>
      </c>
      <c r="G12" s="15" t="inlineStr"/>
    </row>
    <row r="13">
      <c r="A13" s="20" t="inlineStr">
        <is>
          <t>22 11 00</t>
        </is>
      </c>
      <c r="B13" s="15" t="inlineStr">
        <is>
          <t>Domestic water — Copper Type L, 1"</t>
        </is>
      </c>
      <c r="C13" s="21" t="n">
        <v>0</v>
      </c>
      <c r="D13" s="20" t="inlineStr">
        <is>
          <t>LF</t>
        </is>
      </c>
      <c r="E13" s="22" t="n">
        <v>9.4</v>
      </c>
      <c r="F13" s="22">
        <f>C13*E13</f>
        <v/>
      </c>
      <c r="G13" s="15" t="inlineStr"/>
    </row>
    <row r="14">
      <c r="A14" s="20" t="inlineStr">
        <is>
          <t>22 11 00</t>
        </is>
      </c>
      <c r="B14" s="15" t="inlineStr">
        <is>
          <t>Water service entry — 1.5" - 2"</t>
        </is>
      </c>
      <c r="C14" s="21" t="n">
        <v>0</v>
      </c>
      <c r="D14" s="20" t="inlineStr">
        <is>
          <t>EA</t>
        </is>
      </c>
      <c r="E14" s="22" t="n">
        <v>425</v>
      </c>
      <c r="F14" s="22">
        <f>C14*E14</f>
        <v/>
      </c>
      <c r="G14" s="15" t="inlineStr">
        <is>
          <t>Includes meter loop, BFP</t>
        </is>
      </c>
    </row>
    <row r="15">
      <c r="A15" s="20" t="inlineStr">
        <is>
          <t>22 11 00</t>
        </is>
      </c>
      <c r="B15" s="15" t="inlineStr">
        <is>
          <t>Backflow preventer — RPZ, 1"</t>
        </is>
      </c>
      <c r="C15" s="21" t="n">
        <v>0</v>
      </c>
      <c r="D15" s="20" t="inlineStr">
        <is>
          <t>EA</t>
        </is>
      </c>
      <c r="E15" s="22" t="n">
        <v>1875</v>
      </c>
      <c r="F15" s="22">
        <f>C15*E15</f>
        <v/>
      </c>
      <c r="G15" s="15" t="inlineStr"/>
    </row>
    <row r="16">
      <c r="A16" s="20" t="inlineStr">
        <is>
          <t>22 11 00</t>
        </is>
      </c>
      <c r="B16" s="15" t="inlineStr">
        <is>
          <t>Backflow preventer — DCV, 1"</t>
        </is>
      </c>
      <c r="C16" s="21" t="n">
        <v>0</v>
      </c>
      <c r="D16" s="20" t="inlineStr">
        <is>
          <t>EA</t>
        </is>
      </c>
      <c r="E16" s="22" t="n">
        <v>875</v>
      </c>
      <c r="F16" s="22">
        <f>C16*E16</f>
        <v/>
      </c>
      <c r="G16" s="15" t="inlineStr"/>
    </row>
    <row r="17">
      <c r="A17" s="20" t="inlineStr">
        <is>
          <t>22 11 00</t>
        </is>
      </c>
      <c r="B17" s="15" t="inlineStr">
        <is>
          <t>Water hammer arrestor</t>
        </is>
      </c>
      <c r="C17" s="21" t="n">
        <v>0</v>
      </c>
      <c r="D17" s="20" t="inlineStr">
        <is>
          <t>EA</t>
        </is>
      </c>
      <c r="E17" s="22" t="n">
        <v>38</v>
      </c>
      <c r="F17" s="22">
        <f>C17*E17</f>
        <v/>
      </c>
      <c r="G17" s="15" t="inlineStr"/>
    </row>
    <row r="18">
      <c r="A18" s="20" t="inlineStr">
        <is>
          <t>22 11 19</t>
        </is>
      </c>
      <c r="B18" s="15" t="inlineStr">
        <is>
          <t>Pipe insulation — 1/2" copper</t>
        </is>
      </c>
      <c r="C18" s="21" t="n">
        <v>0</v>
      </c>
      <c r="D18" s="20" t="inlineStr">
        <is>
          <t>LF</t>
        </is>
      </c>
      <c r="E18" s="22" t="n">
        <v>1.45</v>
      </c>
      <c r="F18" s="22">
        <f>C18*E18</f>
        <v/>
      </c>
      <c r="G18" s="15" t="inlineStr"/>
    </row>
    <row r="19">
      <c r="A19" s="20" t="inlineStr">
        <is>
          <t>22 11 19</t>
        </is>
      </c>
      <c r="B19" s="15" t="inlineStr">
        <is>
          <t>Pipe insulation — 1" copper</t>
        </is>
      </c>
      <c r="C19" s="21" t="n">
        <v>0</v>
      </c>
      <c r="D19" s="20" t="inlineStr">
        <is>
          <t>LF</t>
        </is>
      </c>
      <c r="E19" s="22" t="n">
        <v>2.2</v>
      </c>
      <c r="F19" s="22">
        <f>C19*E19</f>
        <v/>
      </c>
      <c r="G19" s="15" t="inlineStr"/>
    </row>
    <row r="20">
      <c r="A20" s="20" t="inlineStr">
        <is>
          <t>22 11 19</t>
        </is>
      </c>
      <c r="B20" s="15" t="inlineStr">
        <is>
          <t>Pipe insulation — 2" copper/CPVC</t>
        </is>
      </c>
      <c r="C20" s="21" t="n">
        <v>0</v>
      </c>
      <c r="D20" s="20" t="inlineStr">
        <is>
          <t>LF</t>
        </is>
      </c>
      <c r="E20" s="22" t="n">
        <v>3.4</v>
      </c>
      <c r="F20" s="22">
        <f>C20*E20</f>
        <v/>
      </c>
      <c r="G20" s="15" t="inlineStr"/>
    </row>
    <row r="21">
      <c r="A21" s="20" t="inlineStr">
        <is>
          <t>22 13 16</t>
        </is>
      </c>
      <c r="B21" s="15" t="inlineStr">
        <is>
          <t>Sanitary DWV — PVC, 2" Sch 40</t>
        </is>
      </c>
      <c r="C21" s="21" t="n">
        <v>0</v>
      </c>
      <c r="D21" s="20" t="inlineStr">
        <is>
          <t>LF</t>
        </is>
      </c>
      <c r="E21" s="22" t="n">
        <v>2.85</v>
      </c>
      <c r="F21" s="22">
        <f>C21*E21</f>
        <v/>
      </c>
      <c r="G21" s="15" t="inlineStr"/>
    </row>
    <row r="22">
      <c r="A22" s="20" t="inlineStr">
        <is>
          <t>22 13 16</t>
        </is>
      </c>
      <c r="B22" s="15" t="inlineStr">
        <is>
          <t>Sanitary DWV — PVC, 3" Sch 40</t>
        </is>
      </c>
      <c r="C22" s="21" t="n">
        <v>0</v>
      </c>
      <c r="D22" s="20" t="inlineStr">
        <is>
          <t>LF</t>
        </is>
      </c>
      <c r="E22" s="22" t="n">
        <v>4.2</v>
      </c>
      <c r="F22" s="22">
        <f>C22*E22</f>
        <v/>
      </c>
      <c r="G22" s="15" t="inlineStr"/>
    </row>
    <row r="23">
      <c r="A23" s="20" t="inlineStr">
        <is>
          <t>22 13 16</t>
        </is>
      </c>
      <c r="B23" s="15" t="inlineStr">
        <is>
          <t>Sanitary DWV — PVC, 4" Sch 40</t>
        </is>
      </c>
      <c r="C23" s="21" t="n">
        <v>0</v>
      </c>
      <c r="D23" s="20" t="inlineStr">
        <is>
          <t>LF</t>
        </is>
      </c>
      <c r="E23" s="22" t="n">
        <v>5.95</v>
      </c>
      <c r="F23" s="22">
        <f>C23*E23</f>
        <v/>
      </c>
      <c r="G23" s="15" t="inlineStr"/>
    </row>
    <row r="24">
      <c r="A24" s="20" t="inlineStr">
        <is>
          <t>22 13 16</t>
        </is>
      </c>
      <c r="B24" s="15" t="inlineStr">
        <is>
          <t>Sanitary DWV — PVC, 6" Sch 40</t>
        </is>
      </c>
      <c r="C24" s="21" t="n">
        <v>0</v>
      </c>
      <c r="D24" s="20" t="inlineStr">
        <is>
          <t>LF</t>
        </is>
      </c>
      <c r="E24" s="22" t="n">
        <v>9.75</v>
      </c>
      <c r="F24" s="22">
        <f>C24*E24</f>
        <v/>
      </c>
      <c r="G24" s="15" t="inlineStr"/>
    </row>
    <row r="25">
      <c r="A25" s="20" t="inlineStr">
        <is>
          <t>22 13 16</t>
        </is>
      </c>
      <c r="B25" s="15" t="inlineStr">
        <is>
          <t>Cast iron DWV — 4" no-hub</t>
        </is>
      </c>
      <c r="C25" s="21" t="n">
        <v>0</v>
      </c>
      <c r="D25" s="20" t="inlineStr">
        <is>
          <t>LF</t>
        </is>
      </c>
      <c r="E25" s="22" t="n">
        <v>24.5</v>
      </c>
      <c r="F25" s="22">
        <f>C25*E25</f>
        <v/>
      </c>
      <c r="G25" s="15" t="inlineStr">
        <is>
          <t>Service-weight hub-and-spigot uplift</t>
        </is>
      </c>
    </row>
    <row r="26">
      <c r="A26" s="20" t="inlineStr">
        <is>
          <t>22 13 16</t>
        </is>
      </c>
      <c r="B26" s="15" t="inlineStr">
        <is>
          <t>Cast iron DWV — 6" no-hub</t>
        </is>
      </c>
      <c r="C26" s="21" t="n">
        <v>0</v>
      </c>
      <c r="D26" s="20" t="inlineStr">
        <is>
          <t>LF</t>
        </is>
      </c>
      <c r="E26" s="22" t="n">
        <v>38</v>
      </c>
      <c r="F26" s="22">
        <f>C26*E26</f>
        <v/>
      </c>
      <c r="G26" s="15" t="inlineStr"/>
    </row>
    <row r="27">
      <c r="A27" s="20" t="inlineStr">
        <is>
          <t>22 13 19</t>
        </is>
      </c>
      <c r="B27" s="15" t="inlineStr">
        <is>
          <t>Floor drain — 2" w/ trap primer</t>
        </is>
      </c>
      <c r="C27" s="21" t="n">
        <v>0</v>
      </c>
      <c r="D27" s="20" t="inlineStr">
        <is>
          <t>EA</t>
        </is>
      </c>
      <c r="E27" s="22" t="n">
        <v>145</v>
      </c>
      <c r="F27" s="22">
        <f>C27*E27</f>
        <v/>
      </c>
      <c r="G27" s="15" t="inlineStr"/>
    </row>
    <row r="28">
      <c r="A28" s="20" t="inlineStr">
        <is>
          <t>22 13 19</t>
        </is>
      </c>
      <c r="B28" s="15" t="inlineStr">
        <is>
          <t>Floor drain — 4" w/ trap primer</t>
        </is>
      </c>
      <c r="C28" s="21" t="n">
        <v>0</v>
      </c>
      <c r="D28" s="20" t="inlineStr">
        <is>
          <t>EA</t>
        </is>
      </c>
      <c r="E28" s="22" t="n">
        <v>215</v>
      </c>
      <c r="F28" s="22">
        <f>C28*E28</f>
        <v/>
      </c>
      <c r="G28" s="15" t="inlineStr"/>
    </row>
    <row r="29">
      <c r="A29" s="20" t="inlineStr">
        <is>
          <t>22 13 19</t>
        </is>
      </c>
      <c r="B29" s="15" t="inlineStr">
        <is>
          <t>Roof drain — 4" w/ scupper overflow</t>
        </is>
      </c>
      <c r="C29" s="21" t="n">
        <v>0</v>
      </c>
      <c r="D29" s="20" t="inlineStr">
        <is>
          <t>EA</t>
        </is>
      </c>
      <c r="E29" s="22" t="n">
        <v>285</v>
      </c>
      <c r="F29" s="22">
        <f>C29*E29</f>
        <v/>
      </c>
      <c r="G29" s="15" t="inlineStr"/>
    </row>
    <row r="30">
      <c r="A30" s="20" t="inlineStr">
        <is>
          <t>22 13 19</t>
        </is>
      </c>
      <c r="B30" s="15" t="inlineStr">
        <is>
          <t>Cleanout — wall, 4"</t>
        </is>
      </c>
      <c r="C30" s="21" t="n">
        <v>0</v>
      </c>
      <c r="D30" s="20" t="inlineStr">
        <is>
          <t>EA</t>
        </is>
      </c>
      <c r="E30" s="22" t="n">
        <v>95</v>
      </c>
      <c r="F30" s="22">
        <f>C30*E30</f>
        <v/>
      </c>
      <c r="G30" s="15" t="inlineStr"/>
    </row>
    <row r="31">
      <c r="A31" s="20" t="inlineStr">
        <is>
          <t>22 13 19</t>
        </is>
      </c>
      <c r="B31" s="15" t="inlineStr">
        <is>
          <t>Cleanout — floor, 4"</t>
        </is>
      </c>
      <c r="C31" s="21" t="n">
        <v>0</v>
      </c>
      <c r="D31" s="20" t="inlineStr">
        <is>
          <t>EA</t>
        </is>
      </c>
      <c r="E31" s="22" t="n">
        <v>125</v>
      </c>
      <c r="F31" s="22">
        <f>C31*E31</f>
        <v/>
      </c>
      <c r="G31" s="15" t="inlineStr"/>
    </row>
    <row r="32">
      <c r="A32" s="20" t="inlineStr">
        <is>
          <t>22 13 23</t>
        </is>
      </c>
      <c r="B32" s="15" t="inlineStr">
        <is>
          <t>Grease interceptor — 50 GPM</t>
        </is>
      </c>
      <c r="C32" s="21" t="n">
        <v>0</v>
      </c>
      <c r="D32" s="20" t="inlineStr">
        <is>
          <t>EA</t>
        </is>
      </c>
      <c r="E32" s="22" t="n">
        <v>3850</v>
      </c>
      <c r="F32" s="22">
        <f>C32*E32</f>
        <v/>
      </c>
      <c r="G32" s="15" t="inlineStr">
        <is>
          <t>Hydromechanical</t>
        </is>
      </c>
    </row>
    <row r="33">
      <c r="A33" s="20" t="inlineStr">
        <is>
          <t>22 13 23</t>
        </is>
      </c>
      <c r="B33" s="15" t="inlineStr">
        <is>
          <t>Grease interceptor — 75 GPM</t>
        </is>
      </c>
      <c r="C33" s="21" t="n">
        <v>0</v>
      </c>
      <c r="D33" s="20" t="inlineStr">
        <is>
          <t>EA</t>
        </is>
      </c>
      <c r="E33" s="22" t="n">
        <v>5250</v>
      </c>
      <c r="F33" s="22">
        <f>C33*E33</f>
        <v/>
      </c>
      <c r="G33" s="15" t="inlineStr"/>
    </row>
    <row r="34">
      <c r="A34" s="20" t="inlineStr">
        <is>
          <t>22 13 29</t>
        </is>
      </c>
      <c r="B34" s="15" t="inlineStr">
        <is>
          <t>Sewage ejector pump — duplex 1HP</t>
        </is>
      </c>
      <c r="C34" s="21" t="n">
        <v>0</v>
      </c>
      <c r="D34" s="20" t="inlineStr">
        <is>
          <t>EA</t>
        </is>
      </c>
      <c r="E34" s="22" t="n">
        <v>2950</v>
      </c>
      <c r="F34" s="22">
        <f>C34*E34</f>
        <v/>
      </c>
      <c r="G34" s="15" t="inlineStr"/>
    </row>
    <row r="35">
      <c r="A35" s="20" t="inlineStr">
        <is>
          <t>22 14 13</t>
        </is>
      </c>
      <c r="B35" s="15" t="inlineStr">
        <is>
          <t>Storm DWV — PVC, 4"</t>
        </is>
      </c>
      <c r="C35" s="21" t="n">
        <v>0</v>
      </c>
      <c r="D35" s="20" t="inlineStr">
        <is>
          <t>LF</t>
        </is>
      </c>
      <c r="E35" s="22" t="n">
        <v>5.95</v>
      </c>
      <c r="F35" s="22">
        <f>C35*E35</f>
        <v/>
      </c>
      <c r="G35" s="15" t="inlineStr"/>
    </row>
    <row r="36">
      <c r="A36" s="20" t="inlineStr">
        <is>
          <t>22 14 13</t>
        </is>
      </c>
      <c r="B36" s="15" t="inlineStr">
        <is>
          <t>Storm DWV — PVC, 6"</t>
        </is>
      </c>
      <c r="C36" s="21" t="n">
        <v>0</v>
      </c>
      <c r="D36" s="20" t="inlineStr">
        <is>
          <t>LF</t>
        </is>
      </c>
      <c r="E36" s="22" t="n">
        <v>9.75</v>
      </c>
      <c r="F36" s="22">
        <f>C36*E36</f>
        <v/>
      </c>
      <c r="G36" s="15" t="inlineStr"/>
    </row>
    <row r="37">
      <c r="A37" s="20" t="inlineStr">
        <is>
          <t>22 14 13</t>
        </is>
      </c>
      <c r="B37" s="15" t="inlineStr">
        <is>
          <t>Storm DWV — PVC, 8"</t>
        </is>
      </c>
      <c r="C37" s="21" t="n">
        <v>0</v>
      </c>
      <c r="D37" s="20" t="inlineStr">
        <is>
          <t>LF</t>
        </is>
      </c>
      <c r="E37" s="22" t="n">
        <v>14.5</v>
      </c>
      <c r="F37" s="22">
        <f>C37*E37</f>
        <v/>
      </c>
      <c r="G37" s="15" t="inlineStr"/>
    </row>
    <row r="38">
      <c r="A38" s="20" t="inlineStr">
        <is>
          <t>22 33 30</t>
        </is>
      </c>
      <c r="B38" s="15" t="inlineStr">
        <is>
          <t>Electric water heater — 40 gal</t>
        </is>
      </c>
      <c r="C38" s="21" t="n">
        <v>0</v>
      </c>
      <c r="D38" s="20" t="inlineStr">
        <is>
          <t>EA</t>
        </is>
      </c>
      <c r="E38" s="22" t="n">
        <v>685</v>
      </c>
      <c r="F38" s="22">
        <f>C38*E38</f>
        <v/>
      </c>
      <c r="G38" s="15" t="inlineStr"/>
    </row>
    <row r="39">
      <c r="A39" s="20" t="inlineStr">
        <is>
          <t>22 33 30</t>
        </is>
      </c>
      <c r="B39" s="15" t="inlineStr">
        <is>
          <t>Electric water heater — 80 gal</t>
        </is>
      </c>
      <c r="C39" s="21" t="n">
        <v>0</v>
      </c>
      <c r="D39" s="20" t="inlineStr">
        <is>
          <t>EA</t>
        </is>
      </c>
      <c r="E39" s="22" t="n">
        <v>1245</v>
      </c>
      <c r="F39" s="22">
        <f>C39*E39</f>
        <v/>
      </c>
      <c r="G39" s="15" t="inlineStr"/>
    </row>
    <row r="40">
      <c r="A40" s="20" t="inlineStr">
        <is>
          <t>22 33 33</t>
        </is>
      </c>
      <c r="B40" s="15" t="inlineStr">
        <is>
          <t>Gas water heater — 50 gal, atmospheric</t>
        </is>
      </c>
      <c r="C40" s="21" t="n">
        <v>0</v>
      </c>
      <c r="D40" s="20" t="inlineStr">
        <is>
          <t>EA</t>
        </is>
      </c>
      <c r="E40" s="22" t="n">
        <v>1485</v>
      </c>
      <c r="F40" s="22">
        <f>C40*E40</f>
        <v/>
      </c>
      <c r="G40" s="15" t="inlineStr"/>
    </row>
    <row r="41">
      <c r="A41" s="20" t="inlineStr">
        <is>
          <t>22 33 36</t>
        </is>
      </c>
      <c r="B41" s="15" t="inlineStr">
        <is>
          <t>Gas water heater — 75 gal, power-vent</t>
        </is>
      </c>
      <c r="C41" s="21" t="n">
        <v>0</v>
      </c>
      <c r="D41" s="20" t="inlineStr">
        <is>
          <t>EA</t>
        </is>
      </c>
      <c r="E41" s="22" t="n">
        <v>2150</v>
      </c>
      <c r="F41" s="22">
        <f>C41*E41</f>
        <v/>
      </c>
      <c r="G41" s="15" t="inlineStr"/>
    </row>
    <row r="42">
      <c r="A42" s="20" t="inlineStr">
        <is>
          <t>22 34 00</t>
        </is>
      </c>
      <c r="B42" s="15" t="inlineStr">
        <is>
          <t>Tankless water heater — 199K BTU</t>
        </is>
      </c>
      <c r="C42" s="21" t="n">
        <v>0</v>
      </c>
      <c r="D42" s="20" t="inlineStr">
        <is>
          <t>EA</t>
        </is>
      </c>
      <c r="E42" s="22" t="n">
        <v>2850</v>
      </c>
      <c r="F42" s="22">
        <f>C42*E42</f>
        <v/>
      </c>
      <c r="G42" s="15" t="inlineStr"/>
    </row>
    <row r="43">
      <c r="A43" s="20" t="inlineStr">
        <is>
          <t>22 35 00</t>
        </is>
      </c>
      <c r="B43" s="15" t="inlineStr">
        <is>
          <t>Domestic water booster pump system</t>
        </is>
      </c>
      <c r="C43" s="21" t="n">
        <v>0</v>
      </c>
      <c r="D43" s="20" t="inlineStr">
        <is>
          <t>EA</t>
        </is>
      </c>
      <c r="E43" s="22" t="n">
        <v>8500</v>
      </c>
      <c r="F43" s="22">
        <f>C43*E43</f>
        <v/>
      </c>
      <c r="G43" s="15" t="inlineStr">
        <is>
          <t>VFD-driven duplex</t>
        </is>
      </c>
    </row>
    <row r="44">
      <c r="A44" s="20" t="inlineStr">
        <is>
          <t>22 42 13</t>
        </is>
      </c>
      <c r="B44" s="15" t="inlineStr">
        <is>
          <t>Water closet — flushometer, wall-hung</t>
        </is>
      </c>
      <c r="C44" s="21" t="n">
        <v>0</v>
      </c>
      <c r="D44" s="20" t="inlineStr">
        <is>
          <t>EA</t>
        </is>
      </c>
      <c r="E44" s="22" t="n">
        <v>525</v>
      </c>
      <c r="F44" s="22">
        <f>C44*E44</f>
        <v/>
      </c>
      <c r="G44" s="15" t="inlineStr"/>
    </row>
    <row r="45">
      <c r="A45" s="20" t="inlineStr">
        <is>
          <t>22 42 13</t>
        </is>
      </c>
      <c r="B45" s="15" t="inlineStr">
        <is>
          <t>Water closet — flushometer, floor-mount</t>
        </is>
      </c>
      <c r="C45" s="21" t="n">
        <v>0</v>
      </c>
      <c r="D45" s="20" t="inlineStr">
        <is>
          <t>EA</t>
        </is>
      </c>
      <c r="E45" s="22" t="n">
        <v>415</v>
      </c>
      <c r="F45" s="22">
        <f>C45*E45</f>
        <v/>
      </c>
      <c r="G45" s="15" t="inlineStr"/>
    </row>
    <row r="46">
      <c r="A46" s="20" t="inlineStr">
        <is>
          <t>22 42 13</t>
        </is>
      </c>
      <c r="B46" s="15" t="inlineStr">
        <is>
          <t>Water closet — tank-type ADA</t>
        </is>
      </c>
      <c r="C46" s="21" t="n">
        <v>0</v>
      </c>
      <c r="D46" s="20" t="inlineStr">
        <is>
          <t>EA</t>
        </is>
      </c>
      <c r="E46" s="22" t="n">
        <v>385</v>
      </c>
      <c r="F46" s="22">
        <f>C46*E46</f>
        <v/>
      </c>
      <c r="G46" s="15" t="inlineStr"/>
    </row>
    <row r="47">
      <c r="A47" s="20" t="inlineStr">
        <is>
          <t>22 42 16</t>
        </is>
      </c>
      <c r="B47" s="15" t="inlineStr">
        <is>
          <t>Urinal — flushometer, vitreous china</t>
        </is>
      </c>
      <c r="C47" s="21" t="n">
        <v>0</v>
      </c>
      <c r="D47" s="20" t="inlineStr">
        <is>
          <t>EA</t>
        </is>
      </c>
      <c r="E47" s="22" t="n">
        <v>425</v>
      </c>
      <c r="F47" s="22">
        <f>C47*E47</f>
        <v/>
      </c>
      <c r="G47" s="15" t="inlineStr"/>
    </row>
    <row r="48">
      <c r="A48" s="20" t="inlineStr">
        <is>
          <t>22 42 16</t>
        </is>
      </c>
      <c r="B48" s="15" t="inlineStr">
        <is>
          <t>Urinal — waterless, with cartridge</t>
        </is>
      </c>
      <c r="C48" s="21" t="n">
        <v>0</v>
      </c>
      <c r="D48" s="20" t="inlineStr">
        <is>
          <t>EA</t>
        </is>
      </c>
      <c r="E48" s="22" t="n">
        <v>685</v>
      </c>
      <c r="F48" s="22">
        <f>C48*E48</f>
        <v/>
      </c>
      <c r="G48" s="15" t="inlineStr"/>
    </row>
    <row r="49">
      <c r="A49" s="20" t="inlineStr">
        <is>
          <t>22 42 19</t>
        </is>
      </c>
      <c r="B49" s="15" t="inlineStr">
        <is>
          <t>Lavatory — wall-hung, vitreous china</t>
        </is>
      </c>
      <c r="C49" s="21" t="n">
        <v>0</v>
      </c>
      <c r="D49" s="20" t="inlineStr">
        <is>
          <t>EA</t>
        </is>
      </c>
      <c r="E49" s="22" t="n">
        <v>285</v>
      </c>
      <c r="F49" s="22">
        <f>C49*E49</f>
        <v/>
      </c>
      <c r="G49" s="15" t="inlineStr"/>
    </row>
    <row r="50">
      <c r="A50" s="20" t="inlineStr">
        <is>
          <t>22 42 19</t>
        </is>
      </c>
      <c r="B50" s="15" t="inlineStr">
        <is>
          <t>Lavatory — countertop drop-in</t>
        </is>
      </c>
      <c r="C50" s="21" t="n">
        <v>0</v>
      </c>
      <c r="D50" s="20" t="inlineStr">
        <is>
          <t>EA</t>
        </is>
      </c>
      <c r="E50" s="22" t="n">
        <v>195</v>
      </c>
      <c r="F50" s="22">
        <f>C50*E50</f>
        <v/>
      </c>
      <c r="G50" s="15" t="inlineStr"/>
    </row>
    <row r="51">
      <c r="A51" s="20" t="inlineStr">
        <is>
          <t>22 42 23</t>
        </is>
      </c>
      <c r="B51" s="15" t="inlineStr">
        <is>
          <t>Sink — single-bowl stainless, 18 ga</t>
        </is>
      </c>
      <c r="C51" s="21" t="n">
        <v>0</v>
      </c>
      <c r="D51" s="20" t="inlineStr">
        <is>
          <t>EA</t>
        </is>
      </c>
      <c r="E51" s="22" t="n">
        <v>215</v>
      </c>
      <c r="F51" s="22">
        <f>C51*E51</f>
        <v/>
      </c>
      <c r="G51" s="15" t="inlineStr"/>
    </row>
    <row r="52">
      <c r="A52" s="20" t="inlineStr">
        <is>
          <t>22 42 23</t>
        </is>
      </c>
      <c r="B52" s="15" t="inlineStr">
        <is>
          <t>Sink — three-compartment commercial</t>
        </is>
      </c>
      <c r="C52" s="21" t="n">
        <v>0</v>
      </c>
      <c r="D52" s="20" t="inlineStr">
        <is>
          <t>EA</t>
        </is>
      </c>
      <c r="E52" s="22" t="n">
        <v>945</v>
      </c>
      <c r="F52" s="22">
        <f>C52*E52</f>
        <v/>
      </c>
      <c r="G52" s="15" t="inlineStr"/>
    </row>
    <row r="53">
      <c r="A53" s="20" t="inlineStr">
        <is>
          <t>22 42 26</t>
        </is>
      </c>
      <c r="B53" s="15" t="inlineStr">
        <is>
          <t>Service sink — floor-mount mop basin</t>
        </is>
      </c>
      <c r="C53" s="21" t="n">
        <v>0</v>
      </c>
      <c r="D53" s="20" t="inlineStr">
        <is>
          <t>EA</t>
        </is>
      </c>
      <c r="E53" s="22" t="n">
        <v>385</v>
      </c>
      <c r="F53" s="22">
        <f>C53*E53</f>
        <v/>
      </c>
      <c r="G53" s="15" t="inlineStr"/>
    </row>
    <row r="54">
      <c r="A54" s="20" t="inlineStr">
        <is>
          <t>22 42 33</t>
        </is>
      </c>
      <c r="B54" s="15" t="inlineStr">
        <is>
          <t>Shower — single, with valve + head</t>
        </is>
      </c>
      <c r="C54" s="21" t="n">
        <v>0</v>
      </c>
      <c r="D54" s="20" t="inlineStr">
        <is>
          <t>EA</t>
        </is>
      </c>
      <c r="E54" s="22" t="n">
        <v>425</v>
      </c>
      <c r="F54" s="22">
        <f>C54*E54</f>
        <v/>
      </c>
      <c r="G54" s="15" t="inlineStr"/>
    </row>
    <row r="55">
      <c r="A55" s="20" t="inlineStr">
        <is>
          <t>22 42 39</t>
        </is>
      </c>
      <c r="B55" s="15" t="inlineStr">
        <is>
          <t>Drinking fountain — bottle-fill, ADA</t>
        </is>
      </c>
      <c r="C55" s="21" t="n">
        <v>0</v>
      </c>
      <c r="D55" s="20" t="inlineStr">
        <is>
          <t>EA</t>
        </is>
      </c>
      <c r="E55" s="22" t="n">
        <v>1685</v>
      </c>
      <c r="F55" s="22">
        <f>C55*E55</f>
        <v/>
      </c>
      <c r="G55" s="15" t="inlineStr"/>
    </row>
    <row r="56">
      <c r="A56" s="20" t="inlineStr">
        <is>
          <t>22 45 00</t>
        </is>
      </c>
      <c r="B56" s="15" t="inlineStr">
        <is>
          <t>Emergency eyewash + shower combo</t>
        </is>
      </c>
      <c r="C56" s="21" t="n">
        <v>0</v>
      </c>
      <c r="D56" s="20" t="inlineStr">
        <is>
          <t>EA</t>
        </is>
      </c>
      <c r="E56" s="22" t="n">
        <v>1450</v>
      </c>
      <c r="F56" s="22">
        <f>C56*E56</f>
        <v/>
      </c>
      <c r="G56" s="15" t="inlineStr">
        <is>
          <t>ANSI Z358.1</t>
        </is>
      </c>
    </row>
    <row r="57">
      <c r="A57" s="20" t="inlineStr">
        <is>
          <t>22 67 00</t>
        </is>
      </c>
      <c r="B57" s="15" t="inlineStr">
        <is>
          <t>Natural gas piping — black iron 1"</t>
        </is>
      </c>
      <c r="C57" s="21" t="n">
        <v>0</v>
      </c>
      <c r="D57" s="20" t="inlineStr">
        <is>
          <t>LF</t>
        </is>
      </c>
      <c r="E57" s="22" t="n">
        <v>8.5</v>
      </c>
      <c r="F57" s="22">
        <f>C57*E57</f>
        <v/>
      </c>
      <c r="G57" s="15" t="inlineStr"/>
    </row>
    <row r="58">
      <c r="A58" s="20" t="inlineStr">
        <is>
          <t>22 67 00</t>
        </is>
      </c>
      <c r="B58" s="15" t="inlineStr">
        <is>
          <t>Natural gas piping — black iron 1-1/2"</t>
        </is>
      </c>
      <c r="C58" s="21" t="n">
        <v>0</v>
      </c>
      <c r="D58" s="20" t="inlineStr">
        <is>
          <t>LF</t>
        </is>
      </c>
      <c r="E58" s="22" t="n">
        <v>12.85</v>
      </c>
      <c r="F58" s="22">
        <f>C58*E58</f>
        <v/>
      </c>
      <c r="G58" s="15" t="inlineStr"/>
    </row>
    <row r="59">
      <c r="A59" s="20" t="inlineStr">
        <is>
          <t>22 67 00</t>
        </is>
      </c>
      <c r="B59" s="15" t="inlineStr">
        <is>
          <t>Natural gas piping — black iron 2"</t>
        </is>
      </c>
      <c r="C59" s="21" t="n">
        <v>0</v>
      </c>
      <c r="D59" s="20" t="inlineStr">
        <is>
          <t>LF</t>
        </is>
      </c>
      <c r="E59" s="22" t="n">
        <v>16.5</v>
      </c>
      <c r="F59" s="22">
        <f>C59*E59</f>
        <v/>
      </c>
      <c r="G59" s="15" t="inlineStr"/>
    </row>
    <row r="60">
      <c r="A60" s="20" t="inlineStr">
        <is>
          <t>22 67 00</t>
        </is>
      </c>
      <c r="B60" s="15" t="inlineStr">
        <is>
          <t>CSST gas piping — 3/4"</t>
        </is>
      </c>
      <c r="C60" s="21" t="n">
        <v>0</v>
      </c>
      <c r="D60" s="20" t="inlineStr">
        <is>
          <t>LF</t>
        </is>
      </c>
      <c r="E60" s="22" t="n">
        <v>4.85</v>
      </c>
      <c r="F60" s="22">
        <f>C60*E60</f>
        <v/>
      </c>
      <c r="G60" s="15" t="inlineStr"/>
    </row>
    <row r="61">
      <c r="A61" s="20" t="inlineStr">
        <is>
          <t>22 67 00</t>
        </is>
      </c>
      <c r="B61" s="15" t="inlineStr">
        <is>
          <t>Gas regulator — pressure-reducing 2 psi</t>
        </is>
      </c>
      <c r="C61" s="21" t="n">
        <v>0</v>
      </c>
      <c r="D61" s="20" t="inlineStr">
        <is>
          <t>EA</t>
        </is>
      </c>
      <c r="E61" s="22" t="n">
        <v>285</v>
      </c>
      <c r="F61" s="22">
        <f>C61*E61</f>
        <v/>
      </c>
      <c r="G61" s="15" t="inlineStr"/>
    </row>
    <row r="62">
      <c r="A62" s="20" t="inlineStr">
        <is>
          <t>22 67 00</t>
        </is>
      </c>
      <c r="B62" s="15" t="inlineStr">
        <is>
          <t>Gas shutoff valve — 1"</t>
        </is>
      </c>
      <c r="C62" s="21" t="n">
        <v>0</v>
      </c>
      <c r="D62" s="20" t="inlineStr">
        <is>
          <t>EA</t>
        </is>
      </c>
      <c r="E62" s="22" t="n">
        <v>65</v>
      </c>
      <c r="F62" s="22">
        <f>C62*E62</f>
        <v/>
      </c>
      <c r="G62" s="15" t="inlineStr"/>
    </row>
    <row r="63">
      <c r="A63" s="20" t="inlineStr">
        <is>
          <t>22 05 29</t>
        </is>
      </c>
      <c r="B63" s="15" t="inlineStr">
        <is>
          <t>Pipe hangers — clevis 1/2"-1"</t>
        </is>
      </c>
      <c r="C63" s="21" t="n">
        <v>0</v>
      </c>
      <c r="D63" s="20" t="inlineStr">
        <is>
          <t>EA</t>
        </is>
      </c>
      <c r="E63" s="22" t="n">
        <v>4.85</v>
      </c>
      <c r="F63" s="22">
        <f>C63*E63</f>
        <v/>
      </c>
      <c r="G63" s="15" t="inlineStr"/>
    </row>
    <row r="64">
      <c r="A64" s="20" t="inlineStr">
        <is>
          <t>22 05 29</t>
        </is>
      </c>
      <c r="B64" s="15" t="inlineStr">
        <is>
          <t>Pipe hangers — clevis 1-1/4"-2"</t>
        </is>
      </c>
      <c r="C64" s="21" t="n">
        <v>0</v>
      </c>
      <c r="D64" s="20" t="inlineStr">
        <is>
          <t>EA</t>
        </is>
      </c>
      <c r="E64" s="22" t="n">
        <v>7.5</v>
      </c>
      <c r="F64" s="22">
        <f>C64*E64</f>
        <v/>
      </c>
      <c r="G64" s="15" t="inlineStr"/>
    </row>
    <row r="65">
      <c r="A65" s="20" t="inlineStr">
        <is>
          <t>22 05 29</t>
        </is>
      </c>
      <c r="B65" s="15" t="inlineStr">
        <is>
          <t>Pipe hangers — clevis 3"-4"</t>
        </is>
      </c>
      <c r="C65" s="21" t="n">
        <v>0</v>
      </c>
      <c r="D65" s="20" t="inlineStr">
        <is>
          <t>EA</t>
        </is>
      </c>
      <c r="E65" s="22" t="n">
        <v>14.5</v>
      </c>
      <c r="F65" s="22">
        <f>C65*E65</f>
        <v/>
      </c>
      <c r="G65" s="15" t="inlineStr"/>
    </row>
    <row r="66">
      <c r="A66" s="20" t="inlineStr">
        <is>
          <t>22 05 29</t>
        </is>
      </c>
      <c r="B66" s="15" t="inlineStr">
        <is>
          <t>Trapeze hangers — multi-pipe</t>
        </is>
      </c>
      <c r="C66" s="21" t="n">
        <v>0</v>
      </c>
      <c r="D66" s="20" t="inlineStr">
        <is>
          <t>EA</t>
        </is>
      </c>
      <c r="E66" s="22" t="n">
        <v>38</v>
      </c>
      <c r="F66" s="22">
        <f>C66*E66</f>
        <v/>
      </c>
      <c r="G66" s="15" t="inlineStr"/>
    </row>
    <row r="67">
      <c r="A67" s="20" t="inlineStr">
        <is>
          <t>22 05 19</t>
        </is>
      </c>
      <c r="B67" s="15" t="inlineStr">
        <is>
          <t>Wall sleeve — 4" through firewall</t>
        </is>
      </c>
      <c r="C67" s="21" t="n">
        <v>0</v>
      </c>
      <c r="D67" s="20" t="inlineStr">
        <is>
          <t>EA</t>
        </is>
      </c>
      <c r="E67" s="22" t="n">
        <v>22.5</v>
      </c>
      <c r="F67" s="22">
        <f>C67*E67</f>
        <v/>
      </c>
      <c r="G67" s="15" t="inlineStr"/>
    </row>
    <row r="68">
      <c r="A68" s="20" t="inlineStr">
        <is>
          <t>22 05 19</t>
        </is>
      </c>
      <c r="B68" s="15" t="inlineStr">
        <is>
          <t>Floor sleeve — 4" through slab</t>
        </is>
      </c>
      <c r="C68" s="21" t="n">
        <v>0</v>
      </c>
      <c r="D68" s="20" t="inlineStr">
        <is>
          <t>EA</t>
        </is>
      </c>
      <c r="E68" s="22" t="n">
        <v>18.5</v>
      </c>
      <c r="F68" s="22">
        <f>C68*E68</f>
        <v/>
      </c>
      <c r="G68" s="15" t="inlineStr"/>
    </row>
    <row r="69">
      <c r="A69" s="20" t="inlineStr">
        <is>
          <t>22 05 19</t>
        </is>
      </c>
      <c r="B69" s="15" t="inlineStr">
        <is>
          <t>Firestop assembly — UL-listed pipe through wall</t>
        </is>
      </c>
      <c r="C69" s="21" t="n">
        <v>0</v>
      </c>
      <c r="D69" s="20" t="inlineStr">
        <is>
          <t>EA</t>
        </is>
      </c>
      <c r="E69" s="22" t="n">
        <v>32</v>
      </c>
      <c r="F69" s="22">
        <f>C69*E69</f>
        <v/>
      </c>
      <c r="G69" s="15" t="inlineStr"/>
    </row>
    <row r="70">
      <c r="A70" s="20" t="inlineStr">
        <is>
          <t>22 08 00</t>
        </is>
      </c>
      <c r="B70" s="15" t="inlineStr">
        <is>
          <t>Hydrostatic test — DWV system</t>
        </is>
      </c>
      <c r="C70" s="21" t="n">
        <v>0</v>
      </c>
      <c r="D70" s="20" t="inlineStr">
        <is>
          <t>LS</t>
        </is>
      </c>
      <c r="E70" s="22" t="n">
        <v>750</v>
      </c>
      <c r="F70" s="22">
        <f>C70*E70</f>
        <v/>
      </c>
      <c r="G70" s="15" t="inlineStr">
        <is>
          <t>Air or water per IPC 312</t>
        </is>
      </c>
    </row>
    <row r="71">
      <c r="A71" s="20" t="inlineStr">
        <is>
          <t>22 08 00</t>
        </is>
      </c>
      <c r="B71" s="15" t="inlineStr">
        <is>
          <t>Hydrostatic test — domestic water</t>
        </is>
      </c>
      <c r="C71" s="21" t="n">
        <v>0</v>
      </c>
      <c r="D71" s="20" t="inlineStr">
        <is>
          <t>LS</t>
        </is>
      </c>
      <c r="E71" s="22" t="n">
        <v>650</v>
      </c>
      <c r="F71" s="22">
        <f>C71*E71</f>
        <v/>
      </c>
      <c r="G71" s="15" t="inlineStr"/>
    </row>
    <row r="72">
      <c r="A72" s="20" t="inlineStr">
        <is>
          <t>22 08 00</t>
        </is>
      </c>
      <c r="B72" s="15" t="inlineStr">
        <is>
          <t>Gas pressure test</t>
        </is>
      </c>
      <c r="C72" s="21" t="n">
        <v>0</v>
      </c>
      <c r="D72" s="20" t="inlineStr">
        <is>
          <t>LS</t>
        </is>
      </c>
      <c r="E72" s="22" t="n">
        <v>450</v>
      </c>
      <c r="F72" s="22">
        <f>C72*E72</f>
        <v/>
      </c>
      <c r="G72" s="15" t="inlineStr">
        <is>
          <t>Per IFGC 406</t>
        </is>
      </c>
    </row>
    <row r="73">
      <c r="A73" s="20" t="inlineStr">
        <is>
          <t>22 08 00</t>
        </is>
      </c>
      <c r="B73" s="15" t="inlineStr">
        <is>
          <t>Backflow preventer initial test</t>
        </is>
      </c>
      <c r="C73" s="21" t="n">
        <v>0</v>
      </c>
      <c r="D73" s="20" t="inlineStr">
        <is>
          <t>EA</t>
        </is>
      </c>
      <c r="E73" s="22" t="n">
        <v>175</v>
      </c>
      <c r="F73" s="22">
        <f>C73*E73</f>
        <v/>
      </c>
      <c r="G73" s="15" t="inlineStr"/>
    </row>
    <row r="74">
      <c r="A74" s="20" t="inlineStr">
        <is>
          <t>22 08 00</t>
        </is>
      </c>
      <c r="B74" s="15" t="inlineStr">
        <is>
          <t>Disinfection — domestic water lines</t>
        </is>
      </c>
      <c r="C74" s="21" t="n">
        <v>0</v>
      </c>
      <c r="D74" s="20" t="inlineStr">
        <is>
          <t>LS</t>
        </is>
      </c>
      <c r="E74" s="22" t="n">
        <v>1250</v>
      </c>
      <c r="F74" s="22">
        <f>C74*E74</f>
        <v/>
      </c>
      <c r="G74" s="15" t="inlineStr">
        <is>
          <t>AWWA C651</t>
        </is>
      </c>
    </row>
    <row r="75">
      <c r="A75" s="20" t="inlineStr">
        <is>
          <t>22 00 10</t>
        </is>
      </c>
      <c r="B75" s="15" t="inlineStr">
        <is>
          <t>Permit — plumbing</t>
        </is>
      </c>
      <c r="C75" s="21" t="n">
        <v>0</v>
      </c>
      <c r="D75" s="20" t="inlineStr">
        <is>
          <t>LS</t>
        </is>
      </c>
      <c r="E75" s="22" t="n">
        <v>0</v>
      </c>
      <c r="F75" s="22">
        <f>C75*E75</f>
        <v/>
      </c>
      <c r="G75" s="15" t="inlineStr">
        <is>
          <t>Allowance — fill in AHJ amount</t>
        </is>
      </c>
    </row>
    <row r="76">
      <c r="A76" s="20" t="inlineStr">
        <is>
          <t>22 00 10</t>
        </is>
      </c>
      <c r="B76" s="15" t="inlineStr">
        <is>
          <t>Inspection re-trip fees (allowance)</t>
        </is>
      </c>
      <c r="C76" s="21" t="n">
        <v>0</v>
      </c>
      <c r="D76" s="20" t="inlineStr">
        <is>
          <t>LS</t>
        </is>
      </c>
      <c r="E76" s="22" t="n">
        <v>0</v>
      </c>
      <c r="F76" s="22">
        <f>C76*E76</f>
        <v/>
      </c>
      <c r="G76" s="15" t="inlineStr"/>
    </row>
    <row r="78">
      <c r="E78" s="23" t="inlineStr">
        <is>
          <t>Material Subtotal</t>
        </is>
      </c>
      <c r="F78" s="24">
        <f>SUM(F4:F76)</f>
        <v/>
      </c>
    </row>
    <row r="79">
      <c r="E79" s="23" t="inlineStr">
        <is>
          <t>Sales tax %</t>
        </is>
      </c>
      <c r="F79" s="25" t="n">
        <v>0.07000000000000001</v>
      </c>
    </row>
    <row r="80">
      <c r="E80" s="23" t="inlineStr">
        <is>
          <t>Sales tax $</t>
        </is>
      </c>
      <c r="F80" s="26">
        <f>F78*F79</f>
        <v/>
      </c>
    </row>
    <row r="81">
      <c r="E81" s="27" t="inlineStr">
        <is>
          <t>Material TOTAL (incl tax)</t>
        </is>
      </c>
      <c r="F81" s="28">
        <f>F78+F80</f>
        <v/>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cols>
    <col width="14" customWidth="1" min="1" max="1"/>
    <col width="42" customWidth="1" min="2" max="2"/>
    <col width="10" customWidth="1" min="3" max="3"/>
    <col width="10" customWidth="1" min="4" max="4"/>
    <col width="16" customWidth="1" min="5" max="5"/>
    <col width="14" customWidth="1" min="6" max="6"/>
    <col width="16" customWidth="1" min="7" max="7"/>
    <col width="18" customWidth="1" min="8" max="8"/>
  </cols>
  <sheetData>
    <row r="1">
      <c r="A1" s="1" t="inlineStr">
        <is>
          <t>LABOR ESTIMATE (PHCC/MCAA-style labor units)</t>
        </is>
      </c>
    </row>
    <row r="3" ht="26" customHeight="1">
      <c r="A3" s="11" t="inlineStr">
        <is>
          <t>CSI Code</t>
        </is>
      </c>
      <c r="B3" s="11" t="inlineStr">
        <is>
          <t>Activity</t>
        </is>
      </c>
      <c r="C3" s="11" t="inlineStr">
        <is>
          <t>QTY</t>
        </is>
      </c>
      <c r="D3" s="11" t="inlineStr">
        <is>
          <t>UOM</t>
        </is>
      </c>
      <c r="E3" s="11" t="inlineStr">
        <is>
          <t>Hours / UOM</t>
        </is>
      </c>
      <c r="F3" s="11" t="inlineStr">
        <is>
          <t>Subtotal Hours</t>
        </is>
      </c>
      <c r="G3" s="11" t="inlineStr">
        <is>
          <t>Crew Loaded Rate ($/hr)</t>
        </is>
      </c>
      <c r="H3" s="11" t="inlineStr">
        <is>
          <t>Subtotal Labor ($)</t>
        </is>
      </c>
    </row>
    <row r="4">
      <c r="A4" s="20" t="inlineStr">
        <is>
          <t>22 42 13</t>
        </is>
      </c>
      <c r="B4" s="15" t="inlineStr">
        <is>
          <t>Set water closet — flushometer</t>
        </is>
      </c>
      <c r="C4" s="21" t="n">
        <v>0</v>
      </c>
      <c r="D4" s="20" t="inlineStr">
        <is>
          <t>EA</t>
        </is>
      </c>
      <c r="E4" s="29" t="n">
        <v>1.85</v>
      </c>
      <c r="F4" s="30">
        <f>C4*E4</f>
        <v/>
      </c>
      <c r="G4" s="22" t="n">
        <v>65</v>
      </c>
      <c r="H4" s="22">
        <f>F4*G4</f>
        <v/>
      </c>
    </row>
    <row r="5">
      <c r="A5" s="20" t="inlineStr">
        <is>
          <t>22 42 13</t>
        </is>
      </c>
      <c r="B5" s="15" t="inlineStr">
        <is>
          <t>Set water closet — tank type</t>
        </is>
      </c>
      <c r="C5" s="21" t="n">
        <v>0</v>
      </c>
      <c r="D5" s="20" t="inlineStr">
        <is>
          <t>EA</t>
        </is>
      </c>
      <c r="E5" s="29" t="n">
        <v>1.2</v>
      </c>
      <c r="F5" s="30">
        <f>C5*E5</f>
        <v/>
      </c>
      <c r="G5" s="22" t="n">
        <v>65</v>
      </c>
      <c r="H5" s="22">
        <f>F5*G5</f>
        <v/>
      </c>
    </row>
    <row r="6">
      <c r="A6" s="20" t="inlineStr">
        <is>
          <t>22 42 16</t>
        </is>
      </c>
      <c r="B6" s="15" t="inlineStr">
        <is>
          <t>Set urinal — flushometer</t>
        </is>
      </c>
      <c r="C6" s="21" t="n">
        <v>0</v>
      </c>
      <c r="D6" s="20" t="inlineStr">
        <is>
          <t>EA</t>
        </is>
      </c>
      <c r="E6" s="29" t="n">
        <v>1.65</v>
      </c>
      <c r="F6" s="30">
        <f>C6*E6</f>
        <v/>
      </c>
      <c r="G6" s="22" t="n">
        <v>65</v>
      </c>
      <c r="H6" s="22">
        <f>F6*G6</f>
        <v/>
      </c>
    </row>
    <row r="7">
      <c r="A7" s="20" t="inlineStr">
        <is>
          <t>22 42 19</t>
        </is>
      </c>
      <c r="B7" s="15" t="inlineStr">
        <is>
          <t>Set lavatory — wall-hung</t>
        </is>
      </c>
      <c r="C7" s="21" t="n">
        <v>0</v>
      </c>
      <c r="D7" s="20" t="inlineStr">
        <is>
          <t>EA</t>
        </is>
      </c>
      <c r="E7" s="29" t="n">
        <v>1.45</v>
      </c>
      <c r="F7" s="30">
        <f>C7*E7</f>
        <v/>
      </c>
      <c r="G7" s="22" t="n">
        <v>65</v>
      </c>
      <c r="H7" s="22">
        <f>F7*G7</f>
        <v/>
      </c>
    </row>
    <row r="8">
      <c r="A8" s="20" t="inlineStr">
        <is>
          <t>22 42 19</t>
        </is>
      </c>
      <c r="B8" s="15" t="inlineStr">
        <is>
          <t>Set lavatory — countertop</t>
        </is>
      </c>
      <c r="C8" s="21" t="n">
        <v>0</v>
      </c>
      <c r="D8" s="20" t="inlineStr">
        <is>
          <t>EA</t>
        </is>
      </c>
      <c r="E8" s="29" t="n">
        <v>1.2</v>
      </c>
      <c r="F8" s="30">
        <f>C8*E8</f>
        <v/>
      </c>
      <c r="G8" s="22" t="n">
        <v>65</v>
      </c>
      <c r="H8" s="22">
        <f>F8*G8</f>
        <v/>
      </c>
    </row>
    <row r="9">
      <c r="A9" s="20" t="inlineStr">
        <is>
          <t>22 42 23</t>
        </is>
      </c>
      <c r="B9" s="15" t="inlineStr">
        <is>
          <t>Set sink — single-bowl</t>
        </is>
      </c>
      <c r="C9" s="21" t="n">
        <v>0</v>
      </c>
      <c r="D9" s="20" t="inlineStr">
        <is>
          <t>EA</t>
        </is>
      </c>
      <c r="E9" s="29" t="n">
        <v>1.3</v>
      </c>
      <c r="F9" s="30">
        <f>C9*E9</f>
        <v/>
      </c>
      <c r="G9" s="22" t="n">
        <v>65</v>
      </c>
      <c r="H9" s="22">
        <f>F9*G9</f>
        <v/>
      </c>
    </row>
    <row r="10">
      <c r="A10" s="20" t="inlineStr">
        <is>
          <t>22 42 23</t>
        </is>
      </c>
      <c r="B10" s="15" t="inlineStr">
        <is>
          <t>Set sink — three-compartment</t>
        </is>
      </c>
      <c r="C10" s="21" t="n">
        <v>0</v>
      </c>
      <c r="D10" s="20" t="inlineStr">
        <is>
          <t>EA</t>
        </is>
      </c>
      <c r="E10" s="29" t="n">
        <v>2.5</v>
      </c>
      <c r="F10" s="30">
        <f>C10*E10</f>
        <v/>
      </c>
      <c r="G10" s="22" t="n">
        <v>65</v>
      </c>
      <c r="H10" s="22">
        <f>F10*G10</f>
        <v/>
      </c>
    </row>
    <row r="11">
      <c r="A11" s="20" t="inlineStr">
        <is>
          <t>22 42 26</t>
        </is>
      </c>
      <c r="B11" s="15" t="inlineStr">
        <is>
          <t>Set service / mop sink</t>
        </is>
      </c>
      <c r="C11" s="21" t="n">
        <v>0</v>
      </c>
      <c r="D11" s="20" t="inlineStr">
        <is>
          <t>EA</t>
        </is>
      </c>
      <c r="E11" s="29" t="n">
        <v>2.1</v>
      </c>
      <c r="F11" s="30">
        <f>C11*E11</f>
        <v/>
      </c>
      <c r="G11" s="22" t="n">
        <v>65</v>
      </c>
      <c r="H11" s="22">
        <f>F11*G11</f>
        <v/>
      </c>
    </row>
    <row r="12">
      <c r="A12" s="20" t="inlineStr">
        <is>
          <t>22 42 33</t>
        </is>
      </c>
      <c r="B12" s="15" t="inlineStr">
        <is>
          <t>Set shower w/ valve + head</t>
        </is>
      </c>
      <c r="C12" s="21" t="n">
        <v>0</v>
      </c>
      <c r="D12" s="20" t="inlineStr">
        <is>
          <t>EA</t>
        </is>
      </c>
      <c r="E12" s="29" t="n">
        <v>2.75</v>
      </c>
      <c r="F12" s="30">
        <f>C12*E12</f>
        <v/>
      </c>
      <c r="G12" s="22" t="n">
        <v>65</v>
      </c>
      <c r="H12" s="22">
        <f>F12*G12</f>
        <v/>
      </c>
    </row>
    <row r="13">
      <c r="A13" s="20" t="inlineStr">
        <is>
          <t>22 42 39</t>
        </is>
      </c>
      <c r="B13" s="15" t="inlineStr">
        <is>
          <t>Set drinking fountain — ADA</t>
        </is>
      </c>
      <c r="C13" s="21" t="n">
        <v>0</v>
      </c>
      <c r="D13" s="20" t="inlineStr">
        <is>
          <t>EA</t>
        </is>
      </c>
      <c r="E13" s="29" t="n">
        <v>2.4</v>
      </c>
      <c r="F13" s="30">
        <f>C13*E13</f>
        <v/>
      </c>
      <c r="G13" s="22" t="n">
        <v>65</v>
      </c>
      <c r="H13" s="22">
        <f>F13*G13</f>
        <v/>
      </c>
    </row>
    <row r="14">
      <c r="A14" s="20" t="inlineStr">
        <is>
          <t>22 45 00</t>
        </is>
      </c>
      <c r="B14" s="15" t="inlineStr">
        <is>
          <t>Set emergency eyewash + shower</t>
        </is>
      </c>
      <c r="C14" s="21" t="n">
        <v>0</v>
      </c>
      <c r="D14" s="20" t="inlineStr">
        <is>
          <t>EA</t>
        </is>
      </c>
      <c r="E14" s="29" t="n">
        <v>4.25</v>
      </c>
      <c r="F14" s="30">
        <f>C14*E14</f>
        <v/>
      </c>
      <c r="G14" s="22" t="n">
        <v>65</v>
      </c>
      <c r="H14" s="22">
        <f>F14*G14</f>
        <v/>
      </c>
    </row>
    <row r="15">
      <c r="A15" s="20" t="inlineStr">
        <is>
          <t>22 33 30</t>
        </is>
      </c>
      <c r="B15" s="15" t="inlineStr">
        <is>
          <t>Set electric water heater — 40 gal</t>
        </is>
      </c>
      <c r="C15" s="21" t="n">
        <v>0</v>
      </c>
      <c r="D15" s="20" t="inlineStr">
        <is>
          <t>EA</t>
        </is>
      </c>
      <c r="E15" s="29" t="n">
        <v>3.5</v>
      </c>
      <c r="F15" s="30">
        <f>C15*E15</f>
        <v/>
      </c>
      <c r="G15" s="22" t="n">
        <v>65</v>
      </c>
      <c r="H15" s="22">
        <f>F15*G15</f>
        <v/>
      </c>
    </row>
    <row r="16">
      <c r="A16" s="20" t="inlineStr">
        <is>
          <t>22 33 30</t>
        </is>
      </c>
      <c r="B16" s="15" t="inlineStr">
        <is>
          <t>Set electric water heater — 80 gal</t>
        </is>
      </c>
      <c r="C16" s="21" t="n">
        <v>0</v>
      </c>
      <c r="D16" s="20" t="inlineStr">
        <is>
          <t>EA</t>
        </is>
      </c>
      <c r="E16" s="29" t="n">
        <v>4.5</v>
      </c>
      <c r="F16" s="30">
        <f>C16*E16</f>
        <v/>
      </c>
      <c r="G16" s="22" t="n">
        <v>65</v>
      </c>
      <c r="H16" s="22">
        <f>F16*G16</f>
        <v/>
      </c>
    </row>
    <row r="17">
      <c r="A17" s="20" t="inlineStr">
        <is>
          <t>22 33 33</t>
        </is>
      </c>
      <c r="B17" s="15" t="inlineStr">
        <is>
          <t>Set gas water heater — 50 gal</t>
        </is>
      </c>
      <c r="C17" s="21" t="n">
        <v>0</v>
      </c>
      <c r="D17" s="20" t="inlineStr">
        <is>
          <t>EA</t>
        </is>
      </c>
      <c r="E17" s="29" t="n">
        <v>4.85</v>
      </c>
      <c r="F17" s="30">
        <f>C17*E17</f>
        <v/>
      </c>
      <c r="G17" s="22" t="n">
        <v>65</v>
      </c>
      <c r="H17" s="22">
        <f>F17*G17</f>
        <v/>
      </c>
    </row>
    <row r="18">
      <c r="A18" s="20" t="inlineStr">
        <is>
          <t>22 34 00</t>
        </is>
      </c>
      <c r="B18" s="15" t="inlineStr">
        <is>
          <t>Set tankless water heater</t>
        </is>
      </c>
      <c r="C18" s="21" t="n">
        <v>0</v>
      </c>
      <c r="D18" s="20" t="inlineStr">
        <is>
          <t>EA</t>
        </is>
      </c>
      <c r="E18" s="29" t="n">
        <v>5.5</v>
      </c>
      <c r="F18" s="30">
        <f>C18*E18</f>
        <v/>
      </c>
      <c r="G18" s="22" t="n">
        <v>65</v>
      </c>
      <c r="H18" s="22">
        <f>F18*G18</f>
        <v/>
      </c>
    </row>
    <row r="19">
      <c r="A19" s="20" t="inlineStr">
        <is>
          <t>22 11 00</t>
        </is>
      </c>
      <c r="B19" s="15" t="inlineStr">
        <is>
          <t>Install CPVC 1/2" - 1"</t>
        </is>
      </c>
      <c r="C19" s="21" t="n">
        <v>0</v>
      </c>
      <c r="D19" s="20" t="inlineStr">
        <is>
          <t>LF</t>
        </is>
      </c>
      <c r="E19" s="29" t="n">
        <v>0.18</v>
      </c>
      <c r="F19" s="30">
        <f>C19*E19</f>
        <v/>
      </c>
      <c r="G19" s="22" t="n">
        <v>65</v>
      </c>
      <c r="H19" s="22">
        <f>F19*G19</f>
        <v/>
      </c>
    </row>
    <row r="20">
      <c r="A20" s="20" t="inlineStr">
        <is>
          <t>22 11 00</t>
        </is>
      </c>
      <c r="B20" s="15" t="inlineStr">
        <is>
          <t>Install CPVC 1-1/2" - 2"</t>
        </is>
      </c>
      <c r="C20" s="21" t="n">
        <v>0</v>
      </c>
      <c r="D20" s="20" t="inlineStr">
        <is>
          <t>LF</t>
        </is>
      </c>
      <c r="E20" s="29" t="n">
        <v>0.28</v>
      </c>
      <c r="F20" s="30">
        <f>C20*E20</f>
        <v/>
      </c>
      <c r="G20" s="22" t="n">
        <v>65</v>
      </c>
      <c r="H20" s="22">
        <f>F20*G20</f>
        <v/>
      </c>
    </row>
    <row r="21">
      <c r="A21" s="20" t="inlineStr">
        <is>
          <t>22 11 00</t>
        </is>
      </c>
      <c r="B21" s="15" t="inlineStr">
        <is>
          <t>Install PEX 1/2" - 3/4"</t>
        </is>
      </c>
      <c r="C21" s="21" t="n">
        <v>0</v>
      </c>
      <c r="D21" s="20" t="inlineStr">
        <is>
          <t>LF</t>
        </is>
      </c>
      <c r="E21" s="29" t="n">
        <v>0.12</v>
      </c>
      <c r="F21" s="30">
        <f>C21*E21</f>
        <v/>
      </c>
      <c r="G21" s="22" t="n">
        <v>65</v>
      </c>
      <c r="H21" s="22">
        <f>F21*G21</f>
        <v/>
      </c>
    </row>
    <row r="22">
      <c r="A22" s="20" t="inlineStr">
        <is>
          <t>22 11 00</t>
        </is>
      </c>
      <c r="B22" s="15" t="inlineStr">
        <is>
          <t>Install copper Type L 1/2" - 1"</t>
        </is>
      </c>
      <c r="C22" s="21" t="n">
        <v>0</v>
      </c>
      <c r="D22" s="20" t="inlineStr">
        <is>
          <t>LF</t>
        </is>
      </c>
      <c r="E22" s="29" t="n">
        <v>0.32</v>
      </c>
      <c r="F22" s="30">
        <f>C22*E22</f>
        <v/>
      </c>
      <c r="G22" s="22" t="n">
        <v>65</v>
      </c>
      <c r="H22" s="22">
        <f>F22*G22</f>
        <v/>
      </c>
    </row>
    <row r="23">
      <c r="A23" s="20" t="inlineStr">
        <is>
          <t>22 11 00</t>
        </is>
      </c>
      <c r="B23" s="15" t="inlineStr">
        <is>
          <t>Install copper Type L 1-1/2" - 2"</t>
        </is>
      </c>
      <c r="C23" s="21" t="n">
        <v>0</v>
      </c>
      <c r="D23" s="20" t="inlineStr">
        <is>
          <t>LF</t>
        </is>
      </c>
      <c r="E23" s="29" t="n">
        <v>0.48</v>
      </c>
      <c r="F23" s="30">
        <f>C23*E23</f>
        <v/>
      </c>
      <c r="G23" s="22" t="n">
        <v>65</v>
      </c>
      <c r="H23" s="22">
        <f>F23*G23</f>
        <v/>
      </c>
    </row>
    <row r="24">
      <c r="A24" s="20" t="inlineStr">
        <is>
          <t>22 13 16</t>
        </is>
      </c>
      <c r="B24" s="15" t="inlineStr">
        <is>
          <t>Install PVC DWV 2" - 3"</t>
        </is>
      </c>
      <c r="C24" s="21" t="n">
        <v>0</v>
      </c>
      <c r="D24" s="20" t="inlineStr">
        <is>
          <t>LF</t>
        </is>
      </c>
      <c r="E24" s="29" t="n">
        <v>0.22</v>
      </c>
      <c r="F24" s="30">
        <f>C24*E24</f>
        <v/>
      </c>
      <c r="G24" s="22" t="n">
        <v>65</v>
      </c>
      <c r="H24" s="22">
        <f>F24*G24</f>
        <v/>
      </c>
    </row>
    <row r="25">
      <c r="A25" s="20" t="inlineStr">
        <is>
          <t>22 13 16</t>
        </is>
      </c>
      <c r="B25" s="15" t="inlineStr">
        <is>
          <t>Install PVC DWV 4" - 6"</t>
        </is>
      </c>
      <c r="C25" s="21" t="n">
        <v>0</v>
      </c>
      <c r="D25" s="20" t="inlineStr">
        <is>
          <t>LF</t>
        </is>
      </c>
      <c r="E25" s="29" t="n">
        <v>0.38</v>
      </c>
      <c r="F25" s="30">
        <f>C25*E25</f>
        <v/>
      </c>
      <c r="G25" s="22" t="n">
        <v>65</v>
      </c>
      <c r="H25" s="22">
        <f>F25*G25</f>
        <v/>
      </c>
    </row>
    <row r="26">
      <c r="A26" s="20" t="inlineStr">
        <is>
          <t>22 13 16</t>
        </is>
      </c>
      <c r="B26" s="15" t="inlineStr">
        <is>
          <t>Install cast iron DWV 4" no-hub</t>
        </is>
      </c>
      <c r="C26" s="21" t="n">
        <v>0</v>
      </c>
      <c r="D26" s="20" t="inlineStr">
        <is>
          <t>LF</t>
        </is>
      </c>
      <c r="E26" s="29" t="n">
        <v>0.65</v>
      </c>
      <c r="F26" s="30">
        <f>C26*E26</f>
        <v/>
      </c>
      <c r="G26" s="22" t="n">
        <v>65</v>
      </c>
      <c r="H26" s="22">
        <f>F26*G26</f>
        <v/>
      </c>
    </row>
    <row r="27">
      <c r="A27" s="20" t="inlineStr">
        <is>
          <t>22 13 16</t>
        </is>
      </c>
      <c r="B27" s="15" t="inlineStr">
        <is>
          <t>Install cast iron DWV 6" no-hub</t>
        </is>
      </c>
      <c r="C27" s="21" t="n">
        <v>0</v>
      </c>
      <c r="D27" s="20" t="inlineStr">
        <is>
          <t>LF</t>
        </is>
      </c>
      <c r="E27" s="29" t="n">
        <v>0.92</v>
      </c>
      <c r="F27" s="30">
        <f>C27*E27</f>
        <v/>
      </c>
      <c r="G27" s="22" t="n">
        <v>65</v>
      </c>
      <c r="H27" s="22">
        <f>F27*G27</f>
        <v/>
      </c>
    </row>
    <row r="28">
      <c r="A28" s="20" t="inlineStr">
        <is>
          <t>22 14 13</t>
        </is>
      </c>
      <c r="B28" s="15" t="inlineStr">
        <is>
          <t>Install storm 4" - 6"</t>
        </is>
      </c>
      <c r="C28" s="21" t="n">
        <v>0</v>
      </c>
      <c r="D28" s="20" t="inlineStr">
        <is>
          <t>LF</t>
        </is>
      </c>
      <c r="E28" s="29" t="n">
        <v>0.42</v>
      </c>
      <c r="F28" s="30">
        <f>C28*E28</f>
        <v/>
      </c>
      <c r="G28" s="22" t="n">
        <v>65</v>
      </c>
      <c r="H28" s="22">
        <f>F28*G28</f>
        <v/>
      </c>
    </row>
    <row r="29">
      <c r="A29" s="20" t="inlineStr">
        <is>
          <t>22 14 13</t>
        </is>
      </c>
      <c r="B29" s="15" t="inlineStr">
        <is>
          <t>Install storm 8"</t>
        </is>
      </c>
      <c r="C29" s="21" t="n">
        <v>0</v>
      </c>
      <c r="D29" s="20" t="inlineStr">
        <is>
          <t>LF</t>
        </is>
      </c>
      <c r="E29" s="29" t="n">
        <v>0.68</v>
      </c>
      <c r="F29" s="30">
        <f>C29*E29</f>
        <v/>
      </c>
      <c r="G29" s="22" t="n">
        <v>65</v>
      </c>
      <c r="H29" s="22">
        <f>F29*G29</f>
        <v/>
      </c>
    </row>
    <row r="30">
      <c r="A30" s="20" t="inlineStr">
        <is>
          <t>22 13 19</t>
        </is>
      </c>
      <c r="B30" s="15" t="inlineStr">
        <is>
          <t>Set floor drain w/ trap primer</t>
        </is>
      </c>
      <c r="C30" s="21" t="n">
        <v>0</v>
      </c>
      <c r="D30" s="20" t="inlineStr">
        <is>
          <t>EA</t>
        </is>
      </c>
      <c r="E30" s="29" t="n">
        <v>1.2</v>
      </c>
      <c r="F30" s="30">
        <f>C30*E30</f>
        <v/>
      </c>
      <c r="G30" s="22" t="n">
        <v>65</v>
      </c>
      <c r="H30" s="22">
        <f>F30*G30</f>
        <v/>
      </c>
    </row>
    <row r="31">
      <c r="A31" s="20" t="inlineStr">
        <is>
          <t>22 13 19</t>
        </is>
      </c>
      <c r="B31" s="15" t="inlineStr">
        <is>
          <t>Set roof drain w/ overflow</t>
        </is>
      </c>
      <c r="C31" s="21" t="n">
        <v>0</v>
      </c>
      <c r="D31" s="20" t="inlineStr">
        <is>
          <t>EA</t>
        </is>
      </c>
      <c r="E31" s="29" t="n">
        <v>2.2</v>
      </c>
      <c r="F31" s="30">
        <f>C31*E31</f>
        <v/>
      </c>
      <c r="G31" s="22" t="n">
        <v>65</v>
      </c>
      <c r="H31" s="22">
        <f>F31*G31</f>
        <v/>
      </c>
    </row>
    <row r="32">
      <c r="A32" s="20" t="inlineStr">
        <is>
          <t>22 13 19</t>
        </is>
      </c>
      <c r="B32" s="15" t="inlineStr">
        <is>
          <t>Set cleanout — wall or floor</t>
        </is>
      </c>
      <c r="C32" s="21" t="n">
        <v>0</v>
      </c>
      <c r="D32" s="20" t="inlineStr">
        <is>
          <t>EA</t>
        </is>
      </c>
      <c r="E32" s="29" t="n">
        <v>0.85</v>
      </c>
      <c r="F32" s="30">
        <f>C32*E32</f>
        <v/>
      </c>
      <c r="G32" s="22" t="n">
        <v>65</v>
      </c>
      <c r="H32" s="22">
        <f>F32*G32</f>
        <v/>
      </c>
    </row>
    <row r="33">
      <c r="A33" s="20" t="inlineStr">
        <is>
          <t>22 13 23</t>
        </is>
      </c>
      <c r="B33" s="15" t="inlineStr">
        <is>
          <t>Set grease interceptor — 50/75 GPM</t>
        </is>
      </c>
      <c r="C33" s="21" t="n">
        <v>0</v>
      </c>
      <c r="D33" s="20" t="inlineStr">
        <is>
          <t>EA</t>
        </is>
      </c>
      <c r="E33" s="29" t="n">
        <v>6.5</v>
      </c>
      <c r="F33" s="30">
        <f>C33*E33</f>
        <v/>
      </c>
      <c r="G33" s="22" t="n">
        <v>65</v>
      </c>
      <c r="H33" s="22">
        <f>F33*G33</f>
        <v/>
      </c>
    </row>
    <row r="34">
      <c r="A34" s="20" t="inlineStr">
        <is>
          <t>22 67 00</t>
        </is>
      </c>
      <c r="B34" s="15" t="inlineStr">
        <is>
          <t>Install black iron gas 1" - 1-1/2"</t>
        </is>
      </c>
      <c r="C34" s="21" t="n">
        <v>0</v>
      </c>
      <c r="D34" s="20" t="inlineStr">
        <is>
          <t>LF</t>
        </is>
      </c>
      <c r="E34" s="29" t="n">
        <v>0.35</v>
      </c>
      <c r="F34" s="30">
        <f>C34*E34</f>
        <v/>
      </c>
      <c r="G34" s="22" t="n">
        <v>70</v>
      </c>
      <c r="H34" s="22">
        <f>F34*G34</f>
        <v/>
      </c>
    </row>
    <row r="35">
      <c r="A35" s="20" t="inlineStr">
        <is>
          <t>22 67 00</t>
        </is>
      </c>
      <c r="B35" s="15" t="inlineStr">
        <is>
          <t>Install black iron gas 2"</t>
        </is>
      </c>
      <c r="C35" s="21" t="n">
        <v>0</v>
      </c>
      <c r="D35" s="20" t="inlineStr">
        <is>
          <t>LF</t>
        </is>
      </c>
      <c r="E35" s="29" t="n">
        <v>0.52</v>
      </c>
      <c r="F35" s="30">
        <f>C35*E35</f>
        <v/>
      </c>
      <c r="G35" s="22" t="n">
        <v>70</v>
      </c>
      <c r="H35" s="22">
        <f>F35*G35</f>
        <v/>
      </c>
    </row>
    <row r="36">
      <c r="A36" s="20" t="inlineStr">
        <is>
          <t>22 67 00</t>
        </is>
      </c>
      <c r="B36" s="15" t="inlineStr">
        <is>
          <t>Install CSST gas 3/4"</t>
        </is>
      </c>
      <c r="C36" s="21" t="n">
        <v>0</v>
      </c>
      <c r="D36" s="20" t="inlineStr">
        <is>
          <t>LF</t>
        </is>
      </c>
      <c r="E36" s="29" t="n">
        <v>0.18</v>
      </c>
      <c r="F36" s="30">
        <f>C36*E36</f>
        <v/>
      </c>
      <c r="G36" s="22" t="n">
        <v>70</v>
      </c>
      <c r="H36" s="22">
        <f>F36*G36</f>
        <v/>
      </c>
    </row>
    <row r="37">
      <c r="A37" s="20" t="inlineStr">
        <is>
          <t>22 67 00</t>
        </is>
      </c>
      <c r="B37" s="15" t="inlineStr">
        <is>
          <t>Set gas regulator / shutoff</t>
        </is>
      </c>
      <c r="C37" s="21" t="n">
        <v>0</v>
      </c>
      <c r="D37" s="20" t="inlineStr">
        <is>
          <t>EA</t>
        </is>
      </c>
      <c r="E37" s="29" t="n">
        <v>0.95</v>
      </c>
      <c r="F37" s="30">
        <f>C37*E37</f>
        <v/>
      </c>
      <c r="G37" s="22" t="n">
        <v>70</v>
      </c>
      <c r="H37" s="22">
        <f>F37*G37</f>
        <v/>
      </c>
    </row>
    <row r="38">
      <c r="A38" s="20" t="inlineStr">
        <is>
          <t>22 11 00</t>
        </is>
      </c>
      <c r="B38" s="15" t="inlineStr">
        <is>
          <t>Install + test backflow preventer (RPZ)</t>
        </is>
      </c>
      <c r="C38" s="21" t="n">
        <v>0</v>
      </c>
      <c r="D38" s="20" t="inlineStr">
        <is>
          <t>EA</t>
        </is>
      </c>
      <c r="E38" s="29" t="n">
        <v>4.5</v>
      </c>
      <c r="F38" s="30">
        <f>C38*E38</f>
        <v/>
      </c>
      <c r="G38" s="22" t="n">
        <v>65</v>
      </c>
      <c r="H38" s="22">
        <f>F38*G38</f>
        <v/>
      </c>
    </row>
    <row r="39">
      <c r="A39" s="20" t="inlineStr">
        <is>
          <t>22 11 00</t>
        </is>
      </c>
      <c r="B39" s="15" t="inlineStr">
        <is>
          <t>Install + test backflow preventer (DCV)</t>
        </is>
      </c>
      <c r="C39" s="21" t="n">
        <v>0</v>
      </c>
      <c r="D39" s="20" t="inlineStr">
        <is>
          <t>EA</t>
        </is>
      </c>
      <c r="E39" s="29" t="n">
        <v>2.85</v>
      </c>
      <c r="F39" s="30">
        <f>C39*E39</f>
        <v/>
      </c>
      <c r="G39" s="22" t="n">
        <v>65</v>
      </c>
      <c r="H39" s="22">
        <f>F39*G39</f>
        <v/>
      </c>
    </row>
    <row r="40">
      <c r="A40" s="20" t="inlineStr">
        <is>
          <t>22 07 00</t>
        </is>
      </c>
      <c r="B40" s="15" t="inlineStr">
        <is>
          <t>Insulate pipe 1/2" - 1"</t>
        </is>
      </c>
      <c r="C40" s="21" t="n">
        <v>0</v>
      </c>
      <c r="D40" s="20" t="inlineStr">
        <is>
          <t>LF</t>
        </is>
      </c>
      <c r="E40" s="29" t="n">
        <v>0.08</v>
      </c>
      <c r="F40" s="30">
        <f>C40*E40</f>
        <v/>
      </c>
      <c r="G40" s="22" t="n">
        <v>55</v>
      </c>
      <c r="H40" s="22">
        <f>F40*G40</f>
        <v/>
      </c>
    </row>
    <row r="41">
      <c r="A41" s="20" t="inlineStr">
        <is>
          <t>22 07 00</t>
        </is>
      </c>
      <c r="B41" s="15" t="inlineStr">
        <is>
          <t>Insulate pipe 1-1/2" - 2"</t>
        </is>
      </c>
      <c r="C41" s="21" t="n">
        <v>0</v>
      </c>
      <c r="D41" s="20" t="inlineStr">
        <is>
          <t>LF</t>
        </is>
      </c>
      <c r="E41" s="29" t="n">
        <v>0.12</v>
      </c>
      <c r="F41" s="30">
        <f>C41*E41</f>
        <v/>
      </c>
      <c r="G41" s="22" t="n">
        <v>55</v>
      </c>
      <c r="H41" s="22">
        <f>F41*G41</f>
        <v/>
      </c>
    </row>
    <row r="42">
      <c r="A42" s="20" t="inlineStr">
        <is>
          <t>22 05 29</t>
        </is>
      </c>
      <c r="B42" s="15" t="inlineStr">
        <is>
          <t>Install hangers + trapeze</t>
        </is>
      </c>
      <c r="C42" s="21" t="n">
        <v>0</v>
      </c>
      <c r="D42" s="20" t="inlineStr">
        <is>
          <t>EA</t>
        </is>
      </c>
      <c r="E42" s="29" t="n">
        <v>0.38</v>
      </c>
      <c r="F42" s="30">
        <f>C42*E42</f>
        <v/>
      </c>
      <c r="G42" s="22" t="n">
        <v>65</v>
      </c>
      <c r="H42" s="22">
        <f>F42*G42</f>
        <v/>
      </c>
    </row>
    <row r="43">
      <c r="A43" s="20" t="inlineStr">
        <is>
          <t>22 05 19</t>
        </is>
      </c>
      <c r="B43" s="15" t="inlineStr">
        <is>
          <t>Cut + sleeve through wall</t>
        </is>
      </c>
      <c r="C43" s="21" t="n">
        <v>0</v>
      </c>
      <c r="D43" s="20" t="inlineStr">
        <is>
          <t>EA</t>
        </is>
      </c>
      <c r="E43" s="29" t="n">
        <v>0.45</v>
      </c>
      <c r="F43" s="30">
        <f>C43*E43</f>
        <v/>
      </c>
      <c r="G43" s="22" t="n">
        <v>65</v>
      </c>
      <c r="H43" s="22">
        <f>F43*G43</f>
        <v/>
      </c>
    </row>
    <row r="44">
      <c r="A44" s="20" t="inlineStr">
        <is>
          <t>22 05 19</t>
        </is>
      </c>
      <c r="B44" s="15" t="inlineStr">
        <is>
          <t>Install firestop assembly</t>
        </is>
      </c>
      <c r="C44" s="21" t="n">
        <v>0</v>
      </c>
      <c r="D44" s="20" t="inlineStr">
        <is>
          <t>EA</t>
        </is>
      </c>
      <c r="E44" s="29" t="n">
        <v>0.65</v>
      </c>
      <c r="F44" s="30">
        <f>C44*E44</f>
        <v/>
      </c>
      <c r="G44" s="22" t="n">
        <v>65</v>
      </c>
      <c r="H44" s="22">
        <f>F44*G44</f>
        <v/>
      </c>
    </row>
    <row r="45">
      <c r="A45" s="20" t="inlineStr">
        <is>
          <t>22 08 00</t>
        </is>
      </c>
      <c r="B45" s="15" t="inlineStr">
        <is>
          <t>Test + chlorinate domestic water</t>
        </is>
      </c>
      <c r="C45" s="21" t="n">
        <v>0</v>
      </c>
      <c r="D45" s="20" t="inlineStr">
        <is>
          <t>LS</t>
        </is>
      </c>
      <c r="E45" s="29" t="n">
        <v>12</v>
      </c>
      <c r="F45" s="30">
        <f>C45*E45</f>
        <v/>
      </c>
      <c r="G45" s="22" t="n">
        <v>65</v>
      </c>
      <c r="H45" s="22">
        <f>F45*G45</f>
        <v/>
      </c>
    </row>
    <row r="46">
      <c r="A46" s="20" t="inlineStr">
        <is>
          <t>22 08 00</t>
        </is>
      </c>
      <c r="B46" s="15" t="inlineStr">
        <is>
          <t>Hydrostatic test DWV</t>
        </is>
      </c>
      <c r="C46" s="21" t="n">
        <v>0</v>
      </c>
      <c r="D46" s="20" t="inlineStr">
        <is>
          <t>LS</t>
        </is>
      </c>
      <c r="E46" s="29" t="n">
        <v>9</v>
      </c>
      <c r="F46" s="30">
        <f>C46*E46</f>
        <v/>
      </c>
      <c r="G46" s="22" t="n">
        <v>65</v>
      </c>
      <c r="H46" s="22">
        <f>F46*G46</f>
        <v/>
      </c>
    </row>
    <row r="47">
      <c r="A47" s="20" t="inlineStr">
        <is>
          <t>22 08 00</t>
        </is>
      </c>
      <c r="B47" s="15" t="inlineStr">
        <is>
          <t>Gas pressure test</t>
        </is>
      </c>
      <c r="C47" s="21" t="n">
        <v>0</v>
      </c>
      <c r="D47" s="20" t="inlineStr">
        <is>
          <t>LS</t>
        </is>
      </c>
      <c r="E47" s="29" t="n">
        <v>8</v>
      </c>
      <c r="F47" s="30">
        <f>C47*E47</f>
        <v/>
      </c>
      <c r="G47" s="22" t="n">
        <v>70</v>
      </c>
      <c r="H47" s="22">
        <f>F47*G47</f>
        <v/>
      </c>
    </row>
    <row r="49">
      <c r="G49" s="23" t="inlineStr">
        <is>
          <t>Productivity factor (1.0=avg)</t>
        </is>
      </c>
      <c r="H49" s="31" t="n">
        <v>1</v>
      </c>
    </row>
    <row r="50">
      <c r="G50" s="23" t="inlineStr">
        <is>
          <t>Labor Subtotal</t>
        </is>
      </c>
      <c r="H50" s="28">
        <f>SUM(H4:H47)*H49</f>
        <v/>
      </c>
    </row>
    <row r="51">
      <c r="A51" s="9" t="inlineStr">
        <is>
          <t>Productivity defaults assume average commercial conditions with reasonable access and standard sequencing. Increase the productivity factor for difficult work (occupied buildings, extensive demolition, hazmat). Decrease for repetitive prefab or unobstructed greenfield. Calibrate against your own historical job-cost data.</t>
        </is>
      </c>
    </row>
  </sheetData>
  <mergeCells count="2">
    <mergeCell ref="A51:H5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42" customWidth="1" min="1" max="1"/>
    <col width="14" customWidth="1" min="2" max="2"/>
    <col width="14" customWidth="1" min="3" max="3"/>
    <col width="12" customWidth="1" min="4" max="4"/>
    <col width="16" customWidth="1" min="5" max="5"/>
    <col width="18" customWidth="1" min="6" max="6"/>
  </cols>
  <sheetData>
    <row r="1">
      <c r="A1" s="1" t="inlineStr">
        <is>
          <t>EQUIPMENT ESTIMATE</t>
        </is>
      </c>
    </row>
    <row r="3" ht="26" customHeight="1">
      <c r="A3" s="11" t="inlineStr">
        <is>
          <t>Equipment</t>
        </is>
      </c>
      <c r="B3" s="11" t="inlineStr">
        <is>
          <t>Days</t>
        </is>
      </c>
      <c r="C3" s="11" t="inlineStr">
        <is>
          <t>Daily Rate ($)</t>
        </is>
      </c>
      <c r="D3" s="11" t="inlineStr">
        <is>
          <t>Weeks</t>
        </is>
      </c>
      <c r="E3" s="11" t="inlineStr">
        <is>
          <t>Weekly Rate ($)</t>
        </is>
      </c>
      <c r="F3" s="11" t="inlineStr">
        <is>
          <t>Subtotal ($)</t>
        </is>
      </c>
    </row>
    <row r="4">
      <c r="A4" s="15" t="inlineStr">
        <is>
          <t>Threading machine — 1/2" - 2"</t>
        </is>
      </c>
      <c r="B4" s="21" t="n">
        <v>0</v>
      </c>
      <c r="C4" s="22" t="n">
        <v>145</v>
      </c>
      <c r="D4" s="21" t="n">
        <v>0</v>
      </c>
      <c r="E4" s="22" t="n">
        <v>525</v>
      </c>
      <c r="F4" s="22">
        <f>(B4*C4)+(D4*E4)</f>
        <v/>
      </c>
    </row>
    <row r="5">
      <c r="A5" s="15" t="inlineStr">
        <is>
          <t>Threading machine — 2-1/2" - 4"</t>
        </is>
      </c>
      <c r="B5" s="21" t="n">
        <v>0</v>
      </c>
      <c r="C5" s="22" t="n">
        <v>285</v>
      </c>
      <c r="D5" s="21" t="n">
        <v>0</v>
      </c>
      <c r="E5" s="22" t="n">
        <v>985</v>
      </c>
      <c r="F5" s="22">
        <f>(B5*C5)+(D5*E5)</f>
        <v/>
      </c>
    </row>
    <row r="6">
      <c r="A6" s="15" t="inlineStr">
        <is>
          <t>Press tool — ProPress copper</t>
        </is>
      </c>
      <c r="B6" s="21" t="n">
        <v>0</v>
      </c>
      <c r="C6" s="22" t="n">
        <v>95</v>
      </c>
      <c r="D6" s="21" t="n">
        <v>0</v>
      </c>
      <c r="E6" s="22" t="n">
        <v>285</v>
      </c>
      <c r="F6" s="22">
        <f>(B6*C6)+(D6*E6)</f>
        <v/>
      </c>
    </row>
    <row r="7">
      <c r="A7" s="15" t="inlineStr">
        <is>
          <t>PEX expansion tool</t>
        </is>
      </c>
      <c r="B7" s="21" t="n">
        <v>0</v>
      </c>
      <c r="C7" s="22" t="n">
        <v>65</v>
      </c>
      <c r="D7" s="21" t="n">
        <v>0</v>
      </c>
      <c r="E7" s="22" t="n">
        <v>195</v>
      </c>
      <c r="F7" s="22">
        <f>(B7*C7)+(D7*E7)</f>
        <v/>
      </c>
    </row>
    <row r="8">
      <c r="A8" s="15" t="inlineStr">
        <is>
          <t>Fusion welder — HDPE</t>
        </is>
      </c>
      <c r="B8" s="21" t="n">
        <v>0</v>
      </c>
      <c r="C8" s="22" t="n">
        <v>425</v>
      </c>
      <c r="D8" s="21" t="n">
        <v>0</v>
      </c>
      <c r="E8" s="22" t="n">
        <v>1450</v>
      </c>
      <c r="F8" s="22">
        <f>(B8*C8)+(D8*E8)</f>
        <v/>
      </c>
    </row>
    <row r="9">
      <c r="A9" s="15" t="inlineStr">
        <is>
          <t>Pipe-bending machine — conduit/CSST</t>
        </is>
      </c>
      <c r="B9" s="21" t="n">
        <v>0</v>
      </c>
      <c r="C9" s="22" t="n">
        <v>85</v>
      </c>
      <c r="D9" s="21" t="n">
        <v>0</v>
      </c>
      <c r="E9" s="22" t="n">
        <v>245</v>
      </c>
      <c r="F9" s="22">
        <f>(B9*C9)+(D9*E9)</f>
        <v/>
      </c>
    </row>
    <row r="10">
      <c r="A10" s="15" t="inlineStr">
        <is>
          <t>Scissor lift — 19'</t>
        </is>
      </c>
      <c r="B10" s="21" t="n">
        <v>0</v>
      </c>
      <c r="C10" s="22" t="n">
        <v>145</v>
      </c>
      <c r="D10" s="21" t="n">
        <v>0</v>
      </c>
      <c r="E10" s="22" t="n">
        <v>485</v>
      </c>
      <c r="F10" s="22">
        <f>(B10*C10)+(D10*E10)</f>
        <v/>
      </c>
    </row>
    <row r="11">
      <c r="A11" s="15" t="inlineStr">
        <is>
          <t>Boom lift — 45'</t>
        </is>
      </c>
      <c r="B11" s="21" t="n">
        <v>0</v>
      </c>
      <c r="C11" s="22" t="n">
        <v>425</v>
      </c>
      <c r="D11" s="21" t="n">
        <v>0</v>
      </c>
      <c r="E11" s="22" t="n">
        <v>1485</v>
      </c>
      <c r="F11" s="22">
        <f>(B11*C11)+(D11*E11)</f>
        <v/>
      </c>
    </row>
    <row r="12">
      <c r="A12" s="15" t="inlineStr">
        <is>
          <t>Genie / personnel lift — 20'</t>
        </is>
      </c>
      <c r="B12" s="21" t="n">
        <v>0</v>
      </c>
      <c r="C12" s="22" t="n">
        <v>85</v>
      </c>
      <c r="D12" s="21" t="n">
        <v>0</v>
      </c>
      <c r="E12" s="22" t="n">
        <v>285</v>
      </c>
      <c r="F12" s="22">
        <f>(B12*C12)+(D12*E12)</f>
        <v/>
      </c>
    </row>
    <row r="13">
      <c r="A13" s="15" t="inlineStr">
        <is>
          <t>Test pump — hydrostatic</t>
        </is>
      </c>
      <c r="B13" s="21" t="n">
        <v>0</v>
      </c>
      <c r="C13" s="22" t="n">
        <v>55</v>
      </c>
      <c r="D13" s="21" t="n">
        <v>0</v>
      </c>
      <c r="E13" s="22" t="n">
        <v>165</v>
      </c>
      <c r="F13" s="22">
        <f>(B13*C13)+(D13*E13)</f>
        <v/>
      </c>
    </row>
    <row r="14">
      <c r="A14" s="15" t="inlineStr">
        <is>
          <t>Drain camera — push</t>
        </is>
      </c>
      <c r="B14" s="21" t="n">
        <v>0</v>
      </c>
      <c r="C14" s="22" t="n">
        <v>95</v>
      </c>
      <c r="D14" s="21" t="n">
        <v>0</v>
      </c>
      <c r="E14" s="22" t="n">
        <v>325</v>
      </c>
      <c r="F14" s="22">
        <f>(B14*C14)+(D14*E14)</f>
        <v/>
      </c>
    </row>
    <row r="15">
      <c r="A15" s="15" t="inlineStr">
        <is>
          <t>Trencher / mini-excavator</t>
        </is>
      </c>
      <c r="B15" s="21" t="n">
        <v>0</v>
      </c>
      <c r="C15" s="22" t="n">
        <v>385</v>
      </c>
      <c r="D15" s="21" t="n">
        <v>0</v>
      </c>
      <c r="E15" s="22" t="n">
        <v>1450</v>
      </c>
      <c r="F15" s="22">
        <f>(B15*C15)+(D15*E15)</f>
        <v/>
      </c>
    </row>
    <row r="16">
      <c r="A16" s="15" t="inlineStr">
        <is>
          <t>Concrete saw + core drill</t>
        </is>
      </c>
      <c r="B16" s="21" t="n">
        <v>0</v>
      </c>
      <c r="C16" s="22" t="n">
        <v>145</v>
      </c>
      <c r="D16" s="21" t="n">
        <v>0</v>
      </c>
      <c r="E16" s="22" t="n">
        <v>525</v>
      </c>
      <c r="F16" s="22">
        <f>(B16*C16)+(D16*E16)</f>
        <v/>
      </c>
    </row>
    <row r="17">
      <c r="A17" s="15" t="inlineStr">
        <is>
          <t>HEPA vacuum — dust control</t>
        </is>
      </c>
      <c r="B17" s="21" t="n">
        <v>0</v>
      </c>
      <c r="C17" s="22" t="n">
        <v>45</v>
      </c>
      <c r="D17" s="21" t="n">
        <v>0</v>
      </c>
      <c r="E17" s="22" t="n">
        <v>145</v>
      </c>
      <c r="F17" s="22">
        <f>(B17*C17)+(D17*E17)</f>
        <v/>
      </c>
    </row>
    <row r="18">
      <c r="A18" s="15" t="inlineStr">
        <is>
          <t>Generator — 5kW portable</t>
        </is>
      </c>
      <c r="B18" s="21" t="n">
        <v>0</v>
      </c>
      <c r="C18" s="22" t="n">
        <v>65</v>
      </c>
      <c r="D18" s="21" t="n">
        <v>0</v>
      </c>
      <c r="E18" s="22" t="n">
        <v>195</v>
      </c>
      <c r="F18" s="22">
        <f>(B18*C18)+(D18*E18)</f>
        <v/>
      </c>
    </row>
    <row r="19">
      <c r="A19" s="15" t="inlineStr">
        <is>
          <t>Office trailer (allocation)</t>
        </is>
      </c>
      <c r="B19" s="21" t="n">
        <v>0</v>
      </c>
      <c r="C19" s="22" t="n">
        <v>0</v>
      </c>
      <c r="D19" s="21" t="n">
        <v>0</v>
      </c>
      <c r="E19" s="22" t="n">
        <v>285</v>
      </c>
      <c r="F19" s="22">
        <f>(B19*C19)+(D19*E19)</f>
        <v/>
      </c>
    </row>
    <row r="20">
      <c r="A20" s="15" t="inlineStr">
        <is>
          <t>Truck / van allocation</t>
        </is>
      </c>
      <c r="B20" s="21" t="n">
        <v>0</v>
      </c>
      <c r="C20" s="22" t="n">
        <v>0</v>
      </c>
      <c r="D20" s="21" t="n">
        <v>0</v>
      </c>
      <c r="E20" s="22" t="n">
        <v>425</v>
      </c>
      <c r="F20" s="22">
        <f>(B20*C20)+(D20*E20)</f>
        <v/>
      </c>
    </row>
    <row r="22">
      <c r="E22" s="23" t="inlineStr">
        <is>
          <t>Equipment Subtotal</t>
        </is>
      </c>
      <c r="F22" s="28">
        <f>SUM(F4:F20)</f>
        <v/>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2" customWidth="1" min="1" max="1"/>
    <col width="18" customWidth="1" min="2" max="2"/>
    <col width="18" customWidth="1" min="3" max="3"/>
    <col width="16" customWidth="1" min="4" max="4"/>
    <col width="18" customWidth="1" min="5" max="5"/>
  </cols>
  <sheetData>
    <row r="1">
      <c r="A1" s="1" t="inlineStr">
        <is>
          <t>SUBCONTRACT ESTIMATE</t>
        </is>
      </c>
    </row>
    <row r="3" ht="26" customHeight="1">
      <c r="A3" s="11" t="inlineStr">
        <is>
          <t>Scope (if subbed)</t>
        </is>
      </c>
      <c r="B3" s="11" t="inlineStr">
        <is>
          <t>Vendor / Quote</t>
        </is>
      </c>
      <c r="C3" s="11" t="inlineStr">
        <is>
          <t>Quote $</t>
        </is>
      </c>
      <c r="D3" s="11" t="inlineStr">
        <is>
          <t>Markup %</t>
        </is>
      </c>
      <c r="E3" s="11" t="inlineStr">
        <is>
          <t>Subtotal ($)</t>
        </is>
      </c>
    </row>
    <row r="4">
      <c r="A4" s="15" t="inlineStr">
        <is>
          <t>Pipe insulation — performance-spec</t>
        </is>
      </c>
      <c r="B4" s="15" t="inlineStr"/>
      <c r="C4" s="22" t="n">
        <v>0</v>
      </c>
      <c r="D4" s="32" t="n">
        <v>0.1</v>
      </c>
      <c r="E4" s="22">
        <f>C4*(1+D4)</f>
        <v/>
      </c>
    </row>
    <row r="5">
      <c r="A5" s="15" t="inlineStr">
        <is>
          <t>Excavation / backfill (deep utilities)</t>
        </is>
      </c>
      <c r="B5" s="15" t="inlineStr"/>
      <c r="C5" s="22" t="n">
        <v>0</v>
      </c>
      <c r="D5" s="32" t="n">
        <v>0.1</v>
      </c>
      <c r="E5" s="22">
        <f>C5*(1+D5)</f>
        <v/>
      </c>
    </row>
    <row r="6">
      <c r="A6" s="15" t="inlineStr">
        <is>
          <t>Site utility tie-ins</t>
        </is>
      </c>
      <c r="B6" s="15" t="inlineStr"/>
      <c r="C6" s="22" t="n">
        <v>0</v>
      </c>
      <c r="D6" s="32" t="n">
        <v>0.1</v>
      </c>
      <c r="E6" s="22">
        <f>C6*(1+D6)</f>
        <v/>
      </c>
    </row>
    <row r="7">
      <c r="A7" s="15" t="inlineStr">
        <is>
          <t>Medical gas certification</t>
        </is>
      </c>
      <c r="B7" s="15" t="inlineStr"/>
      <c r="C7" s="22" t="n">
        <v>0</v>
      </c>
      <c r="D7" s="32" t="n">
        <v>0.1</v>
      </c>
      <c r="E7" s="22">
        <f>C7*(1+D7)</f>
        <v/>
      </c>
    </row>
    <row r="8">
      <c r="A8" s="15" t="inlineStr">
        <is>
          <t>Fire-stop installer (specialty)</t>
        </is>
      </c>
      <c r="B8" s="15" t="inlineStr"/>
      <c r="C8" s="22" t="n">
        <v>0</v>
      </c>
      <c r="D8" s="32" t="n">
        <v>0.1</v>
      </c>
      <c r="E8" s="22">
        <f>C8*(1+D8)</f>
        <v/>
      </c>
    </row>
    <row r="9">
      <c r="A9" s="15" t="inlineStr">
        <is>
          <t>Control wiring (if not by EC)</t>
        </is>
      </c>
      <c r="B9" s="15" t="inlineStr"/>
      <c r="C9" s="22" t="n">
        <v>0</v>
      </c>
      <c r="D9" s="32" t="n">
        <v>0.1</v>
      </c>
      <c r="E9" s="22">
        <f>C9*(1+D9)</f>
        <v/>
      </c>
    </row>
    <row r="10">
      <c r="A10" s="15" t="inlineStr">
        <is>
          <t>Concrete saw-cutting / core drilling</t>
        </is>
      </c>
      <c r="B10" s="15" t="inlineStr"/>
      <c r="C10" s="22" t="n">
        <v>0</v>
      </c>
      <c r="D10" s="32" t="n">
        <v>0.1</v>
      </c>
      <c r="E10" s="22">
        <f>C10*(1+D10)</f>
        <v/>
      </c>
    </row>
    <row r="11">
      <c r="A11" s="15" t="inlineStr">
        <is>
          <t>Engineered shop drawings (CAD)</t>
        </is>
      </c>
      <c r="B11" s="15" t="inlineStr"/>
      <c r="C11" s="22" t="n">
        <v>0</v>
      </c>
      <c r="D11" s="32" t="n">
        <v>0.1</v>
      </c>
      <c r="E11" s="22">
        <f>C11*(1+D11)</f>
        <v/>
      </c>
    </row>
    <row r="12">
      <c r="A12" s="15" t="inlineStr">
        <is>
          <t>Hot work fire watch (after-hours)</t>
        </is>
      </c>
      <c r="B12" s="15" t="inlineStr"/>
      <c r="C12" s="22" t="n">
        <v>0</v>
      </c>
      <c r="D12" s="32" t="n">
        <v>0.1</v>
      </c>
      <c r="E12" s="22">
        <f>C12*(1+D12)</f>
        <v/>
      </c>
    </row>
    <row r="13">
      <c r="A13" s="15" t="inlineStr">
        <is>
          <t>Hazmat / lead-paint disturbance</t>
        </is>
      </c>
      <c r="B13" s="15" t="inlineStr"/>
      <c r="C13" s="22" t="n">
        <v>0</v>
      </c>
      <c r="D13" s="32" t="n">
        <v>0.1</v>
      </c>
      <c r="E13" s="22">
        <f>C13*(1+D13)</f>
        <v/>
      </c>
    </row>
    <row r="15">
      <c r="D15" s="23" t="inlineStr">
        <is>
          <t>Subcontract Subtotal</t>
        </is>
      </c>
      <c r="E15" s="28">
        <f>SUM(E4:E13)</f>
        <v/>
      </c>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50" customWidth="1" min="1" max="1"/>
    <col width="20" customWidth="1" min="2" max="2"/>
    <col width="18" customWidth="1" min="3" max="3"/>
    <col width="18" customWidth="1" min="4" max="4"/>
  </cols>
  <sheetData>
    <row r="1">
      <c r="A1" s="1" t="inlineStr">
        <is>
          <t>PREMIUMS &amp; CONDITIONS</t>
        </is>
      </c>
    </row>
    <row r="3" ht="26" customHeight="1">
      <c r="A3" s="11" t="inlineStr">
        <is>
          <t>Premium</t>
        </is>
      </c>
      <c r="B3" s="11" t="inlineStr">
        <is>
          <t>Applies? (Y/N)</t>
        </is>
      </c>
      <c r="C3" s="11" t="inlineStr">
        <is>
          <t>Adder %</t>
        </is>
      </c>
      <c r="D3" s="11" t="inlineStr">
        <is>
          <t>Adder $ (overrides %)</t>
        </is>
      </c>
    </row>
    <row r="4">
      <c r="A4" s="15" t="inlineStr">
        <is>
          <t>Prevailing wage (Davis-Bacon or state)</t>
        </is>
      </c>
      <c r="B4" s="20" t="inlineStr">
        <is>
          <t>N</t>
        </is>
      </c>
      <c r="C4" s="32" t="n">
        <v>0.15</v>
      </c>
      <c r="D4" s="22" t="n">
        <v>0</v>
      </c>
    </row>
    <row r="5">
      <c r="A5" s="15" t="inlineStr">
        <is>
          <t>Occupied building disruption</t>
        </is>
      </c>
      <c r="B5" s="20" t="inlineStr">
        <is>
          <t>N</t>
        </is>
      </c>
      <c r="C5" s="32" t="n">
        <v>0.08</v>
      </c>
      <c r="D5" s="22" t="n">
        <v>0</v>
      </c>
    </row>
    <row r="6">
      <c r="A6" s="15" t="inlineStr">
        <is>
          <t>Confined-space entry frequency</t>
        </is>
      </c>
      <c r="B6" s="20" t="inlineStr">
        <is>
          <t>N</t>
        </is>
      </c>
      <c r="C6" s="32" t="n">
        <v>0.04</v>
      </c>
      <c r="D6" s="22" t="n">
        <v>0</v>
      </c>
    </row>
    <row r="7">
      <c r="A7" s="15" t="inlineStr">
        <is>
          <t>Hazmat-area (asbestos / lead / silica)</t>
        </is>
      </c>
      <c r="B7" s="20" t="inlineStr">
        <is>
          <t>N</t>
        </is>
      </c>
      <c r="C7" s="32" t="n">
        <v>0.1</v>
      </c>
      <c r="D7" s="22" t="n">
        <v>0</v>
      </c>
    </row>
    <row r="8">
      <c r="A8" s="15" t="inlineStr">
        <is>
          <t>Energized-system / hot-tap proximity</t>
        </is>
      </c>
      <c r="B8" s="20" t="inlineStr">
        <is>
          <t>N</t>
        </is>
      </c>
      <c r="C8" s="32" t="n">
        <v>0.05</v>
      </c>
      <c r="D8" s="22" t="n">
        <v>0</v>
      </c>
    </row>
    <row r="9">
      <c r="A9" s="15" t="inlineStr">
        <is>
          <t>Hospital ICRA (infection-control) tier 3+</t>
        </is>
      </c>
      <c r="B9" s="20" t="inlineStr">
        <is>
          <t>N</t>
        </is>
      </c>
      <c r="C9" s="32" t="n">
        <v>0.08</v>
      </c>
      <c r="D9" s="22" t="n">
        <v>0</v>
      </c>
    </row>
    <row r="10">
      <c r="A10" s="15" t="inlineStr">
        <is>
          <t>Heights &gt; 14 ft (lift / scaffold premium)</t>
        </is>
      </c>
      <c r="B10" s="20" t="inlineStr">
        <is>
          <t>N</t>
        </is>
      </c>
      <c r="C10" s="32" t="n">
        <v>0.04</v>
      </c>
      <c r="D10" s="22" t="n">
        <v>0</v>
      </c>
    </row>
    <row r="11">
      <c r="A11" s="15" t="inlineStr">
        <is>
          <t>Underground utility congestion</t>
        </is>
      </c>
      <c r="B11" s="20" t="inlineStr">
        <is>
          <t>N</t>
        </is>
      </c>
      <c r="C11" s="32" t="n">
        <v>0.06</v>
      </c>
      <c r="D11" s="22" t="n">
        <v>0</v>
      </c>
    </row>
    <row r="12">
      <c r="A12" s="15" t="inlineStr">
        <is>
          <t>Tight crawl-space / attic conditions</t>
        </is>
      </c>
      <c r="B12" s="20" t="inlineStr">
        <is>
          <t>N</t>
        </is>
      </c>
      <c r="C12" s="32" t="n">
        <v>0.05</v>
      </c>
      <c r="D12" s="22" t="n">
        <v>0</v>
      </c>
    </row>
    <row r="13">
      <c r="A13" s="15" t="inlineStr">
        <is>
          <t>After-hours / weekend / night shift</t>
        </is>
      </c>
      <c r="B13" s="20" t="inlineStr">
        <is>
          <t>N</t>
        </is>
      </c>
      <c r="C13" s="32" t="n">
        <v>0.2</v>
      </c>
      <c r="D13" s="22" t="n">
        <v>0</v>
      </c>
    </row>
    <row r="14">
      <c r="A14" s="15" t="inlineStr">
        <is>
          <t>Travel / per diem</t>
        </is>
      </c>
      <c r="B14" s="20" t="inlineStr">
        <is>
          <t>N</t>
        </is>
      </c>
      <c r="C14" s="32" t="n">
        <v>0.03</v>
      </c>
      <c r="D14" s="22" t="n">
        <v>0</v>
      </c>
    </row>
    <row r="15">
      <c r="A15" s="15" t="inlineStr">
        <is>
          <t>Winter weather conditions</t>
        </is>
      </c>
      <c r="B15" s="20" t="inlineStr">
        <is>
          <t>N</t>
        </is>
      </c>
      <c r="C15" s="32" t="n">
        <v>0.04</v>
      </c>
      <c r="D15" s="22" t="n">
        <v>0</v>
      </c>
    </row>
    <row r="16">
      <c r="A16" s="15" t="inlineStr">
        <is>
          <t>LEED documentation / commissioning</t>
        </is>
      </c>
      <c r="B16" s="20" t="inlineStr">
        <is>
          <t>N</t>
        </is>
      </c>
      <c r="C16" s="32" t="n">
        <v>0.03</v>
      </c>
      <c r="D16" s="22" t="n">
        <v>0</v>
      </c>
    </row>
    <row r="17">
      <c r="A17" s="15" t="inlineStr">
        <is>
          <t>Owner-direct purchasing (no markup)</t>
        </is>
      </c>
      <c r="B17" s="20" t="inlineStr">
        <is>
          <t>N</t>
        </is>
      </c>
      <c r="C17" s="32" t="n">
        <v>-0.1</v>
      </c>
      <c r="D17" s="22" t="n">
        <v>0</v>
      </c>
    </row>
    <row r="19">
      <c r="A19" s="23" t="inlineStr">
        <is>
          <t>Premium $ total (applies-Y only)</t>
        </is>
      </c>
      <c r="D19" s="28">
        <f>SUMPRODUCT((B4:B17="Y")*D4:D17)</f>
        <v/>
      </c>
    </row>
    <row r="20">
      <c r="A20" s="23" t="inlineStr">
        <is>
          <t>Premium % total (applies-Y only)</t>
        </is>
      </c>
      <c r="D20" s="33">
        <f>SUMPRODUCT((B4:B17="Y")*C4:C17)</f>
        <v/>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14" customWidth="1" min="1" max="1"/>
    <col width="80" customWidth="1" min="2" max="2"/>
  </cols>
  <sheetData>
    <row r="1">
      <c r="A1" s="1" t="inlineStr">
        <is>
          <t>CSI MASTERFORMAT — DIVISION 22 PLUMBING</t>
        </is>
      </c>
    </row>
    <row r="3">
      <c r="A3" s="34" t="inlineStr">
        <is>
          <t>22 00 00</t>
        </is>
      </c>
      <c r="B3" s="15" t="inlineStr">
        <is>
          <t>PLUMBING (overall division)</t>
        </is>
      </c>
    </row>
    <row r="4">
      <c r="A4" s="34" t="inlineStr">
        <is>
          <t>22 05 00</t>
        </is>
      </c>
      <c r="B4" s="15" t="inlineStr">
        <is>
          <t>Common Work Results for Plumbing</t>
        </is>
      </c>
    </row>
    <row r="5">
      <c r="A5" s="34" t="inlineStr">
        <is>
          <t>22 05 19</t>
        </is>
      </c>
      <c r="B5" s="15" t="inlineStr">
        <is>
          <t>Meters and Gauges for Plumbing Piping</t>
        </is>
      </c>
    </row>
    <row r="6">
      <c r="A6" s="34" t="inlineStr">
        <is>
          <t>22 05 23</t>
        </is>
      </c>
      <c r="B6" s="15" t="inlineStr">
        <is>
          <t>General-Duty Valves for Plumbing Piping</t>
        </is>
      </c>
    </row>
    <row r="7">
      <c r="A7" s="34" t="inlineStr">
        <is>
          <t>22 05 29</t>
        </is>
      </c>
      <c r="B7" s="15" t="inlineStr">
        <is>
          <t>Hangers and Supports for Plumbing Piping and Equipment</t>
        </is>
      </c>
    </row>
    <row r="8">
      <c r="A8" s="34" t="inlineStr">
        <is>
          <t>22 05 53</t>
        </is>
      </c>
      <c r="B8" s="15" t="inlineStr">
        <is>
          <t>Identification for Plumbing Piping and Equipment</t>
        </is>
      </c>
    </row>
    <row r="9">
      <c r="A9" s="34" t="inlineStr">
        <is>
          <t>22 07 00</t>
        </is>
      </c>
      <c r="B9" s="15" t="inlineStr">
        <is>
          <t>Plumbing Insulation</t>
        </is>
      </c>
    </row>
    <row r="10">
      <c r="A10" s="34" t="inlineStr">
        <is>
          <t>22 08 00</t>
        </is>
      </c>
      <c r="B10" s="15" t="inlineStr">
        <is>
          <t>Commissioning of Plumbing</t>
        </is>
      </c>
    </row>
    <row r="11">
      <c r="A11" s="34" t="inlineStr">
        <is>
          <t>22 11 00</t>
        </is>
      </c>
      <c r="B11" s="15" t="inlineStr">
        <is>
          <t>Facility Water Distribution</t>
        </is>
      </c>
    </row>
    <row r="12">
      <c r="A12" s="34" t="inlineStr">
        <is>
          <t>22 11 13</t>
        </is>
      </c>
      <c r="B12" s="15" t="inlineStr">
        <is>
          <t>Facility Water Distribution Piping</t>
        </is>
      </c>
    </row>
    <row r="13">
      <c r="A13" s="34" t="inlineStr">
        <is>
          <t>22 11 16</t>
        </is>
      </c>
      <c r="B13" s="15" t="inlineStr">
        <is>
          <t>Domestic Water Piping</t>
        </is>
      </c>
    </row>
    <row r="14">
      <c r="A14" s="34" t="inlineStr">
        <is>
          <t>22 11 19</t>
        </is>
      </c>
      <c r="B14" s="15" t="inlineStr">
        <is>
          <t>Domestic Water Piping Specialties</t>
        </is>
      </c>
    </row>
    <row r="15">
      <c r="A15" s="34" t="inlineStr">
        <is>
          <t>22 11 23</t>
        </is>
      </c>
      <c r="B15" s="15" t="inlineStr">
        <is>
          <t>Domestic Water Pumps</t>
        </is>
      </c>
    </row>
    <row r="16">
      <c r="A16" s="34" t="inlineStr">
        <is>
          <t>22 13 00</t>
        </is>
      </c>
      <c r="B16" s="15" t="inlineStr">
        <is>
          <t>Facility Sanitary Sewerage</t>
        </is>
      </c>
    </row>
    <row r="17">
      <c r="A17" s="34" t="inlineStr">
        <is>
          <t>22 13 13</t>
        </is>
      </c>
      <c r="B17" s="15" t="inlineStr">
        <is>
          <t>Facility Sanitary Sewers</t>
        </is>
      </c>
    </row>
    <row r="18">
      <c r="A18" s="34" t="inlineStr">
        <is>
          <t>22 13 16</t>
        </is>
      </c>
      <c r="B18" s="15" t="inlineStr">
        <is>
          <t>Sanitary Waste and Vent Piping</t>
        </is>
      </c>
    </row>
    <row r="19">
      <c r="A19" s="34" t="inlineStr">
        <is>
          <t>22 13 19</t>
        </is>
      </c>
      <c r="B19" s="15" t="inlineStr">
        <is>
          <t>Sanitary Waste Piping Specialties</t>
        </is>
      </c>
    </row>
    <row r="20">
      <c r="A20" s="34" t="inlineStr">
        <is>
          <t>22 13 23</t>
        </is>
      </c>
      <c r="B20" s="15" t="inlineStr">
        <is>
          <t>Sanitary Waste Interceptors</t>
        </is>
      </c>
    </row>
    <row r="21">
      <c r="A21" s="34" t="inlineStr">
        <is>
          <t>22 13 29</t>
        </is>
      </c>
      <c r="B21" s="15" t="inlineStr">
        <is>
          <t>Sanitary Sewerage Pumps</t>
        </is>
      </c>
    </row>
    <row r="22">
      <c r="A22" s="34" t="inlineStr">
        <is>
          <t>22 14 00</t>
        </is>
      </c>
      <c r="B22" s="15" t="inlineStr">
        <is>
          <t>Facility Storm Drainage</t>
        </is>
      </c>
    </row>
    <row r="23">
      <c r="A23" s="34" t="inlineStr">
        <is>
          <t>22 14 13</t>
        </is>
      </c>
      <c r="B23" s="15" t="inlineStr">
        <is>
          <t>Facility Storm Drainage Piping</t>
        </is>
      </c>
    </row>
    <row r="24">
      <c r="A24" s="34" t="inlineStr">
        <is>
          <t>22 14 23</t>
        </is>
      </c>
      <c r="B24" s="15" t="inlineStr">
        <is>
          <t>Storm Drainage Piping Specialties</t>
        </is>
      </c>
    </row>
    <row r="25">
      <c r="A25" s="34" t="inlineStr">
        <is>
          <t>22 14 26</t>
        </is>
      </c>
      <c r="B25" s="15" t="inlineStr">
        <is>
          <t>Facility Storm Drains</t>
        </is>
      </c>
    </row>
    <row r="26">
      <c r="A26" s="34" t="inlineStr">
        <is>
          <t>22 14 29</t>
        </is>
      </c>
      <c r="B26" s="15" t="inlineStr">
        <is>
          <t>Sump Pumps</t>
        </is>
      </c>
    </row>
    <row r="27">
      <c r="A27" s="34" t="inlineStr">
        <is>
          <t>22 31 00</t>
        </is>
      </c>
      <c r="B27" s="15" t="inlineStr">
        <is>
          <t>Domestic Water Softeners</t>
        </is>
      </c>
    </row>
    <row r="28">
      <c r="A28" s="34" t="inlineStr">
        <is>
          <t>22 32 00</t>
        </is>
      </c>
      <c r="B28" s="15" t="inlineStr">
        <is>
          <t>Domestic Water Filtration Equipment</t>
        </is>
      </c>
    </row>
    <row r="29">
      <c r="A29" s="34" t="inlineStr">
        <is>
          <t>22 33 00</t>
        </is>
      </c>
      <c r="B29" s="15" t="inlineStr">
        <is>
          <t>Electric Domestic Water Heaters</t>
        </is>
      </c>
    </row>
    <row r="30">
      <c r="A30" s="34" t="inlineStr">
        <is>
          <t>22 34 00</t>
        </is>
      </c>
      <c r="B30" s="15" t="inlineStr">
        <is>
          <t>Fuel-Fired Domestic Water Heaters</t>
        </is>
      </c>
    </row>
    <row r="31">
      <c r="A31" s="34" t="inlineStr">
        <is>
          <t>22 35 00</t>
        </is>
      </c>
      <c r="B31" s="15" t="inlineStr">
        <is>
          <t>Domestic Water Heat Exchangers</t>
        </is>
      </c>
    </row>
    <row r="32">
      <c r="A32" s="34" t="inlineStr">
        <is>
          <t>22 40 00</t>
        </is>
      </c>
      <c r="B32" s="15" t="inlineStr">
        <is>
          <t>PLUMBING FIXTURES</t>
        </is>
      </c>
    </row>
    <row r="33">
      <c r="A33" s="34" t="inlineStr">
        <is>
          <t>22 41 00</t>
        </is>
      </c>
      <c r="B33" s="15" t="inlineStr">
        <is>
          <t>Residential Plumbing Fixtures</t>
        </is>
      </c>
    </row>
    <row r="34">
      <c r="A34" s="34" t="inlineStr">
        <is>
          <t>22 42 00</t>
        </is>
      </c>
      <c r="B34" s="15" t="inlineStr">
        <is>
          <t>Commercial Plumbing Fixtures</t>
        </is>
      </c>
    </row>
    <row r="35">
      <c r="A35" s="34" t="inlineStr">
        <is>
          <t>22 42 13</t>
        </is>
      </c>
      <c r="B35" s="15" t="inlineStr">
        <is>
          <t>Commercial Water Closets, Urinals, and Bidets</t>
        </is>
      </c>
    </row>
    <row r="36">
      <c r="A36" s="34" t="inlineStr">
        <is>
          <t>22 42 16</t>
        </is>
      </c>
      <c r="B36" s="15" t="inlineStr">
        <is>
          <t>Commercial Lavatories and Sinks</t>
        </is>
      </c>
    </row>
    <row r="37">
      <c r="A37" s="34" t="inlineStr">
        <is>
          <t>22 42 19</t>
        </is>
      </c>
      <c r="B37" s="15" t="inlineStr">
        <is>
          <t>Wash Fountains</t>
        </is>
      </c>
    </row>
    <row r="38">
      <c r="A38" s="34" t="inlineStr">
        <is>
          <t>22 42 23</t>
        </is>
      </c>
      <c r="B38" s="15" t="inlineStr">
        <is>
          <t>Commercial Showers, Receptors, and Basins</t>
        </is>
      </c>
    </row>
    <row r="39">
      <c r="A39" s="34" t="inlineStr">
        <is>
          <t>22 42 26</t>
        </is>
      </c>
      <c r="B39" s="15" t="inlineStr">
        <is>
          <t>Commercial Disposers</t>
        </is>
      </c>
    </row>
    <row r="40">
      <c r="A40" s="34" t="inlineStr">
        <is>
          <t>22 42 33</t>
        </is>
      </c>
      <c r="B40" s="15" t="inlineStr">
        <is>
          <t>Wash-Down Equipment</t>
        </is>
      </c>
    </row>
    <row r="41">
      <c r="A41" s="34" t="inlineStr">
        <is>
          <t>22 42 39</t>
        </is>
      </c>
      <c r="B41" s="15" t="inlineStr">
        <is>
          <t>Commercial Faucets, Supplies, and Trim</t>
        </is>
      </c>
    </row>
    <row r="42">
      <c r="A42" s="34" t="inlineStr">
        <is>
          <t>22 45 00</t>
        </is>
      </c>
      <c r="B42" s="15" t="inlineStr">
        <is>
          <t>Emergency Plumbing Fixtures (eye-wash / drench-shower)</t>
        </is>
      </c>
    </row>
    <row r="43">
      <c r="A43" s="34" t="inlineStr">
        <is>
          <t>22 47 00</t>
        </is>
      </c>
      <c r="B43" s="15" t="inlineStr">
        <is>
          <t>Drinking Fountains and Water Coolers</t>
        </is>
      </c>
    </row>
    <row r="44">
      <c r="A44" s="34" t="inlineStr">
        <is>
          <t>22 60 00</t>
        </is>
      </c>
      <c r="B44" s="15" t="inlineStr">
        <is>
          <t>GAS AND VACUUM SYSTEMS FOR LABORATORY AND HEALTHCARE FACILITIES</t>
        </is>
      </c>
    </row>
    <row r="45">
      <c r="A45" s="34" t="inlineStr">
        <is>
          <t>22 61 00</t>
        </is>
      </c>
      <c r="B45" s="15" t="inlineStr">
        <is>
          <t>Compressed-Air Systems for Laboratory and Healthcare Facilities</t>
        </is>
      </c>
    </row>
    <row r="46">
      <c r="A46" s="34" t="inlineStr">
        <is>
          <t>22 62 00</t>
        </is>
      </c>
      <c r="B46" s="15" t="inlineStr">
        <is>
          <t>Vacuum Systems for Laboratory and Healthcare Facilities</t>
        </is>
      </c>
    </row>
    <row r="47">
      <c r="A47" s="34" t="inlineStr">
        <is>
          <t>22 63 00</t>
        </is>
      </c>
      <c r="B47" s="15" t="inlineStr">
        <is>
          <t>Gas Systems for Laboratory and Healthcare Facilities</t>
        </is>
      </c>
    </row>
    <row r="48">
      <c r="A48" s="34" t="inlineStr">
        <is>
          <t>22 66 00</t>
        </is>
      </c>
      <c r="B48" s="15" t="inlineStr">
        <is>
          <t>Chemical-Waste Systems for Laboratory and Healthcare Facilities</t>
        </is>
      </c>
    </row>
    <row r="49">
      <c r="A49" s="34" t="inlineStr">
        <is>
          <t>22 67 00</t>
        </is>
      </c>
      <c r="B49" s="15" t="inlineStr">
        <is>
          <t>Processed Water Systems for Laboratory and Healthcare Facilities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2026-05-19T19:53:18Z</dcterms:created>
  <dcterms:modified xmlns:dcterms="http://purl.org/dc/terms/" xmlns:xsi="http://www.w3.org/2001/XMLSchema-instance" xsi:type="dcterms:W3CDTF">2026-05-19T19:53:18Z</dcterms:modified>
</cp:coreProperties>
</file>