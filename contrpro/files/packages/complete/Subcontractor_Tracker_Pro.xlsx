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b Master Record" sheetId="2" state="visible" r:id="rId2"/>
    <sheet xmlns:r="http://schemas.openxmlformats.org/officeDocument/2006/relationships" name="Work History" sheetId="3" state="visible" r:id="rId3"/>
    <sheet xmlns:r="http://schemas.openxmlformats.org/officeDocument/2006/relationships" name="Performance Leaderboard" sheetId="4" state="visible" r:id="rId4"/>
    <sheet xmlns:r="http://schemas.openxmlformats.org/officeDocument/2006/relationships" name="Compliance Dashboard" sheetId="5" state="visible" r:id="rId5"/>
    <sheet xmlns:r="http://schemas.openxmlformats.org/officeDocument/2006/relationships" name="Bonding Capacity Roll-Up" sheetId="6" state="visible" r:id="rId6"/>
    <sheet xmlns:r="http://schemas.openxmlformats.org/officeDocument/2006/relationships" name="Trade Distribution" sheetId="7" state="visible" r:id="rId7"/>
    <sheet xmlns:r="http://schemas.openxmlformats.org/officeDocument/2006/relationships" name="CSI Reference" sheetId="8" state="hidden" r:id="rId8"/>
  </sheets>
  <definedNames>
    <definedName name="CSI_Divisions">'CSI Reference'!$A$4:$A$38</definedName>
    <definedName name="CSI_Table">'CSI Reference'!$A$4:$B$38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_($* #,##0_);_($* (#,##0);_($* &quot;-&quot;_);_(@_)"/>
  </numFmts>
  <fonts count="9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i val="1"/>
      <color rgb="00808080"/>
      <sz val="11"/>
    </font>
    <font>
      <name val="Calibri"/>
      <b val="1"/>
      <color rgb="001E3A5F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6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  <border>
      <left/>
      <right/>
      <top style="thin">
        <color rgb="00B0B7BF"/>
      </top>
      <bottom/>
      <diagonal/>
    </border>
    <border>
      <left/>
      <right style="thin">
        <color rgb="00B0B7BF"/>
      </right>
      <top style="thin">
        <color rgb="00B0B7BF"/>
      </top>
      <bottom/>
      <diagonal/>
    </border>
    <border>
      <left/>
      <right/>
      <top style="thin">
        <color rgb="00B0B7BF"/>
      </top>
      <bottom style="thin">
        <color rgb="00B0B7BF"/>
      </bottom>
      <diagonal/>
    </border>
    <border>
      <left/>
      <right style="thin">
        <color rgb="00B0B7BF"/>
      </right>
      <top style="thin">
        <color rgb="00B0B7BF"/>
      </top>
      <bottom style="thin">
        <color rgb="00B0B7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 indent="1"/>
    </xf>
    <xf numFmtId="0" fontId="6" fillId="2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1" fontId="8" fillId="0" borderId="1" applyAlignment="1" pivotButton="0" quotePrefix="0" xfId="0">
      <alignment horizontal="right" vertical="center" indent="1"/>
    </xf>
    <xf numFmtId="2" fontId="8" fillId="0" borderId="1" applyAlignment="1" pivotButton="0" quotePrefix="0" xfId="0">
      <alignment horizontal="right" vertical="center" indent="1"/>
    </xf>
    <xf numFmtId="165" fontId="8" fillId="0" borderId="1" applyAlignment="1" pivotButton="0" quotePrefix="0" xfId="0">
      <alignment horizontal="right" vertical="center" indent="1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6" fillId="2" borderId="1" applyAlignment="1" pivotButton="0" quotePrefix="0" xfId="0">
      <alignment horizontal="right"/>
    </xf>
    <xf numFmtId="1" fontId="6" fillId="2" borderId="1" pivotButton="0" quotePrefix="0" xfId="0"/>
    <xf numFmtId="2" fontId="6" fillId="2" borderId="1" pivotButton="0" quotePrefix="0" xfId="0"/>
    <xf numFmtId="49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FFFFFF"/>
      </font>
      <fill>
        <patternFill patternType="solid">
          <fgColor rgb="0063BE7B"/>
        </patternFill>
      </fill>
    </dxf>
    <dxf>
      <font>
        <b val="1"/>
        <color rgb="00006100"/>
        <sz val="18"/>
      </font>
      <fill>
        <patternFill patternType="solid">
          <fgColor rgb="00C6EFCE"/>
        </patternFill>
      </fill>
    </dxf>
    <dxf>
      <font>
        <b val="1"/>
        <color rgb="009C0006"/>
        <sz val="18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 ht="32" customHeight="1">
      <c r="B2" s="1" t="inlineStr">
        <is>
          <t>ContrPro - Subcontractor Tracker PRO</t>
        </is>
      </c>
    </row>
    <row r="3">
      <c r="B3" s="2" t="inlineStr">
        <is>
          <t>Prequalification + performance + work history + bonding. The master vendor database. Business / Complete tier.</t>
        </is>
      </c>
    </row>
    <row r="5" ht="22" customHeight="1">
      <c r="B5" s="3" t="inlineStr">
        <is>
          <t>What this workbook is</t>
        </is>
      </c>
    </row>
    <row r="6" ht="80" customHeight="1">
      <c r="B6" s="4" t="inlineStr">
        <is>
          <t>Seven visible tabs plus one hidden lookup. Sub Master Record is the deep database - prequal status, license, COI, W9, bonding, EMR, OSHA history, DBE/MBE/WBE, plus a performance scorecard (Schedule, Quality, Safety, Communication, Financial). Work History is a per-project ledger of how each sub actually performed. The remaining tabs are auto-rolled reports: Performance Leaderboard, Compliance Dashboard, Bonding Capacity Roll-Up, Trade Distribution.</t>
        </is>
      </c>
    </row>
    <row r="7" ht="48" customHeight="1">
      <c r="B7" s="4" t="inlineStr">
        <is>
          <t>This is the FLAGSHIP sub-tracker. If you are awarding &gt; 25 subs/year, running multiple PMs, or carrying $5M+ in subcontracts at any time, this is the tool. If you just need a clean list of who you work with, use the lean Subcontractor_Tracker.xlsx instead.</t>
        </is>
      </c>
    </row>
    <row r="9" ht="22" customHeight="1">
      <c r="B9" s="3" t="inlineStr">
        <is>
          <t>Prequalification workflow</t>
        </is>
      </c>
    </row>
    <row r="10" ht="32" customHeight="1">
      <c r="B10" s="4" t="inlineStr">
        <is>
          <t>Step 1 - Add the sub to Sub Master Record with Prequal Status = Pending. Fill in company data, EIN, license, insurance, bonding capacity, EMR. Set Prequal Date to today.</t>
        </is>
      </c>
    </row>
    <row r="11" ht="32" customHeight="1">
      <c r="B11" s="4" t="inlineStr">
        <is>
          <t>Step 2 - Send the prequal package (financial statements last 3 years, references, safety program, bonding letter, COI sample, license verification). Confirm receipt.</t>
        </is>
      </c>
    </row>
    <row r="12" ht="32" customHeight="1">
      <c r="B12" s="4" t="inlineStr">
        <is>
          <t>Step 3 - Verify references and license status independently. Pull EMR letter from their insurer. Confirm OSHA 300A logs.</t>
        </is>
      </c>
    </row>
    <row r="13" ht="32" customHeight="1">
      <c r="B13" s="4" t="inlineStr">
        <is>
          <t>Step 4 - Decision: Approved (full bid list), Conditionally Approved (specific scopes or $ caps only), or Rejected. Set Prequal Renewal Date = +12 months.</t>
        </is>
      </c>
    </row>
    <row r="14" ht="32" customHeight="1">
      <c r="B14" s="4" t="inlineStr">
        <is>
          <t>Step 5 - Renewal: every Prequal Renewal Date, re-pull financials, COI, license, EMR. Refresh the row. No re-prequal, no awards.</t>
        </is>
      </c>
    </row>
    <row r="16" ht="22" customHeight="1">
      <c r="B16" s="3" t="inlineStr">
        <is>
          <t>Performance scoring rubric (1-5 each, scored after every job)</t>
        </is>
      </c>
    </row>
    <row r="17" ht="32" customHeight="1">
      <c r="B17" s="4" t="inlineStr">
        <is>
          <t>Schedule - 5: every milestone hit or beat. 4: minor slip, recovered. 3: schedule slipped but delivered. 2: significant delay, drove other trades. 1: missed completion / abandoned.</t>
        </is>
      </c>
    </row>
    <row r="18" ht="32" customHeight="1">
      <c r="B18" s="4" t="inlineStr">
        <is>
          <t>Quality - 5: zero punch reopens, owner-grade workmanship. 4: typical punch, closed clean. 3: punch closed slowly. 2: rework required. 1: failed inspection / unacceptable.</t>
        </is>
      </c>
    </row>
    <row r="19" ht="32" customHeight="1">
      <c r="B19" s="4" t="inlineStr">
        <is>
          <t>Safety - 5: zero recordables, proactive safety. 4: minor first-aid only. 3: one recordable, corrected. 2: multiple incidents. 1: serious injury / OSHA violation.</t>
        </is>
      </c>
    </row>
    <row r="20" ht="32" customHeight="1">
      <c r="B20" s="4" t="inlineStr">
        <is>
          <t>Communication - 5: proactive RFIs, fast response, owner-facing pro. 4: responsive, clear. 3: reactive only. 2: chasing them for answers. 1: ghosting.</t>
        </is>
      </c>
    </row>
    <row r="21" ht="32" customHeight="1">
      <c r="B21" s="4" t="inlineStr">
        <is>
          <t>Financial - 5: pay apps clean, no claims. 4: minor pay app errors. 3: one disputed CO. 2: multiple disputes / late lien releases. 1: filed claim or lien against project.</t>
        </is>
      </c>
    </row>
    <row r="22" ht="32" customHeight="1">
      <c r="B22" s="4" t="inlineStr">
        <is>
          <t>Overall Score is the average. Performance Rating: 4.5+ = A, 3.5-4.4 = B, 2.5-3.4 = C, below 2.5 = D. C is your re-prequal trigger. D is your retirement trigger.</t>
        </is>
      </c>
    </row>
    <row r="24" ht="22" customHeight="1">
      <c r="B24" s="3" t="inlineStr">
        <is>
          <t>Bonding capacity (Tab 6)</t>
        </is>
      </c>
    </row>
    <row r="25" ht="18" customHeight="1">
      <c r="B25" s="4" t="inlineStr">
        <is>
          <t>Single Project Bond Capacity - the biggest single contract the sub's surety will bond.</t>
        </is>
      </c>
    </row>
    <row r="26" ht="32" customHeight="1">
      <c r="B26" s="4" t="inlineStr">
        <is>
          <t>Aggregate Bond Capacity - the total dollar value of bonded work the surety will let them carry at once. Subs get over-extended when active bonded work approaches aggregate.</t>
        </is>
      </c>
    </row>
    <row r="27" ht="32" customHeight="1">
      <c r="B27" s="4" t="inlineStr">
        <is>
          <t>Available Capacity (Tab 6) = Aggregate - sum of active bonded contracts. A sub at 90%+ of aggregate is tapped out and should not be awarded more bonded work until backlog clears.</t>
        </is>
      </c>
    </row>
    <row r="28" ht="18" customHeight="1">
      <c r="B28" s="4" t="inlineStr">
        <is>
          <t>Refresh the surety letter annually with the prequal renewal.</t>
        </is>
      </c>
    </row>
    <row r="30" ht="22" customHeight="1">
      <c r="B30" s="3" t="inlineStr">
        <is>
          <t>Approval gate (formula in Sub Master Record)</t>
        </is>
      </c>
    </row>
    <row r="31" ht="32" customHeight="1">
      <c r="B31" s="4" t="inlineStr">
        <is>
          <t>Approved? = Yes only if ALL of: Prequal Status = Approved AND COI = Current AND License = Active AND Overall Score &gt;= 3. Any other state returns No.</t>
        </is>
      </c>
    </row>
    <row r="32" ht="18" customHeight="1">
      <c r="B32" s="4" t="inlineStr">
        <is>
          <t>This is the auto-gate before any award. Read this column on Sub Master, not your gut.</t>
        </is>
      </c>
    </row>
    <row r="34" ht="22" customHeight="1">
      <c r="B34" s="3" t="inlineStr">
        <is>
          <t>Retiring underperforming subs</t>
        </is>
      </c>
    </row>
    <row r="35" ht="32" customHeight="1">
      <c r="B35" s="4" t="inlineStr">
        <is>
          <t>Trigger 1: Performance Rating = D for any single completed project AND prior projects average below C. Move Prequal Status to Inactive.</t>
        </is>
      </c>
    </row>
    <row r="36" ht="32" customHeight="1">
      <c r="B36" s="4" t="inlineStr">
        <is>
          <t>Trigger 2: EMR &gt; 1.0 trending upward for 2 consecutive years. Inactive until they bring it back under 1.0 with a documented safety plan.</t>
        </is>
      </c>
    </row>
    <row r="37" ht="18" customHeight="1">
      <c r="B37" s="4" t="inlineStr">
        <is>
          <t>Trigger 3: OSHA Recordable Incidents &gt;= 3 in trailing 3 years. Inactive.</t>
        </is>
      </c>
    </row>
    <row r="38" ht="18" customHeight="1">
      <c r="B38" s="4" t="inlineStr">
        <is>
          <t>Trigger 4: License lapsed &gt; 60 days with no plan to renew. Inactive.</t>
        </is>
      </c>
    </row>
    <row r="39" ht="32" customHeight="1">
      <c r="B39" s="4" t="inlineStr">
        <is>
          <t>Inactive does NOT mean delete. Keep the row, keep the Work History. You may rehabilitate the relationship later, and the record is the receipt of why you stopped.</t>
        </is>
      </c>
    </row>
    <row r="41" ht="22" customHeight="1">
      <c r="B41" s="3" t="inlineStr">
        <is>
          <t>Color coding cheat sheet</t>
        </is>
      </c>
    </row>
    <row r="42" ht="18" customHeight="1">
      <c r="B42" s="4" t="inlineStr">
        <is>
          <t>Prequal Status: green = Approved, yellow = Conditionally Approved / Pending, red = Rejected / Inactive.</t>
        </is>
      </c>
    </row>
    <row r="43" ht="18" customHeight="1">
      <c r="B43" s="4" t="inlineStr">
        <is>
          <t>COI: green = Current, yellow = Expiring, red = Expired / None.</t>
        </is>
      </c>
    </row>
    <row r="44" ht="18" customHeight="1">
      <c r="B44" s="4" t="inlineStr">
        <is>
          <t>License: green = Active, yellow = Pending, red = Expired.</t>
        </is>
      </c>
    </row>
    <row r="45" ht="18" customHeight="1">
      <c r="B45" s="4" t="inlineStr">
        <is>
          <t>Performance Rating: dark green = A, green = B, yellow = C, red = D.</t>
        </is>
      </c>
    </row>
    <row r="46" ht="18" customHeight="1">
      <c r="B46" s="4" t="inlineStr">
        <is>
          <t>EMR: green when &lt;= 1.0, red when &gt; 1.0.</t>
        </is>
      </c>
    </row>
    <row r="47" ht="18" customHeight="1">
      <c r="B47" s="4" t="inlineStr">
        <is>
          <t>Approved?: green Yes, red No. This is your final gate.</t>
        </is>
      </c>
    </row>
    <row r="49" ht="22" customHeight="1">
      <c r="B49" s="3" t="inlineStr">
        <is>
          <t>Tab-by-tab quick start</t>
        </is>
      </c>
    </row>
    <row r="50" ht="32" customHeight="1">
      <c r="B50" s="4" t="inlineStr">
        <is>
          <t>1. Sub Master Record - one row per sub. Drop in data, score the performance fields after every job. Overall Score, Performance Rating, and Approved? are formulas - do not type.</t>
        </is>
      </c>
    </row>
    <row r="51" ht="18" customHeight="1">
      <c r="B51" s="4" t="inlineStr">
        <is>
          <t>2. Work History - one row per sub x project. Sub ID links back to Sub Master.</t>
        </is>
      </c>
    </row>
    <row r="52" ht="18" customHeight="1">
      <c r="B52" s="4" t="inlineStr">
        <is>
          <t>3. Performance Leaderboard - DO NOT edit. Auto-ranks the top 10 by Overall Score.</t>
        </is>
      </c>
    </row>
    <row r="53" ht="18" customHeight="1">
      <c r="B53" s="4" t="inlineStr">
        <is>
          <t>4. Compliance Dashboard - DO NOT edit. Snapshot of prequal, COI, EMR, bonding, DBE.</t>
        </is>
      </c>
    </row>
    <row r="54" ht="18" customHeight="1">
      <c r="B54" s="4" t="inlineStr">
        <is>
          <t>5. Bonding Capacity Roll-Up - tracks who has headroom and who is tapped out.</t>
        </is>
      </c>
    </row>
    <row r="55" ht="18" customHeight="1">
      <c r="B55" s="4" t="inlineStr">
        <is>
          <t>6. Trade Distribution - count + avg performance per trade. Use this when picking who to bid.</t>
        </is>
      </c>
    </row>
    <row r="56" ht="18" customHeight="1">
      <c r="B56" s="4" t="inlineStr">
        <is>
          <t>7. CSI Reference - hidden. Unhide only if you need to inspect the canonical list.</t>
        </is>
      </c>
    </row>
    <row r="58" ht="22" customHeight="1">
      <c r="B58" s="3" t="inlineStr">
        <is>
          <t>Tabs in this workbook</t>
        </is>
      </c>
    </row>
    <row r="59" ht="18" customHeight="1">
      <c r="B59" s="4" t="inlineStr">
        <is>
          <t>Instructions  -  this tab</t>
        </is>
      </c>
    </row>
    <row r="60" ht="18" customHeight="1">
      <c r="B60" s="4" t="inlineStr">
        <is>
          <t>Sub Master Record  -  the deep database (1 row per sub)</t>
        </is>
      </c>
    </row>
    <row r="61" ht="18" customHeight="1">
      <c r="B61" s="4" t="inlineStr">
        <is>
          <t>Work History  -  per-project performance ledger</t>
        </is>
      </c>
    </row>
    <row r="62" ht="18" customHeight="1">
      <c r="B62" s="4" t="inlineStr">
        <is>
          <t>Performance Leaderboard  -  auto top 10</t>
        </is>
      </c>
    </row>
    <row r="63" ht="18" customHeight="1">
      <c r="B63" s="4" t="inlineStr">
        <is>
          <t>Compliance Dashboard  -  totals and risk flags</t>
        </is>
      </c>
    </row>
    <row r="64" ht="18" customHeight="1">
      <c r="B64" s="4" t="inlineStr">
        <is>
          <t>Bonding Capacity Roll-Up  -  available bond headroom</t>
        </is>
      </c>
    </row>
    <row r="65" ht="18" customHeight="1">
      <c r="B65" s="4" t="inlineStr">
        <is>
          <t>Trade Distribution  -  per-trade roll-up</t>
        </is>
      </c>
    </row>
    <row r="66" ht="18" customHeight="1">
      <c r="B66" s="4" t="inlineStr">
        <is>
          <t>CSI Reference  -  canonical division list (hidden)</t>
        </is>
      </c>
    </row>
    <row r="69">
      <c r="B69" s="2" t="inlineStr">
        <is>
          <t>ContrPro - built for builders. Questions: support@contrpro.com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8" customWidth="1" min="4" max="4"/>
    <col width="18" customWidth="1" min="5" max="5"/>
    <col width="15" customWidth="1" min="6" max="6"/>
    <col width="28" customWidth="1" min="7" max="7"/>
    <col width="30" customWidth="1" min="8" max="8"/>
    <col width="13" customWidth="1" min="9" max="9"/>
    <col width="16" customWidth="1" min="10" max="10"/>
    <col width="30" customWidth="1" min="11" max="11"/>
    <col width="11" customWidth="1" min="12" max="12"/>
    <col width="26" customWidth="1" min="13" max="13"/>
    <col width="11" customWidth="1" min="14" max="14"/>
    <col width="16" customWidth="1" min="15" max="15"/>
    <col width="11" customWidth="1" min="16" max="16"/>
    <col width="11" customWidth="1" min="17" max="17"/>
    <col width="22" customWidth="1" min="18" max="18"/>
    <col width="18" customWidth="1" min="19" max="19"/>
    <col width="13" customWidth="1" min="20" max="20"/>
    <col width="14" customWidth="1" min="21" max="21"/>
    <col width="18" customWidth="1" min="22" max="22"/>
    <col width="11" customWidth="1" min="23" max="23"/>
    <col width="13" customWidth="1" min="24" max="24"/>
    <col width="11" customWidth="1" min="25" max="25"/>
    <col width="13" customWidth="1" min="26" max="26"/>
    <col width="9" customWidth="1" min="27" max="27"/>
    <col width="9" customWidth="1" min="28" max="28"/>
    <col width="22" customWidth="1" min="29" max="29"/>
    <col width="14" customWidth="1" min="30" max="30"/>
    <col width="14" customWidth="1" min="31" max="31"/>
    <col width="11" customWidth="1" min="32" max="32"/>
    <col width="13" customWidth="1" min="33" max="33"/>
    <col width="9" customWidth="1" min="34" max="34"/>
    <col width="10" customWidth="1" min="35" max="35"/>
    <col width="13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10" customWidth="1" min="42" max="42"/>
    <col width="11" customWidth="1" min="43" max="43"/>
    <col width="11" customWidth="1" min="44" max="44"/>
    <col width="40" customWidth="1" min="45" max="45"/>
  </cols>
  <sheetData>
    <row r="1" ht="28" customHeight="1">
      <c r="A1" s="1" t="inlineStr">
        <is>
          <t>Sub Master Record</t>
        </is>
      </c>
    </row>
    <row r="3" ht="32" customHeight="1">
      <c r="A3" s="5" t="inlineStr">
        <is>
          <t>Sub ID</t>
        </is>
      </c>
      <c r="B3" s="5" t="inlineStr">
        <is>
          <t>Company Name</t>
        </is>
      </c>
      <c r="C3" s="5" t="inlineStr">
        <is>
          <t>DBA / Trade Name</t>
        </is>
      </c>
      <c r="D3" s="5" t="inlineStr">
        <is>
          <t>Primary Contact</t>
        </is>
      </c>
      <c r="E3" s="5" t="inlineStr">
        <is>
          <t>Secondary Contact</t>
        </is>
      </c>
      <c r="F3" s="5" t="inlineStr">
        <is>
          <t>Phone</t>
        </is>
      </c>
      <c r="G3" s="5" t="inlineStr">
        <is>
          <t>Email</t>
        </is>
      </c>
      <c r="H3" s="5" t="inlineStr">
        <is>
          <t>Address</t>
        </is>
      </c>
      <c r="I3" s="5" t="inlineStr">
        <is>
          <t>EIN</t>
        </is>
      </c>
      <c r="J3" s="5" t="inlineStr">
        <is>
          <t>Trade</t>
        </is>
      </c>
      <c r="K3" s="5" t="inlineStr">
        <is>
          <t>Specialties</t>
        </is>
      </c>
      <c r="L3" s="5" t="inlineStr">
        <is>
          <t>CSI Division</t>
        </is>
      </c>
      <c r="M3" s="5" t="inlineStr">
        <is>
          <t>Division Name</t>
        </is>
      </c>
      <c r="N3" s="5" t="inlineStr">
        <is>
          <t>Years in Business</t>
        </is>
      </c>
      <c r="O3" s="5" t="inlineStr">
        <is>
          <t>Annual Revenue</t>
        </is>
      </c>
      <c r="P3" s="5" t="inlineStr">
        <is>
          <t>Employees</t>
        </is>
      </c>
      <c r="Q3" s="5" t="inlineStr">
        <is>
          <t>Office State</t>
        </is>
      </c>
      <c r="R3" s="5" t="inlineStr">
        <is>
          <t>Service Area States</t>
        </is>
      </c>
      <c r="S3" s="5" t="inlineStr">
        <is>
          <t>Prequal Status</t>
        </is>
      </c>
      <c r="T3" s="5" t="inlineStr">
        <is>
          <t>Prequal Date</t>
        </is>
      </c>
      <c r="U3" s="5" t="inlineStr">
        <is>
          <t>Prequal Renewal</t>
        </is>
      </c>
      <c r="V3" s="5" t="inlineStr">
        <is>
          <t>License #</t>
        </is>
      </c>
      <c r="W3" s="5" t="inlineStr">
        <is>
          <t>License State</t>
        </is>
      </c>
      <c r="X3" s="5" t="inlineStr">
        <is>
          <t>License Status</t>
        </is>
      </c>
      <c r="Y3" s="5" t="inlineStr">
        <is>
          <t>COI on File?</t>
        </is>
      </c>
      <c r="Z3" s="5" t="inlineStr">
        <is>
          <t>COI Expires</t>
        </is>
      </c>
      <c r="AA3" s="5" t="inlineStr">
        <is>
          <t>W9 on File?</t>
        </is>
      </c>
      <c r="AB3" s="5" t="inlineStr">
        <is>
          <t>Bonded?</t>
        </is>
      </c>
      <c r="AC3" s="5" t="inlineStr">
        <is>
          <t>Bonding Company</t>
        </is>
      </c>
      <c r="AD3" s="5" t="inlineStr">
        <is>
          <t>Single Project Bond Capacity</t>
        </is>
      </c>
      <c r="AE3" s="5" t="inlineStr">
        <is>
          <t>Aggregate Bond Capacity</t>
        </is>
      </c>
      <c r="AF3" s="5" t="inlineStr">
        <is>
          <t>DBE/MBE/WBE</t>
        </is>
      </c>
      <c r="AG3" s="5" t="inlineStr">
        <is>
          <t>DBE Cert Expires</t>
        </is>
      </c>
      <c r="AH3" s="5" t="inlineStr">
        <is>
          <t>Safety EMR</t>
        </is>
      </c>
      <c r="AI3" s="5" t="inlineStr">
        <is>
          <t>OSHA Recordable (3yr)</t>
        </is>
      </c>
      <c r="AJ3" s="5" t="inlineStr">
        <is>
          <t>Last Used Date</t>
        </is>
      </c>
      <c r="AK3" s="5" t="inlineStr">
        <is>
          <t>Score: Schedule</t>
        </is>
      </c>
      <c r="AL3" s="5" t="inlineStr">
        <is>
          <t>Score: Quality</t>
        </is>
      </c>
      <c r="AM3" s="5" t="inlineStr">
        <is>
          <t>Score: Safety</t>
        </is>
      </c>
      <c r="AN3" s="5" t="inlineStr">
        <is>
          <t>Score: Communication</t>
        </is>
      </c>
      <c r="AO3" s="5" t="inlineStr">
        <is>
          <t>Score: Financial</t>
        </is>
      </c>
      <c r="AP3" s="5" t="inlineStr">
        <is>
          <t>Overall Score</t>
        </is>
      </c>
      <c r="AQ3" s="5" t="inlineStr">
        <is>
          <t>Performance Rating</t>
        </is>
      </c>
      <c r="AR3" s="5" t="inlineStr">
        <is>
          <t>Approved?</t>
        </is>
      </c>
      <c r="AS3" s="5" t="inlineStr">
        <is>
          <t>Notes</t>
        </is>
      </c>
    </row>
    <row r="4" ht="38" customHeight="1">
      <c r="A4" s="6" t="inlineStr">
        <is>
          <t>S-001</t>
        </is>
      </c>
      <c r="B4" s="7" t="inlineStr">
        <is>
          <t>EXAMPLE - Pacific Steel Erectors</t>
        </is>
      </c>
      <c r="C4" s="8" t="inlineStr">
        <is>
          <t>PSE Steel</t>
        </is>
      </c>
      <c r="D4" s="8" t="inlineStr">
        <is>
          <t>Marcus Reyes</t>
        </is>
      </c>
      <c r="E4" s="8" t="inlineStr">
        <is>
          <t>Tanya Reyes</t>
        </is>
      </c>
      <c r="F4" s="8" t="inlineStr">
        <is>
          <t>(555) 213-8842</t>
        </is>
      </c>
      <c r="G4" s="8" t="inlineStr">
        <is>
          <t>marcus@pacificsteel.example</t>
        </is>
      </c>
      <c r="H4" s="7" t="inlineStr">
        <is>
          <t>1240 Industrial Way, Tacoma WA 98421</t>
        </is>
      </c>
      <c r="I4" s="8" t="inlineStr">
        <is>
          <t>91-2334887</t>
        </is>
      </c>
      <c r="J4" s="8" t="inlineStr">
        <is>
          <t>Structural Steel</t>
        </is>
      </c>
      <c r="K4" s="7" t="inlineStr">
        <is>
          <t>Erection, miscellaneous metals, stair fab</t>
        </is>
      </c>
      <c r="L4" s="6" t="inlineStr">
        <is>
          <t>05</t>
        </is>
      </c>
      <c r="M4" s="8">
        <f>IFERROR(VLOOKUP(L4,CSI_Table,2,FALSE),"")</f>
        <v/>
      </c>
      <c r="N4" s="9" t="n">
        <v>22</v>
      </c>
      <c r="O4" s="10" t="n">
        <v>14500000</v>
      </c>
      <c r="P4" s="9" t="n">
        <v>78</v>
      </c>
      <c r="Q4" s="8" t="inlineStr">
        <is>
          <t>WA</t>
        </is>
      </c>
      <c r="R4" s="7" t="inlineStr">
        <is>
          <t>WA, OR, ID, MT</t>
        </is>
      </c>
      <c r="S4" s="8" t="inlineStr">
        <is>
          <t>Approved</t>
        </is>
      </c>
      <c r="T4" s="11" t="inlineStr">
        <is>
          <t>2026-01-15</t>
        </is>
      </c>
      <c r="U4" s="11" t="inlineStr">
        <is>
          <t>2027-01-15</t>
        </is>
      </c>
      <c r="V4" s="8" t="inlineStr">
        <is>
          <t>WA-CTR-104882</t>
        </is>
      </c>
      <c r="W4" s="8" t="inlineStr">
        <is>
          <t>WA</t>
        </is>
      </c>
      <c r="X4" s="8" t="inlineStr">
        <is>
          <t>Active</t>
        </is>
      </c>
      <c r="Y4" s="8" t="inlineStr">
        <is>
          <t>Current</t>
        </is>
      </c>
      <c r="Z4" s="11" t="inlineStr">
        <is>
          <t>2026-09-30</t>
        </is>
      </c>
      <c r="AA4" s="8" t="inlineStr">
        <is>
          <t>Yes</t>
        </is>
      </c>
      <c r="AB4" s="8" t="inlineStr">
        <is>
          <t>Yes</t>
        </is>
      </c>
      <c r="AC4" s="8" t="inlineStr">
        <is>
          <t>Travelers Casualty</t>
        </is>
      </c>
      <c r="AD4" s="10" t="n">
        <v>5000000</v>
      </c>
      <c r="AE4" s="10" t="n">
        <v>15000000</v>
      </c>
      <c r="AF4" s="8" t="inlineStr">
        <is>
          <t>None</t>
        </is>
      </c>
      <c r="AG4" s="11" t="n"/>
      <c r="AH4" s="12" t="n">
        <v>0.78</v>
      </c>
      <c r="AI4" s="9" t="n">
        <v>0</v>
      </c>
      <c r="AJ4" s="11" t="inlineStr">
        <is>
          <t>2026-04-12</t>
        </is>
      </c>
      <c r="AK4" s="13" t="n">
        <v>5</v>
      </c>
      <c r="AL4" s="13" t="n">
        <v>5</v>
      </c>
      <c r="AM4" s="13" t="n">
        <v>5</v>
      </c>
      <c r="AN4" s="13" t="n">
        <v>4</v>
      </c>
      <c r="AO4" s="13" t="n">
        <v>5</v>
      </c>
      <c r="AP4" s="14">
        <f>IFERROR(AVERAGE(AK4:AO4),"")</f>
        <v/>
      </c>
      <c r="AQ4" s="15">
        <f>IF(AP4="","",IF(AP4&gt;=4.5,"A",IF(AP4&gt;=3.5,"B",IF(AP4&gt;=2.5,"C","D"))))</f>
        <v/>
      </c>
      <c r="AR4" s="15">
        <f>IF(AND(S4="Approved",Y4="Current",X4="Active",IFERROR(AP4&gt;=3,FALSE)),"Yes","No")</f>
        <v/>
      </c>
      <c r="AS4" s="7" t="inlineStr">
        <is>
          <t>A-list steel erector. Used on Riverside Office Bldg + Pinnacle. Bonded thru Travelers. EMR 0.78 is best-in-class.</t>
        </is>
      </c>
    </row>
    <row r="5" ht="38" customHeight="1">
      <c r="A5" s="6" t="inlineStr">
        <is>
          <t>S-002</t>
        </is>
      </c>
      <c r="B5" s="7" t="inlineStr">
        <is>
          <t>EXAMPLE - Apex Plumbing &amp; Mechanical</t>
        </is>
      </c>
      <c r="C5" s="8" t="inlineStr">
        <is>
          <t>Apex P&amp;M</t>
        </is>
      </c>
      <c r="D5" s="8" t="inlineStr">
        <is>
          <t>Dana Whitfield</t>
        </is>
      </c>
      <c r="E5" s="8" t="inlineStr">
        <is>
          <t>Carlos Mendez</t>
        </is>
      </c>
      <c r="F5" s="8" t="inlineStr">
        <is>
          <t>(555) 661-0034</t>
        </is>
      </c>
      <c r="G5" s="8" t="inlineStr">
        <is>
          <t>dana@apexpm.example</t>
        </is>
      </c>
      <c r="H5" s="7" t="inlineStr">
        <is>
          <t>5612 Service Rd, Portland OR 97211</t>
        </is>
      </c>
      <c r="I5" s="8" t="inlineStr">
        <is>
          <t>93-1118822</t>
        </is>
      </c>
      <c r="J5" s="8" t="inlineStr">
        <is>
          <t>Plumbing</t>
        </is>
      </c>
      <c r="K5" s="7" t="inlineStr">
        <is>
          <t>Commercial plumbing rough-in, medical gas, fixtures</t>
        </is>
      </c>
      <c r="L5" s="6" t="inlineStr">
        <is>
          <t>22</t>
        </is>
      </c>
      <c r="M5" s="8">
        <f>IFERROR(VLOOKUP(L5,CSI_Table,2,FALSE),"")</f>
        <v/>
      </c>
      <c r="N5" s="9" t="n">
        <v>18</v>
      </c>
      <c r="O5" s="10" t="n">
        <v>9200000</v>
      </c>
      <c r="P5" s="9" t="n">
        <v>54</v>
      </c>
      <c r="Q5" s="8" t="inlineStr">
        <is>
          <t>OR</t>
        </is>
      </c>
      <c r="R5" s="7" t="inlineStr">
        <is>
          <t>OR, WA</t>
        </is>
      </c>
      <c r="S5" s="8" t="inlineStr">
        <is>
          <t>Approved</t>
        </is>
      </c>
      <c r="T5" s="11" t="inlineStr">
        <is>
          <t>2025-11-08</t>
        </is>
      </c>
      <c r="U5" s="11" t="inlineStr">
        <is>
          <t>2026-11-08</t>
        </is>
      </c>
      <c r="V5" s="8" t="inlineStr">
        <is>
          <t>OR-PLB-77231</t>
        </is>
      </c>
      <c r="W5" s="8" t="inlineStr">
        <is>
          <t>OR</t>
        </is>
      </c>
      <c r="X5" s="8" t="inlineStr">
        <is>
          <t>Active</t>
        </is>
      </c>
      <c r="Y5" s="8" t="inlineStr">
        <is>
          <t>Current</t>
        </is>
      </c>
      <c r="Z5" s="11" t="inlineStr">
        <is>
          <t>2026-12-31</t>
        </is>
      </c>
      <c r="AA5" s="8" t="inlineStr">
        <is>
          <t>Yes</t>
        </is>
      </c>
      <c r="AB5" s="8" t="inlineStr">
        <is>
          <t>Yes</t>
        </is>
      </c>
      <c r="AC5" s="8" t="inlineStr">
        <is>
          <t>Liberty Mutual</t>
        </is>
      </c>
      <c r="AD5" s="10" t="n">
        <v>3000000</v>
      </c>
      <c r="AE5" s="10" t="n">
        <v>8000000</v>
      </c>
      <c r="AF5" s="8" t="inlineStr">
        <is>
          <t>None</t>
        </is>
      </c>
      <c r="AG5" s="11" t="n"/>
      <c r="AH5" s="12" t="n">
        <v>0.92</v>
      </c>
      <c r="AI5" s="9" t="n">
        <v>1</v>
      </c>
      <c r="AJ5" s="11" t="inlineStr">
        <is>
          <t>2026-05-02</t>
        </is>
      </c>
      <c r="AK5" s="13" t="n">
        <v>4</v>
      </c>
      <c r="AL5" s="13" t="n">
        <v>4</v>
      </c>
      <c r="AM5" s="13" t="n">
        <v>4</v>
      </c>
      <c r="AN5" s="13" t="n">
        <v>5</v>
      </c>
      <c r="AO5" s="13" t="n">
        <v>4</v>
      </c>
      <c r="AP5" s="14">
        <f>IFERROR(AVERAGE(AK5:AO5),"")</f>
        <v/>
      </c>
      <c r="AQ5" s="15">
        <f>IF(AP5="","",IF(AP5&gt;=4.5,"A",IF(AP5&gt;=3.5,"B",IF(AP5&gt;=2.5,"C","D"))))</f>
        <v/>
      </c>
      <c r="AR5" s="15">
        <f>IF(AND(S5="Approved",Y5="Current",X5="Active",IFERROR(AP5&gt;=3,FALSE)),"Yes","No")</f>
        <v/>
      </c>
      <c r="AS5" s="7" t="inlineStr">
        <is>
          <t>Reliable plumbing partner. Strong on med gas. EMR fine. Pay app cadence monthly, never a friction.</t>
        </is>
      </c>
    </row>
    <row r="6" ht="38" customHeight="1">
      <c r="A6" s="6" t="inlineStr">
        <is>
          <t>S-003</t>
        </is>
      </c>
      <c r="B6" s="7" t="inlineStr">
        <is>
          <t>EXAMPLE - Bayside Electric LLC</t>
        </is>
      </c>
      <c r="C6" s="8" t="inlineStr"/>
      <c r="D6" s="8" t="inlineStr">
        <is>
          <t>Renee Hu</t>
        </is>
      </c>
      <c r="E6" s="8" t="inlineStr">
        <is>
          <t>Jon Park</t>
        </is>
      </c>
      <c r="F6" s="8" t="inlineStr">
        <is>
          <t>(555) 408-2917</t>
        </is>
      </c>
      <c r="G6" s="8" t="inlineStr">
        <is>
          <t>renee@baysideelec.example</t>
        </is>
      </c>
      <c r="H6" s="7" t="inlineStr">
        <is>
          <t>888 Harbor Blvd, Oakland CA 94606</t>
        </is>
      </c>
      <c r="I6" s="8" t="inlineStr">
        <is>
          <t>94-2207715</t>
        </is>
      </c>
      <c r="J6" s="8" t="inlineStr">
        <is>
          <t>Electrical</t>
        </is>
      </c>
      <c r="K6" s="7" t="inlineStr">
        <is>
          <t>Service entrance, lighting controls, fire alarm</t>
        </is>
      </c>
      <c r="L6" s="6" t="inlineStr">
        <is>
          <t>26</t>
        </is>
      </c>
      <c r="M6" s="8">
        <f>IFERROR(VLOOKUP(L6,CSI_Table,2,FALSE),"")</f>
        <v/>
      </c>
      <c r="N6" s="9" t="n">
        <v>9</v>
      </c>
      <c r="O6" s="10" t="n">
        <v>4400000</v>
      </c>
      <c r="P6" s="9" t="n">
        <v>28</v>
      </c>
      <c r="Q6" s="8" t="inlineStr">
        <is>
          <t>CA</t>
        </is>
      </c>
      <c r="R6" s="7" t="inlineStr">
        <is>
          <t>CA, NV</t>
        </is>
      </c>
      <c r="S6" s="8" t="inlineStr">
        <is>
          <t>Conditionally Approved</t>
        </is>
      </c>
      <c r="T6" s="11" t="inlineStr">
        <is>
          <t>2026-02-22</t>
        </is>
      </c>
      <c r="U6" s="11" t="inlineStr">
        <is>
          <t>2026-08-22</t>
        </is>
      </c>
      <c r="V6" s="8" t="inlineStr">
        <is>
          <t>CA-C10-1004821</t>
        </is>
      </c>
      <c r="W6" s="8" t="inlineStr">
        <is>
          <t>CA</t>
        </is>
      </c>
      <c r="X6" s="8" t="inlineStr">
        <is>
          <t>Active</t>
        </is>
      </c>
      <c r="Y6" s="8" t="inlineStr">
        <is>
          <t>Expired</t>
        </is>
      </c>
      <c r="Z6" s="11" t="inlineStr">
        <is>
          <t>2026-04-30</t>
        </is>
      </c>
      <c r="AA6" s="8" t="inlineStr">
        <is>
          <t>Yes</t>
        </is>
      </c>
      <c r="AB6" s="8" t="inlineStr">
        <is>
          <t>No</t>
        </is>
      </c>
      <c r="AC6" s="8" t="inlineStr"/>
      <c r="AD6" s="10" t="n"/>
      <c r="AE6" s="10" t="n"/>
      <c r="AF6" s="8" t="inlineStr">
        <is>
          <t>MBE</t>
        </is>
      </c>
      <c r="AG6" s="11" t="inlineStr">
        <is>
          <t>2027-03-01</t>
        </is>
      </c>
      <c r="AH6" s="12" t="n">
        <v>1.12</v>
      </c>
      <c r="AI6" s="9" t="n">
        <v>2</v>
      </c>
      <c r="AJ6" s="11" t="inlineStr">
        <is>
          <t>2026-02-12</t>
        </is>
      </c>
      <c r="AK6" s="13" t="n">
        <v>3</v>
      </c>
      <c r="AL6" s="13" t="n">
        <v>4</v>
      </c>
      <c r="AM6" s="13" t="n">
        <v>2</v>
      </c>
      <c r="AN6" s="13" t="n">
        <v>3</v>
      </c>
      <c r="AO6" s="13" t="n">
        <v>3</v>
      </c>
      <c r="AP6" s="14">
        <f>IFERROR(AVERAGE(AK6:AO6),"")</f>
        <v/>
      </c>
      <c r="AQ6" s="15">
        <f>IF(AP6="","",IF(AP6&gt;=4.5,"A",IF(AP6&gt;=3.5,"B",IF(AP6&gt;=2.5,"C","D"))))</f>
        <v/>
      </c>
      <c r="AR6" s="15">
        <f>IF(AND(S6="Approved",Y6="Current",X6="Active",IFERROR(AP6&gt;=3,FALSE)),"Yes","No")</f>
        <v/>
      </c>
      <c r="AS6" s="7" t="inlineStr">
        <is>
          <t>RISK: COI expired 2026-04-30. EMR 1.12 over target. MBE cert valid. Quality fine, safety + paperwork need work.</t>
        </is>
      </c>
    </row>
    <row r="7" ht="38" customHeight="1">
      <c r="A7" s="6" t="inlineStr">
        <is>
          <t>S-004</t>
        </is>
      </c>
      <c r="B7" s="7" t="inlineStr">
        <is>
          <t>EXAMPLE - North Cascade HVAC</t>
        </is>
      </c>
      <c r="C7" s="8" t="inlineStr">
        <is>
          <t>NC HVAC</t>
        </is>
      </c>
      <c r="D7" s="8" t="inlineStr">
        <is>
          <t>Sam Petrov</t>
        </is>
      </c>
      <c r="E7" s="8" t="inlineStr">
        <is>
          <t>Anna Petrov</t>
        </is>
      </c>
      <c r="F7" s="8" t="inlineStr">
        <is>
          <t>(555) 920-4477</t>
        </is>
      </c>
      <c r="G7" s="8" t="inlineStr">
        <is>
          <t>sam@ncascadehvac.example</t>
        </is>
      </c>
      <c r="H7" s="7" t="inlineStr">
        <is>
          <t>201 Mountain View Dr, Bellingham WA 98225</t>
        </is>
      </c>
      <c r="I7" s="8" t="inlineStr">
        <is>
          <t>91-3447721</t>
        </is>
      </c>
      <c r="J7" s="8" t="inlineStr">
        <is>
          <t>HVAC</t>
        </is>
      </c>
      <c r="K7" s="7" t="inlineStr">
        <is>
          <t>VAV controls, RTU install, commissioning support</t>
        </is>
      </c>
      <c r="L7" s="6" t="inlineStr">
        <is>
          <t>23</t>
        </is>
      </c>
      <c r="M7" s="8">
        <f>IFERROR(VLOOKUP(L7,CSI_Table,2,FALSE),"")</f>
        <v/>
      </c>
      <c r="N7" s="9" t="n">
        <v>14</v>
      </c>
      <c r="O7" s="10" t="n">
        <v>6800000</v>
      </c>
      <c r="P7" s="9" t="n">
        <v>41</v>
      </c>
      <c r="Q7" s="8" t="inlineStr">
        <is>
          <t>WA</t>
        </is>
      </c>
      <c r="R7" s="7" t="inlineStr">
        <is>
          <t>WA</t>
        </is>
      </c>
      <c r="S7" s="8" t="inlineStr">
        <is>
          <t>Approved</t>
        </is>
      </c>
      <c r="T7" s="11" t="inlineStr">
        <is>
          <t>2026-03-01</t>
        </is>
      </c>
      <c r="U7" s="11" t="inlineStr">
        <is>
          <t>2027-03-01</t>
        </is>
      </c>
      <c r="V7" s="8" t="inlineStr">
        <is>
          <t>WA-MEC-55619</t>
        </is>
      </c>
      <c r="W7" s="8" t="inlineStr">
        <is>
          <t>WA</t>
        </is>
      </c>
      <c r="X7" s="8" t="inlineStr">
        <is>
          <t>Active</t>
        </is>
      </c>
      <c r="Y7" s="8" t="inlineStr">
        <is>
          <t>Current</t>
        </is>
      </c>
      <c r="Z7" s="11" t="inlineStr">
        <is>
          <t>2027-01-15</t>
        </is>
      </c>
      <c r="AA7" s="8" t="inlineStr">
        <is>
          <t>Yes</t>
        </is>
      </c>
      <c r="AB7" s="8" t="inlineStr">
        <is>
          <t>Yes</t>
        </is>
      </c>
      <c r="AC7" s="8" t="inlineStr">
        <is>
          <t>Travelers Casualty</t>
        </is>
      </c>
      <c r="AD7" s="10" t="n">
        <v>2500000</v>
      </c>
      <c r="AE7" s="10" t="n">
        <v>7000000</v>
      </c>
      <c r="AF7" s="8" t="inlineStr">
        <is>
          <t>None</t>
        </is>
      </c>
      <c r="AG7" s="11" t="n"/>
      <c r="AH7" s="12" t="n">
        <v>0.85</v>
      </c>
      <c r="AI7" s="9" t="n">
        <v>0</v>
      </c>
      <c r="AJ7" s="11" t="inlineStr">
        <is>
          <t>2026-03-22</t>
        </is>
      </c>
      <c r="AK7" s="13" t="n">
        <v>5</v>
      </c>
      <c r="AL7" s="13" t="n">
        <v>5</v>
      </c>
      <c r="AM7" s="13" t="n">
        <v>5</v>
      </c>
      <c r="AN7" s="13" t="n">
        <v>5</v>
      </c>
      <c r="AO7" s="13" t="n">
        <v>4</v>
      </c>
      <c r="AP7" s="14">
        <f>IFERROR(AVERAGE(AK7:AO7),"")</f>
        <v/>
      </c>
      <c r="AQ7" s="15">
        <f>IF(AP7="","",IF(AP7&gt;=4.5,"A",IF(AP7&gt;=3.5,"B",IF(AP7&gt;=2.5,"C","D"))))</f>
        <v/>
      </c>
      <c r="AR7" s="15">
        <f>IF(AND(S7="Approved",Y7="Current",X7="Active",IFERROR(AP7&gt;=3,FALSE)),"Yes","No")</f>
        <v/>
      </c>
      <c r="AS7" s="7" t="inlineStr">
        <is>
          <t>Top-tier HVAC. Strong VAV controls. Approved on Riverside + Pinnacle. Best performer in the HVAC bench.</t>
        </is>
      </c>
    </row>
    <row r="8" ht="38" customHeight="1">
      <c r="A8" s="6" t="inlineStr">
        <is>
          <t>S-005</t>
        </is>
      </c>
      <c r="B8" s="7" t="inlineStr">
        <is>
          <t>EXAMPLE - Granite West Concrete</t>
        </is>
      </c>
      <c r="C8" s="8" t="inlineStr">
        <is>
          <t>Granite West</t>
        </is>
      </c>
      <c r="D8" s="8" t="inlineStr">
        <is>
          <t>Tomas Okafor</t>
        </is>
      </c>
      <c r="E8" s="8" t="inlineStr">
        <is>
          <t>Marie Okafor</t>
        </is>
      </c>
      <c r="F8" s="8" t="inlineStr">
        <is>
          <t>(555) 717-3360</t>
        </is>
      </c>
      <c r="G8" s="8" t="inlineStr">
        <is>
          <t>tomas@granitewest.example</t>
        </is>
      </c>
      <c r="H8" s="7" t="inlineStr">
        <is>
          <t>3300 Plant Rd, Spokane WA 99202</t>
        </is>
      </c>
      <c r="I8" s="8" t="inlineStr">
        <is>
          <t>91-4498822</t>
        </is>
      </c>
      <c r="J8" s="8" t="inlineStr">
        <is>
          <t>Concrete</t>
        </is>
      </c>
      <c r="K8" s="7" t="inlineStr">
        <is>
          <t>Slab on grade, footings, small structural pours</t>
        </is>
      </c>
      <c r="L8" s="6" t="inlineStr">
        <is>
          <t>03</t>
        </is>
      </c>
      <c r="M8" s="8">
        <f>IFERROR(VLOOKUP(L8,CSI_Table,2,FALSE),"")</f>
        <v/>
      </c>
      <c r="N8" s="9" t="n">
        <v>26</v>
      </c>
      <c r="O8" s="10" t="n">
        <v>12100000</v>
      </c>
      <c r="P8" s="9" t="n">
        <v>65</v>
      </c>
      <c r="Q8" s="8" t="inlineStr">
        <is>
          <t>WA</t>
        </is>
      </c>
      <c r="R8" s="7" t="inlineStr">
        <is>
          <t>WA, ID, MT</t>
        </is>
      </c>
      <c r="S8" s="8" t="inlineStr">
        <is>
          <t>Approved</t>
        </is>
      </c>
      <c r="T8" s="11" t="inlineStr">
        <is>
          <t>2025-09-15</t>
        </is>
      </c>
      <c r="U8" s="11" t="inlineStr">
        <is>
          <t>2026-09-15</t>
        </is>
      </c>
      <c r="V8" s="8" t="inlineStr">
        <is>
          <t>WA-CON-88914</t>
        </is>
      </c>
      <c r="W8" s="8" t="inlineStr">
        <is>
          <t>WA</t>
        </is>
      </c>
      <c r="X8" s="8" t="inlineStr">
        <is>
          <t>Active</t>
        </is>
      </c>
      <c r="Y8" s="8" t="inlineStr">
        <is>
          <t>Current</t>
        </is>
      </c>
      <c r="Z8" s="11" t="inlineStr">
        <is>
          <t>2026-11-30</t>
        </is>
      </c>
      <c r="AA8" s="8" t="inlineStr">
        <is>
          <t>Yes</t>
        </is>
      </c>
      <c r="AB8" s="8" t="inlineStr">
        <is>
          <t>Yes</t>
        </is>
      </c>
      <c r="AC8" s="8" t="inlineStr">
        <is>
          <t>Zurich North America</t>
        </is>
      </c>
      <c r="AD8" s="10" t="n">
        <v>4000000</v>
      </c>
      <c r="AE8" s="10" t="n">
        <v>10000000</v>
      </c>
      <c r="AF8" s="8" t="inlineStr">
        <is>
          <t>None</t>
        </is>
      </c>
      <c r="AG8" s="11" t="n"/>
      <c r="AH8" s="12" t="n">
        <v>0.88</v>
      </c>
      <c r="AI8" s="9" t="n">
        <v>1</v>
      </c>
      <c r="AJ8" s="11" t="inlineStr">
        <is>
          <t>2026-01-18</t>
        </is>
      </c>
      <c r="AK8" s="13" t="n">
        <v>3</v>
      </c>
      <c r="AL8" s="13" t="n">
        <v>4</v>
      </c>
      <c r="AM8" s="13" t="n">
        <v>4</v>
      </c>
      <c r="AN8" s="13" t="n">
        <v>3</v>
      </c>
      <c r="AO8" s="13" t="n">
        <v>4</v>
      </c>
      <c r="AP8" s="14">
        <f>IFERROR(AVERAGE(AK8:AO8),"")</f>
        <v/>
      </c>
      <c r="AQ8" s="15">
        <f>IF(AP8="","",IF(AP8&gt;=4.5,"A",IF(AP8&gt;=3.5,"B",IF(AP8&gt;=2.5,"C","D"))))</f>
        <v/>
      </c>
      <c r="AR8" s="15">
        <f>IF(AND(S8="Approved",Y8="Current",X8="Active",IFERROR(AP8&gt;=3,FALSE)),"Yes","No")</f>
        <v/>
      </c>
      <c r="AS8" s="7" t="inlineStr">
        <is>
          <t>Solid for slabs up to ~10K SF. Bigger pours we route to GraniteCore. Schedule slippage is the recurring friction.</t>
        </is>
      </c>
    </row>
    <row r="9" ht="38" customHeight="1">
      <c r="A9" s="6" t="inlineStr">
        <is>
          <t>S-006</t>
        </is>
      </c>
      <c r="B9" s="7" t="inlineStr">
        <is>
          <t>EXAMPLE - Cornerstone Masonry</t>
        </is>
      </c>
      <c r="C9" s="8" t="inlineStr">
        <is>
          <t>Cornerstone</t>
        </is>
      </c>
      <c r="D9" s="8" t="inlineStr">
        <is>
          <t>Lila Bennett</t>
        </is>
      </c>
      <c r="E9" s="8" t="inlineStr"/>
      <c r="F9" s="8" t="inlineStr">
        <is>
          <t>(555) 332-5511</t>
        </is>
      </c>
      <c r="G9" s="8" t="inlineStr">
        <is>
          <t>lila@cornermason.example</t>
        </is>
      </c>
      <c r="H9" s="7" t="inlineStr">
        <is>
          <t>44 Brick Yard Ln, Boise ID 83702</t>
        </is>
      </c>
      <c r="I9" s="8" t="inlineStr">
        <is>
          <t>82-2218833</t>
        </is>
      </c>
      <c r="J9" s="8" t="inlineStr">
        <is>
          <t>Masonry</t>
        </is>
      </c>
      <c r="K9" s="7" t="inlineStr">
        <is>
          <t>CMU, brick veneer, stone</t>
        </is>
      </c>
      <c r="L9" s="6" t="inlineStr">
        <is>
          <t>04</t>
        </is>
      </c>
      <c r="M9" s="8">
        <f>IFERROR(VLOOKUP(L9,CSI_Table,2,FALSE),"")</f>
        <v/>
      </c>
      <c r="N9" s="9" t="n">
        <v>6</v>
      </c>
      <c r="O9" s="10" t="n">
        <v>1900000</v>
      </c>
      <c r="P9" s="9" t="n">
        <v>14</v>
      </c>
      <c r="Q9" s="8" t="inlineStr">
        <is>
          <t>ID</t>
        </is>
      </c>
      <c r="R9" s="7" t="inlineStr">
        <is>
          <t>ID, WA, OR</t>
        </is>
      </c>
      <c r="S9" s="8" t="inlineStr">
        <is>
          <t>Pending</t>
        </is>
      </c>
      <c r="T9" s="11" t="inlineStr">
        <is>
          <t>2026-04-30</t>
        </is>
      </c>
      <c r="U9" s="11" t="inlineStr">
        <is>
          <t>2026-10-30</t>
        </is>
      </c>
      <c r="V9" s="8" t="inlineStr">
        <is>
          <t>ID-MSN-21908</t>
        </is>
      </c>
      <c r="W9" s="8" t="inlineStr">
        <is>
          <t>ID</t>
        </is>
      </c>
      <c r="X9" s="8" t="inlineStr">
        <is>
          <t>Pending</t>
        </is>
      </c>
      <c r="Y9" s="8" t="inlineStr">
        <is>
          <t>None</t>
        </is>
      </c>
      <c r="Z9" s="11" t="n"/>
      <c r="AA9" s="8" t="inlineStr">
        <is>
          <t>No</t>
        </is>
      </c>
      <c r="AB9" s="8" t="inlineStr">
        <is>
          <t>No</t>
        </is>
      </c>
      <c r="AC9" s="8" t="inlineStr"/>
      <c r="AD9" s="10" t="n"/>
      <c r="AE9" s="10" t="n"/>
      <c r="AF9" s="8" t="inlineStr">
        <is>
          <t>WBE</t>
        </is>
      </c>
      <c r="AG9" s="11" t="inlineStr">
        <is>
          <t>2027-05-15</t>
        </is>
      </c>
      <c r="AH9" s="12" t="n">
        <v>1.05</v>
      </c>
      <c r="AI9" s="9" t="n">
        <v>0</v>
      </c>
      <c r="AJ9" s="11" t="n"/>
      <c r="AK9" s="13" t="n"/>
      <c r="AL9" s="13" t="n"/>
      <c r="AM9" s="13" t="n"/>
      <c r="AN9" s="13" t="n"/>
      <c r="AO9" s="13" t="n"/>
      <c r="AP9" s="14">
        <f>IFERROR(AVERAGE(AK9:AO9),"")</f>
        <v/>
      </c>
      <c r="AQ9" s="15">
        <f>IF(AP9="","",IF(AP9&gt;=4.5,"A",IF(AP9&gt;=3.5,"B",IF(AP9&gt;=2.5,"C","D"))))</f>
        <v/>
      </c>
      <c r="AR9" s="15">
        <f>IF(AND(S9="Approved",Y9="Current",X9="Active",IFERROR(AP9&gt;=3,FALSE)),"Yes","No")</f>
        <v/>
      </c>
      <c r="AS9" s="7" t="inlineStr">
        <is>
          <t>New relationship. Prequal in progress. License renewal + W9 still pending. Hold all awards until full prequal closes. WBE certified.</t>
        </is>
      </c>
    </row>
    <row r="10" ht="38" customHeight="1">
      <c r="A10" s="6" t="inlineStr">
        <is>
          <t>S-007</t>
        </is>
      </c>
      <c r="B10" s="7" t="inlineStr">
        <is>
          <t>EXAMPLE - Skyline Roofing Co</t>
        </is>
      </c>
      <c r="C10" s="8" t="inlineStr">
        <is>
          <t>Skyline</t>
        </is>
      </c>
      <c r="D10" s="8" t="inlineStr">
        <is>
          <t>Jorge Alvarez</t>
        </is>
      </c>
      <c r="E10" s="8" t="inlineStr">
        <is>
          <t>Maria Alvarez</t>
        </is>
      </c>
      <c r="F10" s="8" t="inlineStr">
        <is>
          <t>(555) 224-6611</t>
        </is>
      </c>
      <c r="G10" s="8" t="inlineStr">
        <is>
          <t>jorge@skylineroof.example</t>
        </is>
      </c>
      <c r="H10" s="7" t="inlineStr">
        <is>
          <t>1101 Industrial Pkwy, Reno NV 89502</t>
        </is>
      </c>
      <c r="I10" s="8" t="inlineStr">
        <is>
          <t>88-1144229</t>
        </is>
      </c>
      <c r="J10" s="8" t="inlineStr">
        <is>
          <t>Roofing</t>
        </is>
      </c>
      <c r="K10" s="7" t="inlineStr">
        <is>
          <t>TPO, modified bit, flashing details</t>
        </is>
      </c>
      <c r="L10" s="6" t="inlineStr">
        <is>
          <t>07</t>
        </is>
      </c>
      <c r="M10" s="8">
        <f>IFERROR(VLOOKUP(L10,CSI_Table,2,FALSE),"")</f>
        <v/>
      </c>
      <c r="N10" s="9" t="n">
        <v>11</v>
      </c>
      <c r="O10" s="10" t="n">
        <v>5300000</v>
      </c>
      <c r="P10" s="9" t="n">
        <v>32</v>
      </c>
      <c r="Q10" s="8" t="inlineStr">
        <is>
          <t>NV</t>
        </is>
      </c>
      <c r="R10" s="7" t="inlineStr">
        <is>
          <t>NV, CA, UT</t>
        </is>
      </c>
      <c r="S10" s="8" t="inlineStr">
        <is>
          <t>Approved</t>
        </is>
      </c>
      <c r="T10" s="11" t="inlineStr">
        <is>
          <t>2026-01-30</t>
        </is>
      </c>
      <c r="U10" s="11" t="inlineStr">
        <is>
          <t>2027-01-30</t>
        </is>
      </c>
      <c r="V10" s="8" t="inlineStr">
        <is>
          <t>NV-ROOF-44520</t>
        </is>
      </c>
      <c r="W10" s="8" t="inlineStr">
        <is>
          <t>NV</t>
        </is>
      </c>
      <c r="X10" s="8" t="inlineStr">
        <is>
          <t>Active</t>
        </is>
      </c>
      <c r="Y10" s="8" t="inlineStr">
        <is>
          <t>Current</t>
        </is>
      </c>
      <c r="Z10" s="11" t="inlineStr">
        <is>
          <t>2026-10-15</t>
        </is>
      </c>
      <c r="AA10" s="8" t="inlineStr">
        <is>
          <t>Yes</t>
        </is>
      </c>
      <c r="AB10" s="8" t="inlineStr">
        <is>
          <t>Yes</t>
        </is>
      </c>
      <c r="AC10" s="8" t="inlineStr">
        <is>
          <t>Liberty Mutual</t>
        </is>
      </c>
      <c r="AD10" s="10" t="n">
        <v>2000000</v>
      </c>
      <c r="AE10" s="10" t="n">
        <v>5000000</v>
      </c>
      <c r="AF10" s="8" t="inlineStr">
        <is>
          <t>DBE</t>
        </is>
      </c>
      <c r="AG10" s="11" t="inlineStr">
        <is>
          <t>2026-12-31</t>
        </is>
      </c>
      <c r="AH10" s="12" t="n">
        <v>0.95</v>
      </c>
      <c r="AI10" s="9" t="n">
        <v>1</v>
      </c>
      <c r="AJ10" s="11" t="inlineStr">
        <is>
          <t>2026-04-19</t>
        </is>
      </c>
      <c r="AK10" s="13" t="n">
        <v>4</v>
      </c>
      <c r="AL10" s="13" t="n">
        <v>4</v>
      </c>
      <c r="AM10" s="13" t="n">
        <v>5</v>
      </c>
      <c r="AN10" s="13" t="n">
        <v>4</v>
      </c>
      <c r="AO10" s="13" t="n">
        <v>4</v>
      </c>
      <c r="AP10" s="14">
        <f>IFERROR(AVERAGE(AK10:AO10),"")</f>
        <v/>
      </c>
      <c r="AQ10" s="15">
        <f>IF(AP10="","",IF(AP10&gt;=4.5,"A",IF(AP10&gt;=3.5,"B",IF(AP10&gt;=2.5,"C","D"))))</f>
        <v/>
      </c>
      <c r="AR10" s="15">
        <f>IF(AND(S10="Approved",Y10="Current",X10="Active",IFERROR(AP10&gt;=3,FALSE)),"Yes","No")</f>
        <v/>
      </c>
      <c r="AS10" s="7" t="inlineStr">
        <is>
          <t>TPO + mod-bit specialist. Strong on emergency repair (Riverside wind event). Premium pricing but they show up. DBE cert valid.</t>
        </is>
      </c>
    </row>
    <row r="11" ht="38" customHeight="1">
      <c r="A11" s="6" t="inlineStr">
        <is>
          <t>S-008</t>
        </is>
      </c>
      <c r="B11" s="7" t="inlineStr">
        <is>
          <t>EXAMPLE - Allied Drywall &amp; Finishes</t>
        </is>
      </c>
      <c r="C11" s="8" t="inlineStr">
        <is>
          <t>Allied DW</t>
        </is>
      </c>
      <c r="D11" s="8" t="inlineStr">
        <is>
          <t>Kim Park</t>
        </is>
      </c>
      <c r="E11" s="8" t="inlineStr">
        <is>
          <t>Eddie Park</t>
        </is>
      </c>
      <c r="F11" s="8" t="inlineStr">
        <is>
          <t>(555) 559-2218</t>
        </is>
      </c>
      <c r="G11" s="8" t="inlineStr">
        <is>
          <t>kim@allieddrywall.example</t>
        </is>
      </c>
      <c r="H11" s="7" t="inlineStr">
        <is>
          <t>78 Trade Center Dr, Seattle WA 98108</t>
        </is>
      </c>
      <c r="I11" s="8" t="inlineStr">
        <is>
          <t>91-5572281</t>
        </is>
      </c>
      <c r="J11" s="8" t="inlineStr">
        <is>
          <t>Drywall</t>
        </is>
      </c>
      <c r="K11" s="7" t="inlineStr">
        <is>
          <t>Metal stud framing, drywall, acoustic ceilings, paint</t>
        </is>
      </c>
      <c r="L11" s="6" t="inlineStr">
        <is>
          <t>09</t>
        </is>
      </c>
      <c r="M11" s="8">
        <f>IFERROR(VLOOKUP(L11,CSI_Table,2,FALSE),"")</f>
        <v/>
      </c>
      <c r="N11" s="9" t="n">
        <v>8</v>
      </c>
      <c r="O11" s="10" t="n">
        <v>3100000</v>
      </c>
      <c r="P11" s="9" t="n">
        <v>22</v>
      </c>
      <c r="Q11" s="8" t="inlineStr">
        <is>
          <t>WA</t>
        </is>
      </c>
      <c r="R11" s="7" t="inlineStr">
        <is>
          <t>WA</t>
        </is>
      </c>
      <c r="S11" s="8" t="inlineStr">
        <is>
          <t>Inactive</t>
        </is>
      </c>
      <c r="T11" s="11" t="inlineStr">
        <is>
          <t>2025-06-01</t>
        </is>
      </c>
      <c r="U11" s="11" t="inlineStr">
        <is>
          <t>2026-06-01</t>
        </is>
      </c>
      <c r="V11" s="8" t="inlineStr">
        <is>
          <t>WA-CTR-203847</t>
        </is>
      </c>
      <c r="W11" s="8" t="inlineStr">
        <is>
          <t>WA</t>
        </is>
      </c>
      <c r="X11" s="8" t="inlineStr">
        <is>
          <t>Expired</t>
        </is>
      </c>
      <c r="Y11" s="8" t="inlineStr">
        <is>
          <t>None</t>
        </is>
      </c>
      <c r="Z11" s="11" t="n"/>
      <c r="AA11" s="8" t="inlineStr">
        <is>
          <t>Yes</t>
        </is>
      </c>
      <c r="AB11" s="8" t="inlineStr">
        <is>
          <t>No</t>
        </is>
      </c>
      <c r="AC11" s="8" t="inlineStr"/>
      <c r="AD11" s="10" t="n"/>
      <c r="AE11" s="10" t="n"/>
      <c r="AF11" s="8" t="inlineStr">
        <is>
          <t>None</t>
        </is>
      </c>
      <c r="AG11" s="11" t="n"/>
      <c r="AH11" s="12" t="n">
        <v>1.35</v>
      </c>
      <c r="AI11" s="9" t="n">
        <v>4</v>
      </c>
      <c r="AJ11" s="11" t="inlineStr">
        <is>
          <t>2025-11-04</t>
        </is>
      </c>
      <c r="AK11" s="13" t="n">
        <v>2</v>
      </c>
      <c r="AL11" s="13" t="n">
        <v>2</v>
      </c>
      <c r="AM11" s="13" t="n">
        <v>1</v>
      </c>
      <c r="AN11" s="13" t="n">
        <v>2</v>
      </c>
      <c r="AO11" s="13" t="n">
        <v>3</v>
      </c>
      <c r="AP11" s="14">
        <f>IFERROR(AVERAGE(AK11:AO11),"")</f>
        <v/>
      </c>
      <c r="AQ11" s="15">
        <f>IF(AP11="","",IF(AP11&gt;=4.5,"A",IF(AP11&gt;=3.5,"B",IF(AP11&gt;=2.5,"C","D"))))</f>
        <v/>
      </c>
      <c r="AR11" s="15">
        <f>IF(AND(S11="Approved",Y11="Current",X11="Active",IFERROR(AP11&gt;=3,FALSE)),"Yes","No")</f>
        <v/>
      </c>
      <c r="AS11" s="7" t="inlineStr">
        <is>
          <t>RETIRED from active bid list. EMR 1.35, 4 OSHA incidents last 3 yrs, license expired, COI lapsed. Do not award. Kept on record for history.</t>
        </is>
      </c>
    </row>
    <row r="12" ht="38" customHeight="1">
      <c r="A12" s="6" t="n"/>
      <c r="B12" s="7" t="n"/>
      <c r="C12" s="8" t="n"/>
      <c r="D12" s="8" t="n"/>
      <c r="E12" s="8" t="n"/>
      <c r="F12" s="8" t="n"/>
      <c r="G12" s="8" t="n"/>
      <c r="H12" s="7" t="n"/>
      <c r="I12" s="8" t="n"/>
      <c r="J12" s="8" t="n"/>
      <c r="K12" s="7" t="n"/>
      <c r="L12" s="6" t="n"/>
      <c r="M12" s="8">
        <f>IFERROR(VLOOKUP(L12,CSI_Table,2,FALSE),"")</f>
        <v/>
      </c>
      <c r="N12" s="9" t="n"/>
      <c r="O12" s="10" t="n"/>
      <c r="P12" s="9" t="n"/>
      <c r="Q12" s="8" t="n"/>
      <c r="R12" s="7" t="n"/>
      <c r="S12" s="8" t="n"/>
      <c r="T12" s="11" t="n"/>
      <c r="U12" s="11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10" t="n"/>
      <c r="AE12" s="10" t="n"/>
      <c r="AF12" s="8" t="n"/>
      <c r="AG12" s="11" t="n"/>
      <c r="AH12" s="12" t="n"/>
      <c r="AI12" s="9" t="n"/>
      <c r="AJ12" s="11" t="n"/>
      <c r="AK12" s="13" t="n"/>
      <c r="AL12" s="13" t="n"/>
      <c r="AM12" s="13" t="n"/>
      <c r="AN12" s="13" t="n"/>
      <c r="AO12" s="13" t="n"/>
      <c r="AP12" s="14">
        <f>IFERROR(AVERAGE(AK12:AO12),"")</f>
        <v/>
      </c>
      <c r="AQ12" s="15">
        <f>IF(AP12="","",IF(AP12&gt;=4.5,"A",IF(AP12&gt;=3.5,"B",IF(AP12&gt;=2.5,"C","D"))))</f>
        <v/>
      </c>
      <c r="AR12" s="15">
        <f>IF(AND(S12="Approved",Y12="Current",X12="Active",IFERROR(AP12&gt;=3,FALSE)),"Yes","No")</f>
        <v/>
      </c>
      <c r="AS12" s="7" t="n"/>
    </row>
    <row r="13" ht="38" customHeight="1">
      <c r="A13" s="6" t="n"/>
      <c r="B13" s="7" t="n"/>
      <c r="C13" s="8" t="n"/>
      <c r="D13" s="8" t="n"/>
      <c r="E13" s="8" t="n"/>
      <c r="F13" s="8" t="n"/>
      <c r="G13" s="8" t="n"/>
      <c r="H13" s="7" t="n"/>
      <c r="I13" s="8" t="n"/>
      <c r="J13" s="8" t="n"/>
      <c r="K13" s="7" t="n"/>
      <c r="L13" s="6" t="n"/>
      <c r="M13" s="8">
        <f>IFERROR(VLOOKUP(L13,CSI_Table,2,FALSE),"")</f>
        <v/>
      </c>
      <c r="N13" s="9" t="n"/>
      <c r="O13" s="10" t="n"/>
      <c r="P13" s="9" t="n"/>
      <c r="Q13" s="8" t="n"/>
      <c r="R13" s="7" t="n"/>
      <c r="S13" s="8" t="n"/>
      <c r="T13" s="11" t="n"/>
      <c r="U13" s="11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10" t="n"/>
      <c r="AE13" s="10" t="n"/>
      <c r="AF13" s="8" t="n"/>
      <c r="AG13" s="11" t="n"/>
      <c r="AH13" s="12" t="n"/>
      <c r="AI13" s="9" t="n"/>
      <c r="AJ13" s="11" t="n"/>
      <c r="AK13" s="13" t="n"/>
      <c r="AL13" s="13" t="n"/>
      <c r="AM13" s="13" t="n"/>
      <c r="AN13" s="13" t="n"/>
      <c r="AO13" s="13" t="n"/>
      <c r="AP13" s="14">
        <f>IFERROR(AVERAGE(AK13:AO13),"")</f>
        <v/>
      </c>
      <c r="AQ13" s="15">
        <f>IF(AP13="","",IF(AP13&gt;=4.5,"A",IF(AP13&gt;=3.5,"B",IF(AP13&gt;=2.5,"C","D"))))</f>
        <v/>
      </c>
      <c r="AR13" s="15">
        <f>IF(AND(S13="Approved",Y13="Current",X13="Active",IFERROR(AP13&gt;=3,FALSE)),"Yes","No")</f>
        <v/>
      </c>
      <c r="AS13" s="7" t="n"/>
    </row>
    <row r="14" ht="38" customHeight="1">
      <c r="A14" s="6" t="n"/>
      <c r="B14" s="7" t="n"/>
      <c r="C14" s="8" t="n"/>
      <c r="D14" s="8" t="n"/>
      <c r="E14" s="8" t="n"/>
      <c r="F14" s="8" t="n"/>
      <c r="G14" s="8" t="n"/>
      <c r="H14" s="7" t="n"/>
      <c r="I14" s="8" t="n"/>
      <c r="J14" s="8" t="n"/>
      <c r="K14" s="7" t="n"/>
      <c r="L14" s="6" t="n"/>
      <c r="M14" s="8">
        <f>IFERROR(VLOOKUP(L14,CSI_Table,2,FALSE),"")</f>
        <v/>
      </c>
      <c r="N14" s="9" t="n"/>
      <c r="O14" s="10" t="n"/>
      <c r="P14" s="9" t="n"/>
      <c r="Q14" s="8" t="n"/>
      <c r="R14" s="7" t="n"/>
      <c r="S14" s="8" t="n"/>
      <c r="T14" s="11" t="n"/>
      <c r="U14" s="11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10" t="n"/>
      <c r="AE14" s="10" t="n"/>
      <c r="AF14" s="8" t="n"/>
      <c r="AG14" s="11" t="n"/>
      <c r="AH14" s="12" t="n"/>
      <c r="AI14" s="9" t="n"/>
      <c r="AJ14" s="11" t="n"/>
      <c r="AK14" s="13" t="n"/>
      <c r="AL14" s="13" t="n"/>
      <c r="AM14" s="13" t="n"/>
      <c r="AN14" s="13" t="n"/>
      <c r="AO14" s="13" t="n"/>
      <c r="AP14" s="14">
        <f>IFERROR(AVERAGE(AK14:AO14),"")</f>
        <v/>
      </c>
      <c r="AQ14" s="15">
        <f>IF(AP14="","",IF(AP14&gt;=4.5,"A",IF(AP14&gt;=3.5,"B",IF(AP14&gt;=2.5,"C","D"))))</f>
        <v/>
      </c>
      <c r="AR14" s="15">
        <f>IF(AND(S14="Approved",Y14="Current",X14="Active",IFERROR(AP14&gt;=3,FALSE)),"Yes","No")</f>
        <v/>
      </c>
      <c r="AS14" s="7" t="n"/>
    </row>
    <row r="15" ht="38" customHeight="1">
      <c r="A15" s="6" t="n"/>
      <c r="B15" s="7" t="n"/>
      <c r="C15" s="8" t="n"/>
      <c r="D15" s="8" t="n"/>
      <c r="E15" s="8" t="n"/>
      <c r="F15" s="8" t="n"/>
      <c r="G15" s="8" t="n"/>
      <c r="H15" s="7" t="n"/>
      <c r="I15" s="8" t="n"/>
      <c r="J15" s="8" t="n"/>
      <c r="K15" s="7" t="n"/>
      <c r="L15" s="6" t="n"/>
      <c r="M15" s="8">
        <f>IFERROR(VLOOKUP(L15,CSI_Table,2,FALSE),"")</f>
        <v/>
      </c>
      <c r="N15" s="9" t="n"/>
      <c r="O15" s="10" t="n"/>
      <c r="P15" s="9" t="n"/>
      <c r="Q15" s="8" t="n"/>
      <c r="R15" s="7" t="n"/>
      <c r="S15" s="8" t="n"/>
      <c r="T15" s="11" t="n"/>
      <c r="U15" s="11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10" t="n"/>
      <c r="AE15" s="10" t="n"/>
      <c r="AF15" s="8" t="n"/>
      <c r="AG15" s="11" t="n"/>
      <c r="AH15" s="12" t="n"/>
      <c r="AI15" s="9" t="n"/>
      <c r="AJ15" s="11" t="n"/>
      <c r="AK15" s="13" t="n"/>
      <c r="AL15" s="13" t="n"/>
      <c r="AM15" s="13" t="n"/>
      <c r="AN15" s="13" t="n"/>
      <c r="AO15" s="13" t="n"/>
      <c r="AP15" s="14">
        <f>IFERROR(AVERAGE(AK15:AO15),"")</f>
        <v/>
      </c>
      <c r="AQ15" s="15">
        <f>IF(AP15="","",IF(AP15&gt;=4.5,"A",IF(AP15&gt;=3.5,"B",IF(AP15&gt;=2.5,"C","D"))))</f>
        <v/>
      </c>
      <c r="AR15" s="15">
        <f>IF(AND(S15="Approved",Y15="Current",X15="Active",IFERROR(AP15&gt;=3,FALSE)),"Yes","No")</f>
        <v/>
      </c>
      <c r="AS15" s="7" t="n"/>
    </row>
    <row r="16" ht="38" customHeight="1">
      <c r="A16" s="6" t="n"/>
      <c r="B16" s="7" t="n"/>
      <c r="C16" s="8" t="n"/>
      <c r="D16" s="8" t="n"/>
      <c r="E16" s="8" t="n"/>
      <c r="F16" s="8" t="n"/>
      <c r="G16" s="8" t="n"/>
      <c r="H16" s="7" t="n"/>
      <c r="I16" s="8" t="n"/>
      <c r="J16" s="8" t="n"/>
      <c r="K16" s="7" t="n"/>
      <c r="L16" s="6" t="n"/>
      <c r="M16" s="8">
        <f>IFERROR(VLOOKUP(L16,CSI_Table,2,FALSE),"")</f>
        <v/>
      </c>
      <c r="N16" s="9" t="n"/>
      <c r="O16" s="10" t="n"/>
      <c r="P16" s="9" t="n"/>
      <c r="Q16" s="8" t="n"/>
      <c r="R16" s="7" t="n"/>
      <c r="S16" s="8" t="n"/>
      <c r="T16" s="11" t="n"/>
      <c r="U16" s="11" t="n"/>
      <c r="V16" s="8" t="n"/>
      <c r="W16" s="8" t="n"/>
      <c r="X16" s="8" t="n"/>
      <c r="Y16" s="8" t="n"/>
      <c r="Z16" s="11" t="n"/>
      <c r="AA16" s="8" t="n"/>
      <c r="AB16" s="8" t="n"/>
      <c r="AC16" s="8" t="n"/>
      <c r="AD16" s="10" t="n"/>
      <c r="AE16" s="10" t="n"/>
      <c r="AF16" s="8" t="n"/>
      <c r="AG16" s="11" t="n"/>
      <c r="AH16" s="12" t="n"/>
      <c r="AI16" s="9" t="n"/>
      <c r="AJ16" s="11" t="n"/>
      <c r="AK16" s="13" t="n"/>
      <c r="AL16" s="13" t="n"/>
      <c r="AM16" s="13" t="n"/>
      <c r="AN16" s="13" t="n"/>
      <c r="AO16" s="13" t="n"/>
      <c r="AP16" s="14">
        <f>IFERROR(AVERAGE(AK16:AO16),"")</f>
        <v/>
      </c>
      <c r="AQ16" s="15">
        <f>IF(AP16="","",IF(AP16&gt;=4.5,"A",IF(AP16&gt;=3.5,"B",IF(AP16&gt;=2.5,"C","D"))))</f>
        <v/>
      </c>
      <c r="AR16" s="15">
        <f>IF(AND(S16="Approved",Y16="Current",X16="Active",IFERROR(AP16&gt;=3,FALSE)),"Yes","No")</f>
        <v/>
      </c>
      <c r="AS16" s="7" t="n"/>
    </row>
    <row r="17" ht="38" customHeight="1">
      <c r="A17" s="6" t="n"/>
      <c r="B17" s="7" t="n"/>
      <c r="C17" s="8" t="n"/>
      <c r="D17" s="8" t="n"/>
      <c r="E17" s="8" t="n"/>
      <c r="F17" s="8" t="n"/>
      <c r="G17" s="8" t="n"/>
      <c r="H17" s="7" t="n"/>
      <c r="I17" s="8" t="n"/>
      <c r="J17" s="8" t="n"/>
      <c r="K17" s="7" t="n"/>
      <c r="L17" s="6" t="n"/>
      <c r="M17" s="8">
        <f>IFERROR(VLOOKUP(L17,CSI_Table,2,FALSE),"")</f>
        <v/>
      </c>
      <c r="N17" s="9" t="n"/>
      <c r="O17" s="10" t="n"/>
      <c r="P17" s="9" t="n"/>
      <c r="Q17" s="8" t="n"/>
      <c r="R17" s="7" t="n"/>
      <c r="S17" s="8" t="n"/>
      <c r="T17" s="11" t="n"/>
      <c r="U17" s="11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10" t="n"/>
      <c r="AE17" s="10" t="n"/>
      <c r="AF17" s="8" t="n"/>
      <c r="AG17" s="11" t="n"/>
      <c r="AH17" s="12" t="n"/>
      <c r="AI17" s="9" t="n"/>
      <c r="AJ17" s="11" t="n"/>
      <c r="AK17" s="13" t="n"/>
      <c r="AL17" s="13" t="n"/>
      <c r="AM17" s="13" t="n"/>
      <c r="AN17" s="13" t="n"/>
      <c r="AO17" s="13" t="n"/>
      <c r="AP17" s="14">
        <f>IFERROR(AVERAGE(AK17:AO17),"")</f>
        <v/>
      </c>
      <c r="AQ17" s="15">
        <f>IF(AP17="","",IF(AP17&gt;=4.5,"A",IF(AP17&gt;=3.5,"B",IF(AP17&gt;=2.5,"C","D"))))</f>
        <v/>
      </c>
      <c r="AR17" s="15">
        <f>IF(AND(S17="Approved",Y17="Current",X17="Active",IFERROR(AP17&gt;=3,FALSE)),"Yes","No")</f>
        <v/>
      </c>
      <c r="AS17" s="7" t="n"/>
    </row>
    <row r="18" ht="38" customHeight="1">
      <c r="A18" s="6" t="n"/>
      <c r="B18" s="7" t="n"/>
      <c r="C18" s="8" t="n"/>
      <c r="D18" s="8" t="n"/>
      <c r="E18" s="8" t="n"/>
      <c r="F18" s="8" t="n"/>
      <c r="G18" s="8" t="n"/>
      <c r="H18" s="7" t="n"/>
      <c r="I18" s="8" t="n"/>
      <c r="J18" s="8" t="n"/>
      <c r="K18" s="7" t="n"/>
      <c r="L18" s="6" t="n"/>
      <c r="M18" s="8">
        <f>IFERROR(VLOOKUP(L18,CSI_Table,2,FALSE),"")</f>
        <v/>
      </c>
      <c r="N18" s="9" t="n"/>
      <c r="O18" s="10" t="n"/>
      <c r="P18" s="9" t="n"/>
      <c r="Q18" s="8" t="n"/>
      <c r="R18" s="7" t="n"/>
      <c r="S18" s="8" t="n"/>
      <c r="T18" s="11" t="n"/>
      <c r="U18" s="11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10" t="n"/>
      <c r="AE18" s="10" t="n"/>
      <c r="AF18" s="8" t="n"/>
      <c r="AG18" s="11" t="n"/>
      <c r="AH18" s="12" t="n"/>
      <c r="AI18" s="9" t="n"/>
      <c r="AJ18" s="11" t="n"/>
      <c r="AK18" s="13" t="n"/>
      <c r="AL18" s="13" t="n"/>
      <c r="AM18" s="13" t="n"/>
      <c r="AN18" s="13" t="n"/>
      <c r="AO18" s="13" t="n"/>
      <c r="AP18" s="14">
        <f>IFERROR(AVERAGE(AK18:AO18),"")</f>
        <v/>
      </c>
      <c r="AQ18" s="15">
        <f>IF(AP18="","",IF(AP18&gt;=4.5,"A",IF(AP18&gt;=3.5,"B",IF(AP18&gt;=2.5,"C","D"))))</f>
        <v/>
      </c>
      <c r="AR18" s="15">
        <f>IF(AND(S18="Approved",Y18="Current",X18="Active",IFERROR(AP18&gt;=3,FALSE)),"Yes","No")</f>
        <v/>
      </c>
      <c r="AS18" s="7" t="n"/>
    </row>
    <row r="19" ht="38" customHeight="1">
      <c r="A19" s="6" t="n"/>
      <c r="B19" s="7" t="n"/>
      <c r="C19" s="8" t="n"/>
      <c r="D19" s="8" t="n"/>
      <c r="E19" s="8" t="n"/>
      <c r="F19" s="8" t="n"/>
      <c r="G19" s="8" t="n"/>
      <c r="H19" s="7" t="n"/>
      <c r="I19" s="8" t="n"/>
      <c r="J19" s="8" t="n"/>
      <c r="K19" s="7" t="n"/>
      <c r="L19" s="6" t="n"/>
      <c r="M19" s="8">
        <f>IFERROR(VLOOKUP(L19,CSI_Table,2,FALSE),"")</f>
        <v/>
      </c>
      <c r="N19" s="9" t="n"/>
      <c r="O19" s="10" t="n"/>
      <c r="P19" s="9" t="n"/>
      <c r="Q19" s="8" t="n"/>
      <c r="R19" s="7" t="n"/>
      <c r="S19" s="8" t="n"/>
      <c r="T19" s="11" t="n"/>
      <c r="U19" s="11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10" t="n"/>
      <c r="AE19" s="10" t="n"/>
      <c r="AF19" s="8" t="n"/>
      <c r="AG19" s="11" t="n"/>
      <c r="AH19" s="12" t="n"/>
      <c r="AI19" s="9" t="n"/>
      <c r="AJ19" s="11" t="n"/>
      <c r="AK19" s="13" t="n"/>
      <c r="AL19" s="13" t="n"/>
      <c r="AM19" s="13" t="n"/>
      <c r="AN19" s="13" t="n"/>
      <c r="AO19" s="13" t="n"/>
      <c r="AP19" s="14">
        <f>IFERROR(AVERAGE(AK19:AO19),"")</f>
        <v/>
      </c>
      <c r="AQ19" s="15">
        <f>IF(AP19="","",IF(AP19&gt;=4.5,"A",IF(AP19&gt;=3.5,"B",IF(AP19&gt;=2.5,"C","D"))))</f>
        <v/>
      </c>
      <c r="AR19" s="15">
        <f>IF(AND(S19="Approved",Y19="Current",X19="Active",IFERROR(AP19&gt;=3,FALSE)),"Yes","No")</f>
        <v/>
      </c>
      <c r="AS19" s="7" t="n"/>
    </row>
    <row r="20" ht="38" customHeight="1">
      <c r="A20" s="6" t="n"/>
      <c r="B20" s="7" t="n"/>
      <c r="C20" s="8" t="n"/>
      <c r="D20" s="8" t="n"/>
      <c r="E20" s="8" t="n"/>
      <c r="F20" s="8" t="n"/>
      <c r="G20" s="8" t="n"/>
      <c r="H20" s="7" t="n"/>
      <c r="I20" s="8" t="n"/>
      <c r="J20" s="8" t="n"/>
      <c r="K20" s="7" t="n"/>
      <c r="L20" s="6" t="n"/>
      <c r="M20" s="8">
        <f>IFERROR(VLOOKUP(L20,CSI_Table,2,FALSE),"")</f>
        <v/>
      </c>
      <c r="N20" s="9" t="n"/>
      <c r="O20" s="10" t="n"/>
      <c r="P20" s="9" t="n"/>
      <c r="Q20" s="8" t="n"/>
      <c r="R20" s="7" t="n"/>
      <c r="S20" s="8" t="n"/>
      <c r="T20" s="11" t="n"/>
      <c r="U20" s="11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10" t="n"/>
      <c r="AE20" s="10" t="n"/>
      <c r="AF20" s="8" t="n"/>
      <c r="AG20" s="11" t="n"/>
      <c r="AH20" s="12" t="n"/>
      <c r="AI20" s="9" t="n"/>
      <c r="AJ20" s="11" t="n"/>
      <c r="AK20" s="13" t="n"/>
      <c r="AL20" s="13" t="n"/>
      <c r="AM20" s="13" t="n"/>
      <c r="AN20" s="13" t="n"/>
      <c r="AO20" s="13" t="n"/>
      <c r="AP20" s="14">
        <f>IFERROR(AVERAGE(AK20:AO20),"")</f>
        <v/>
      </c>
      <c r="AQ20" s="15">
        <f>IF(AP20="","",IF(AP20&gt;=4.5,"A",IF(AP20&gt;=3.5,"B",IF(AP20&gt;=2.5,"C","D"))))</f>
        <v/>
      </c>
      <c r="AR20" s="15">
        <f>IF(AND(S20="Approved",Y20="Current",X20="Active",IFERROR(AP20&gt;=3,FALSE)),"Yes","No")</f>
        <v/>
      </c>
      <c r="AS20" s="7" t="n"/>
    </row>
    <row r="21" ht="38" customHeight="1">
      <c r="A21" s="6" t="n"/>
      <c r="B21" s="7" t="n"/>
      <c r="C21" s="8" t="n"/>
      <c r="D21" s="8" t="n"/>
      <c r="E21" s="8" t="n"/>
      <c r="F21" s="8" t="n"/>
      <c r="G21" s="8" t="n"/>
      <c r="H21" s="7" t="n"/>
      <c r="I21" s="8" t="n"/>
      <c r="J21" s="8" t="n"/>
      <c r="K21" s="7" t="n"/>
      <c r="L21" s="6" t="n"/>
      <c r="M21" s="8">
        <f>IFERROR(VLOOKUP(L21,CSI_Table,2,FALSE),"")</f>
        <v/>
      </c>
      <c r="N21" s="9" t="n"/>
      <c r="O21" s="10" t="n"/>
      <c r="P21" s="9" t="n"/>
      <c r="Q21" s="8" t="n"/>
      <c r="R21" s="7" t="n"/>
      <c r="S21" s="8" t="n"/>
      <c r="T21" s="11" t="n"/>
      <c r="U21" s="11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10" t="n"/>
      <c r="AE21" s="10" t="n"/>
      <c r="AF21" s="8" t="n"/>
      <c r="AG21" s="11" t="n"/>
      <c r="AH21" s="12" t="n"/>
      <c r="AI21" s="9" t="n"/>
      <c r="AJ21" s="11" t="n"/>
      <c r="AK21" s="13" t="n"/>
      <c r="AL21" s="13" t="n"/>
      <c r="AM21" s="13" t="n"/>
      <c r="AN21" s="13" t="n"/>
      <c r="AO21" s="13" t="n"/>
      <c r="AP21" s="14">
        <f>IFERROR(AVERAGE(AK21:AO21),"")</f>
        <v/>
      </c>
      <c r="AQ21" s="15">
        <f>IF(AP21="","",IF(AP21&gt;=4.5,"A",IF(AP21&gt;=3.5,"B",IF(AP21&gt;=2.5,"C","D"))))</f>
        <v/>
      </c>
      <c r="AR21" s="15">
        <f>IF(AND(S21="Approved",Y21="Current",X21="Active",IFERROR(AP21&gt;=3,FALSE)),"Yes","No")</f>
        <v/>
      </c>
      <c r="AS21" s="7" t="n"/>
    </row>
    <row r="22" ht="38" customHeight="1">
      <c r="A22" s="6" t="n"/>
      <c r="B22" s="7" t="n"/>
      <c r="C22" s="8" t="n"/>
      <c r="D22" s="8" t="n"/>
      <c r="E22" s="8" t="n"/>
      <c r="F22" s="8" t="n"/>
      <c r="G22" s="8" t="n"/>
      <c r="H22" s="7" t="n"/>
      <c r="I22" s="8" t="n"/>
      <c r="J22" s="8" t="n"/>
      <c r="K22" s="7" t="n"/>
      <c r="L22" s="6" t="n"/>
      <c r="M22" s="8">
        <f>IFERROR(VLOOKUP(L22,CSI_Table,2,FALSE),"")</f>
        <v/>
      </c>
      <c r="N22" s="9" t="n"/>
      <c r="O22" s="10" t="n"/>
      <c r="P22" s="9" t="n"/>
      <c r="Q22" s="8" t="n"/>
      <c r="R22" s="7" t="n"/>
      <c r="S22" s="8" t="n"/>
      <c r="T22" s="11" t="n"/>
      <c r="U22" s="11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10" t="n"/>
      <c r="AE22" s="10" t="n"/>
      <c r="AF22" s="8" t="n"/>
      <c r="AG22" s="11" t="n"/>
      <c r="AH22" s="12" t="n"/>
      <c r="AI22" s="9" t="n"/>
      <c r="AJ22" s="11" t="n"/>
      <c r="AK22" s="13" t="n"/>
      <c r="AL22" s="13" t="n"/>
      <c r="AM22" s="13" t="n"/>
      <c r="AN22" s="13" t="n"/>
      <c r="AO22" s="13" t="n"/>
      <c r="AP22" s="14">
        <f>IFERROR(AVERAGE(AK22:AO22),"")</f>
        <v/>
      </c>
      <c r="AQ22" s="15">
        <f>IF(AP22="","",IF(AP22&gt;=4.5,"A",IF(AP22&gt;=3.5,"B",IF(AP22&gt;=2.5,"C","D"))))</f>
        <v/>
      </c>
      <c r="AR22" s="15">
        <f>IF(AND(S22="Approved",Y22="Current",X22="Active",IFERROR(AP22&gt;=3,FALSE)),"Yes","No")</f>
        <v/>
      </c>
      <c r="AS22" s="7" t="n"/>
    </row>
    <row r="23" ht="38" customHeight="1">
      <c r="A23" s="6" t="n"/>
      <c r="B23" s="7" t="n"/>
      <c r="C23" s="8" t="n"/>
      <c r="D23" s="8" t="n"/>
      <c r="E23" s="8" t="n"/>
      <c r="F23" s="8" t="n"/>
      <c r="G23" s="8" t="n"/>
      <c r="H23" s="7" t="n"/>
      <c r="I23" s="8" t="n"/>
      <c r="J23" s="8" t="n"/>
      <c r="K23" s="7" t="n"/>
      <c r="L23" s="6" t="n"/>
      <c r="M23" s="8">
        <f>IFERROR(VLOOKUP(L23,CSI_Table,2,FALSE),"")</f>
        <v/>
      </c>
      <c r="N23" s="9" t="n"/>
      <c r="O23" s="10" t="n"/>
      <c r="P23" s="9" t="n"/>
      <c r="Q23" s="8" t="n"/>
      <c r="R23" s="7" t="n"/>
      <c r="S23" s="8" t="n"/>
      <c r="T23" s="11" t="n"/>
      <c r="U23" s="11" t="n"/>
      <c r="V23" s="8" t="n"/>
      <c r="W23" s="8" t="n"/>
      <c r="X23" s="8" t="n"/>
      <c r="Y23" s="8" t="n"/>
      <c r="Z23" s="11" t="n"/>
      <c r="AA23" s="8" t="n"/>
      <c r="AB23" s="8" t="n"/>
      <c r="AC23" s="8" t="n"/>
      <c r="AD23" s="10" t="n"/>
      <c r="AE23" s="10" t="n"/>
      <c r="AF23" s="8" t="n"/>
      <c r="AG23" s="11" t="n"/>
      <c r="AH23" s="12" t="n"/>
      <c r="AI23" s="9" t="n"/>
      <c r="AJ23" s="11" t="n"/>
      <c r="AK23" s="13" t="n"/>
      <c r="AL23" s="13" t="n"/>
      <c r="AM23" s="13" t="n"/>
      <c r="AN23" s="13" t="n"/>
      <c r="AO23" s="13" t="n"/>
      <c r="AP23" s="14">
        <f>IFERROR(AVERAGE(AK23:AO23),"")</f>
        <v/>
      </c>
      <c r="AQ23" s="15">
        <f>IF(AP23="","",IF(AP23&gt;=4.5,"A",IF(AP23&gt;=3.5,"B",IF(AP23&gt;=2.5,"C","D"))))</f>
        <v/>
      </c>
      <c r="AR23" s="15">
        <f>IF(AND(S23="Approved",Y23="Current",X23="Active",IFERROR(AP23&gt;=3,FALSE)),"Yes","No")</f>
        <v/>
      </c>
      <c r="AS23" s="7" t="n"/>
    </row>
    <row r="24" ht="38" customHeight="1">
      <c r="A24" s="6" t="n"/>
      <c r="B24" s="7" t="n"/>
      <c r="C24" s="8" t="n"/>
      <c r="D24" s="8" t="n"/>
      <c r="E24" s="8" t="n"/>
      <c r="F24" s="8" t="n"/>
      <c r="G24" s="8" t="n"/>
      <c r="H24" s="7" t="n"/>
      <c r="I24" s="8" t="n"/>
      <c r="J24" s="8" t="n"/>
      <c r="K24" s="7" t="n"/>
      <c r="L24" s="6" t="n"/>
      <c r="M24" s="8">
        <f>IFERROR(VLOOKUP(L24,CSI_Table,2,FALSE),"")</f>
        <v/>
      </c>
      <c r="N24" s="9" t="n"/>
      <c r="O24" s="10" t="n"/>
      <c r="P24" s="9" t="n"/>
      <c r="Q24" s="8" t="n"/>
      <c r="R24" s="7" t="n"/>
      <c r="S24" s="8" t="n"/>
      <c r="T24" s="11" t="n"/>
      <c r="U24" s="11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10" t="n"/>
      <c r="AE24" s="10" t="n"/>
      <c r="AF24" s="8" t="n"/>
      <c r="AG24" s="11" t="n"/>
      <c r="AH24" s="12" t="n"/>
      <c r="AI24" s="9" t="n"/>
      <c r="AJ24" s="11" t="n"/>
      <c r="AK24" s="13" t="n"/>
      <c r="AL24" s="13" t="n"/>
      <c r="AM24" s="13" t="n"/>
      <c r="AN24" s="13" t="n"/>
      <c r="AO24" s="13" t="n"/>
      <c r="AP24" s="14">
        <f>IFERROR(AVERAGE(AK24:AO24),"")</f>
        <v/>
      </c>
      <c r="AQ24" s="15">
        <f>IF(AP24="","",IF(AP24&gt;=4.5,"A",IF(AP24&gt;=3.5,"B",IF(AP24&gt;=2.5,"C","D"))))</f>
        <v/>
      </c>
      <c r="AR24" s="15">
        <f>IF(AND(S24="Approved",Y24="Current",X24="Active",IFERROR(AP24&gt;=3,FALSE)),"Yes","No")</f>
        <v/>
      </c>
      <c r="AS24" s="7" t="n"/>
    </row>
    <row r="25" ht="38" customHeight="1">
      <c r="A25" s="6" t="n"/>
      <c r="B25" s="7" t="n"/>
      <c r="C25" s="8" t="n"/>
      <c r="D25" s="8" t="n"/>
      <c r="E25" s="8" t="n"/>
      <c r="F25" s="8" t="n"/>
      <c r="G25" s="8" t="n"/>
      <c r="H25" s="7" t="n"/>
      <c r="I25" s="8" t="n"/>
      <c r="J25" s="8" t="n"/>
      <c r="K25" s="7" t="n"/>
      <c r="L25" s="6" t="n"/>
      <c r="M25" s="8">
        <f>IFERROR(VLOOKUP(L25,CSI_Table,2,FALSE),"")</f>
        <v/>
      </c>
      <c r="N25" s="9" t="n"/>
      <c r="O25" s="10" t="n"/>
      <c r="P25" s="9" t="n"/>
      <c r="Q25" s="8" t="n"/>
      <c r="R25" s="7" t="n"/>
      <c r="S25" s="8" t="n"/>
      <c r="T25" s="11" t="n"/>
      <c r="U25" s="11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10" t="n"/>
      <c r="AE25" s="10" t="n"/>
      <c r="AF25" s="8" t="n"/>
      <c r="AG25" s="11" t="n"/>
      <c r="AH25" s="12" t="n"/>
      <c r="AI25" s="9" t="n"/>
      <c r="AJ25" s="11" t="n"/>
      <c r="AK25" s="13" t="n"/>
      <c r="AL25" s="13" t="n"/>
      <c r="AM25" s="13" t="n"/>
      <c r="AN25" s="13" t="n"/>
      <c r="AO25" s="13" t="n"/>
      <c r="AP25" s="14">
        <f>IFERROR(AVERAGE(AK25:AO25),"")</f>
        <v/>
      </c>
      <c r="AQ25" s="15">
        <f>IF(AP25="","",IF(AP25&gt;=4.5,"A",IF(AP25&gt;=3.5,"B",IF(AP25&gt;=2.5,"C","D"))))</f>
        <v/>
      </c>
      <c r="AR25" s="15">
        <f>IF(AND(S25="Approved",Y25="Current",X25="Active",IFERROR(AP25&gt;=3,FALSE)),"Yes","No")</f>
        <v/>
      </c>
      <c r="AS25" s="7" t="n"/>
    </row>
    <row r="26" ht="38" customHeight="1">
      <c r="A26" s="6" t="n"/>
      <c r="B26" s="7" t="n"/>
      <c r="C26" s="8" t="n"/>
      <c r="D26" s="8" t="n"/>
      <c r="E26" s="8" t="n"/>
      <c r="F26" s="8" t="n"/>
      <c r="G26" s="8" t="n"/>
      <c r="H26" s="7" t="n"/>
      <c r="I26" s="8" t="n"/>
      <c r="J26" s="8" t="n"/>
      <c r="K26" s="7" t="n"/>
      <c r="L26" s="6" t="n"/>
      <c r="M26" s="8">
        <f>IFERROR(VLOOKUP(L26,CSI_Table,2,FALSE),"")</f>
        <v/>
      </c>
      <c r="N26" s="9" t="n"/>
      <c r="O26" s="10" t="n"/>
      <c r="P26" s="9" t="n"/>
      <c r="Q26" s="8" t="n"/>
      <c r="R26" s="7" t="n"/>
      <c r="S26" s="8" t="n"/>
      <c r="T26" s="11" t="n"/>
      <c r="U26" s="11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10" t="n"/>
      <c r="AE26" s="10" t="n"/>
      <c r="AF26" s="8" t="n"/>
      <c r="AG26" s="11" t="n"/>
      <c r="AH26" s="12" t="n"/>
      <c r="AI26" s="9" t="n"/>
      <c r="AJ26" s="11" t="n"/>
      <c r="AK26" s="13" t="n"/>
      <c r="AL26" s="13" t="n"/>
      <c r="AM26" s="13" t="n"/>
      <c r="AN26" s="13" t="n"/>
      <c r="AO26" s="13" t="n"/>
      <c r="AP26" s="14">
        <f>IFERROR(AVERAGE(AK26:AO26),"")</f>
        <v/>
      </c>
      <c r="AQ26" s="15">
        <f>IF(AP26="","",IF(AP26&gt;=4.5,"A",IF(AP26&gt;=3.5,"B",IF(AP26&gt;=2.5,"C","D"))))</f>
        <v/>
      </c>
      <c r="AR26" s="15">
        <f>IF(AND(S26="Approved",Y26="Current",X26="Active",IFERROR(AP26&gt;=3,FALSE)),"Yes","No")</f>
        <v/>
      </c>
      <c r="AS26" s="7" t="n"/>
    </row>
    <row r="27" ht="38" customHeight="1">
      <c r="A27" s="6" t="n"/>
      <c r="B27" s="7" t="n"/>
      <c r="C27" s="8" t="n"/>
      <c r="D27" s="8" t="n"/>
      <c r="E27" s="8" t="n"/>
      <c r="F27" s="8" t="n"/>
      <c r="G27" s="8" t="n"/>
      <c r="H27" s="7" t="n"/>
      <c r="I27" s="8" t="n"/>
      <c r="J27" s="8" t="n"/>
      <c r="K27" s="7" t="n"/>
      <c r="L27" s="6" t="n"/>
      <c r="M27" s="8">
        <f>IFERROR(VLOOKUP(L27,CSI_Table,2,FALSE),"")</f>
        <v/>
      </c>
      <c r="N27" s="9" t="n"/>
      <c r="O27" s="10" t="n"/>
      <c r="P27" s="9" t="n"/>
      <c r="Q27" s="8" t="n"/>
      <c r="R27" s="7" t="n"/>
      <c r="S27" s="8" t="n"/>
      <c r="T27" s="11" t="n"/>
      <c r="U27" s="11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10" t="n"/>
      <c r="AE27" s="10" t="n"/>
      <c r="AF27" s="8" t="n"/>
      <c r="AG27" s="11" t="n"/>
      <c r="AH27" s="12" t="n"/>
      <c r="AI27" s="9" t="n"/>
      <c r="AJ27" s="11" t="n"/>
      <c r="AK27" s="13" t="n"/>
      <c r="AL27" s="13" t="n"/>
      <c r="AM27" s="13" t="n"/>
      <c r="AN27" s="13" t="n"/>
      <c r="AO27" s="13" t="n"/>
      <c r="AP27" s="14">
        <f>IFERROR(AVERAGE(AK27:AO27),"")</f>
        <v/>
      </c>
      <c r="AQ27" s="15">
        <f>IF(AP27="","",IF(AP27&gt;=4.5,"A",IF(AP27&gt;=3.5,"B",IF(AP27&gt;=2.5,"C","D"))))</f>
        <v/>
      </c>
      <c r="AR27" s="15">
        <f>IF(AND(S27="Approved",Y27="Current",X27="Active",IFERROR(AP27&gt;=3,FALSE)),"Yes","No")</f>
        <v/>
      </c>
      <c r="AS27" s="7" t="n"/>
    </row>
    <row r="28" ht="38" customHeight="1">
      <c r="A28" s="6" t="n"/>
      <c r="B28" s="7" t="n"/>
      <c r="C28" s="8" t="n"/>
      <c r="D28" s="8" t="n"/>
      <c r="E28" s="8" t="n"/>
      <c r="F28" s="8" t="n"/>
      <c r="G28" s="8" t="n"/>
      <c r="H28" s="7" t="n"/>
      <c r="I28" s="8" t="n"/>
      <c r="J28" s="8" t="n"/>
      <c r="K28" s="7" t="n"/>
      <c r="L28" s="6" t="n"/>
      <c r="M28" s="8">
        <f>IFERROR(VLOOKUP(L28,CSI_Table,2,FALSE),"")</f>
        <v/>
      </c>
      <c r="N28" s="9" t="n"/>
      <c r="O28" s="10" t="n"/>
      <c r="P28" s="9" t="n"/>
      <c r="Q28" s="8" t="n"/>
      <c r="R28" s="7" t="n"/>
      <c r="S28" s="8" t="n"/>
      <c r="T28" s="11" t="n"/>
      <c r="U28" s="11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10" t="n"/>
      <c r="AE28" s="10" t="n"/>
      <c r="AF28" s="8" t="n"/>
      <c r="AG28" s="11" t="n"/>
      <c r="AH28" s="12" t="n"/>
      <c r="AI28" s="9" t="n"/>
      <c r="AJ28" s="11" t="n"/>
      <c r="AK28" s="13" t="n"/>
      <c r="AL28" s="13" t="n"/>
      <c r="AM28" s="13" t="n"/>
      <c r="AN28" s="13" t="n"/>
      <c r="AO28" s="13" t="n"/>
      <c r="AP28" s="14">
        <f>IFERROR(AVERAGE(AK28:AO28),"")</f>
        <v/>
      </c>
      <c r="AQ28" s="15">
        <f>IF(AP28="","",IF(AP28&gt;=4.5,"A",IF(AP28&gt;=3.5,"B",IF(AP28&gt;=2.5,"C","D"))))</f>
        <v/>
      </c>
      <c r="AR28" s="15">
        <f>IF(AND(S28="Approved",Y28="Current",X28="Active",IFERROR(AP28&gt;=3,FALSE)),"Yes","No")</f>
        <v/>
      </c>
      <c r="AS28" s="7" t="n"/>
    </row>
    <row r="29" ht="38" customHeight="1">
      <c r="A29" s="6" t="n"/>
      <c r="B29" s="7" t="n"/>
      <c r="C29" s="8" t="n"/>
      <c r="D29" s="8" t="n"/>
      <c r="E29" s="8" t="n"/>
      <c r="F29" s="8" t="n"/>
      <c r="G29" s="8" t="n"/>
      <c r="H29" s="7" t="n"/>
      <c r="I29" s="8" t="n"/>
      <c r="J29" s="8" t="n"/>
      <c r="K29" s="7" t="n"/>
      <c r="L29" s="6" t="n"/>
      <c r="M29" s="8">
        <f>IFERROR(VLOOKUP(L29,CSI_Table,2,FALSE),"")</f>
        <v/>
      </c>
      <c r="N29" s="9" t="n"/>
      <c r="O29" s="10" t="n"/>
      <c r="P29" s="9" t="n"/>
      <c r="Q29" s="8" t="n"/>
      <c r="R29" s="7" t="n"/>
      <c r="S29" s="8" t="n"/>
      <c r="T29" s="11" t="n"/>
      <c r="U29" s="11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10" t="n"/>
      <c r="AE29" s="10" t="n"/>
      <c r="AF29" s="8" t="n"/>
      <c r="AG29" s="11" t="n"/>
      <c r="AH29" s="12" t="n"/>
      <c r="AI29" s="9" t="n"/>
      <c r="AJ29" s="11" t="n"/>
      <c r="AK29" s="13" t="n"/>
      <c r="AL29" s="13" t="n"/>
      <c r="AM29" s="13" t="n"/>
      <c r="AN29" s="13" t="n"/>
      <c r="AO29" s="13" t="n"/>
      <c r="AP29" s="14">
        <f>IFERROR(AVERAGE(AK29:AO29),"")</f>
        <v/>
      </c>
      <c r="AQ29" s="15">
        <f>IF(AP29="","",IF(AP29&gt;=4.5,"A",IF(AP29&gt;=3.5,"B",IF(AP29&gt;=2.5,"C","D"))))</f>
        <v/>
      </c>
      <c r="AR29" s="15">
        <f>IF(AND(S29="Approved",Y29="Current",X29="Active",IFERROR(AP29&gt;=3,FALSE)),"Yes","No")</f>
        <v/>
      </c>
      <c r="AS29" s="7" t="n"/>
    </row>
    <row r="30" ht="38" customHeight="1">
      <c r="A30" s="6" t="n"/>
      <c r="B30" s="7" t="n"/>
      <c r="C30" s="8" t="n"/>
      <c r="D30" s="8" t="n"/>
      <c r="E30" s="8" t="n"/>
      <c r="F30" s="8" t="n"/>
      <c r="G30" s="8" t="n"/>
      <c r="H30" s="7" t="n"/>
      <c r="I30" s="8" t="n"/>
      <c r="J30" s="8" t="n"/>
      <c r="K30" s="7" t="n"/>
      <c r="L30" s="6" t="n"/>
      <c r="M30" s="8">
        <f>IFERROR(VLOOKUP(L30,CSI_Table,2,FALSE),"")</f>
        <v/>
      </c>
      <c r="N30" s="9" t="n"/>
      <c r="O30" s="10" t="n"/>
      <c r="P30" s="9" t="n"/>
      <c r="Q30" s="8" t="n"/>
      <c r="R30" s="7" t="n"/>
      <c r="S30" s="8" t="n"/>
      <c r="T30" s="11" t="n"/>
      <c r="U30" s="11" t="n"/>
      <c r="V30" s="8" t="n"/>
      <c r="W30" s="8" t="n"/>
      <c r="X30" s="8" t="n"/>
      <c r="Y30" s="8" t="n"/>
      <c r="Z30" s="11" t="n"/>
      <c r="AA30" s="8" t="n"/>
      <c r="AB30" s="8" t="n"/>
      <c r="AC30" s="8" t="n"/>
      <c r="AD30" s="10" t="n"/>
      <c r="AE30" s="10" t="n"/>
      <c r="AF30" s="8" t="n"/>
      <c r="AG30" s="11" t="n"/>
      <c r="AH30" s="12" t="n"/>
      <c r="AI30" s="9" t="n"/>
      <c r="AJ30" s="11" t="n"/>
      <c r="AK30" s="13" t="n"/>
      <c r="AL30" s="13" t="n"/>
      <c r="AM30" s="13" t="n"/>
      <c r="AN30" s="13" t="n"/>
      <c r="AO30" s="13" t="n"/>
      <c r="AP30" s="14">
        <f>IFERROR(AVERAGE(AK30:AO30),"")</f>
        <v/>
      </c>
      <c r="AQ30" s="15">
        <f>IF(AP30="","",IF(AP30&gt;=4.5,"A",IF(AP30&gt;=3.5,"B",IF(AP30&gt;=2.5,"C","D"))))</f>
        <v/>
      </c>
      <c r="AR30" s="15">
        <f>IF(AND(S30="Approved",Y30="Current",X30="Active",IFERROR(AP30&gt;=3,FALSE)),"Yes","No")</f>
        <v/>
      </c>
      <c r="AS30" s="7" t="n"/>
    </row>
    <row r="31" ht="38" customHeight="1">
      <c r="A31" s="6" t="n"/>
      <c r="B31" s="7" t="n"/>
      <c r="C31" s="8" t="n"/>
      <c r="D31" s="8" t="n"/>
      <c r="E31" s="8" t="n"/>
      <c r="F31" s="8" t="n"/>
      <c r="G31" s="8" t="n"/>
      <c r="H31" s="7" t="n"/>
      <c r="I31" s="8" t="n"/>
      <c r="J31" s="8" t="n"/>
      <c r="K31" s="7" t="n"/>
      <c r="L31" s="6" t="n"/>
      <c r="M31" s="8">
        <f>IFERROR(VLOOKUP(L31,CSI_Table,2,FALSE),"")</f>
        <v/>
      </c>
      <c r="N31" s="9" t="n"/>
      <c r="O31" s="10" t="n"/>
      <c r="P31" s="9" t="n"/>
      <c r="Q31" s="8" t="n"/>
      <c r="R31" s="7" t="n"/>
      <c r="S31" s="8" t="n"/>
      <c r="T31" s="11" t="n"/>
      <c r="U31" s="11" t="n"/>
      <c r="V31" s="8" t="n"/>
      <c r="W31" s="8" t="n"/>
      <c r="X31" s="8" t="n"/>
      <c r="Y31" s="8" t="n"/>
      <c r="Z31" s="11" t="n"/>
      <c r="AA31" s="8" t="n"/>
      <c r="AB31" s="8" t="n"/>
      <c r="AC31" s="8" t="n"/>
      <c r="AD31" s="10" t="n"/>
      <c r="AE31" s="10" t="n"/>
      <c r="AF31" s="8" t="n"/>
      <c r="AG31" s="11" t="n"/>
      <c r="AH31" s="12" t="n"/>
      <c r="AI31" s="9" t="n"/>
      <c r="AJ31" s="11" t="n"/>
      <c r="AK31" s="13" t="n"/>
      <c r="AL31" s="13" t="n"/>
      <c r="AM31" s="13" t="n"/>
      <c r="AN31" s="13" t="n"/>
      <c r="AO31" s="13" t="n"/>
      <c r="AP31" s="14">
        <f>IFERROR(AVERAGE(AK31:AO31),"")</f>
        <v/>
      </c>
      <c r="AQ31" s="15">
        <f>IF(AP31="","",IF(AP31&gt;=4.5,"A",IF(AP31&gt;=3.5,"B",IF(AP31&gt;=2.5,"C","D"))))</f>
        <v/>
      </c>
      <c r="AR31" s="15">
        <f>IF(AND(S31="Approved",Y31="Current",X31="Active",IFERROR(AP31&gt;=3,FALSE)),"Yes","No")</f>
        <v/>
      </c>
      <c r="AS31" s="7" t="n"/>
    </row>
    <row r="32" ht="38" customHeight="1">
      <c r="A32" s="6" t="n"/>
      <c r="B32" s="7" t="n"/>
      <c r="C32" s="8" t="n"/>
      <c r="D32" s="8" t="n"/>
      <c r="E32" s="8" t="n"/>
      <c r="F32" s="8" t="n"/>
      <c r="G32" s="8" t="n"/>
      <c r="H32" s="7" t="n"/>
      <c r="I32" s="8" t="n"/>
      <c r="J32" s="8" t="n"/>
      <c r="K32" s="7" t="n"/>
      <c r="L32" s="6" t="n"/>
      <c r="M32" s="8">
        <f>IFERROR(VLOOKUP(L32,CSI_Table,2,FALSE),"")</f>
        <v/>
      </c>
      <c r="N32" s="9" t="n"/>
      <c r="O32" s="10" t="n"/>
      <c r="P32" s="9" t="n"/>
      <c r="Q32" s="8" t="n"/>
      <c r="R32" s="7" t="n"/>
      <c r="S32" s="8" t="n"/>
      <c r="T32" s="11" t="n"/>
      <c r="U32" s="11" t="n"/>
      <c r="V32" s="8" t="n"/>
      <c r="W32" s="8" t="n"/>
      <c r="X32" s="8" t="n"/>
      <c r="Y32" s="8" t="n"/>
      <c r="Z32" s="11" t="n"/>
      <c r="AA32" s="8" t="n"/>
      <c r="AB32" s="8" t="n"/>
      <c r="AC32" s="8" t="n"/>
      <c r="AD32" s="10" t="n"/>
      <c r="AE32" s="10" t="n"/>
      <c r="AF32" s="8" t="n"/>
      <c r="AG32" s="11" t="n"/>
      <c r="AH32" s="12" t="n"/>
      <c r="AI32" s="9" t="n"/>
      <c r="AJ32" s="11" t="n"/>
      <c r="AK32" s="13" t="n"/>
      <c r="AL32" s="13" t="n"/>
      <c r="AM32" s="13" t="n"/>
      <c r="AN32" s="13" t="n"/>
      <c r="AO32" s="13" t="n"/>
      <c r="AP32" s="14">
        <f>IFERROR(AVERAGE(AK32:AO32),"")</f>
        <v/>
      </c>
      <c r="AQ32" s="15">
        <f>IF(AP32="","",IF(AP32&gt;=4.5,"A",IF(AP32&gt;=3.5,"B",IF(AP32&gt;=2.5,"C","D"))))</f>
        <v/>
      </c>
      <c r="AR32" s="15">
        <f>IF(AND(S32="Approved",Y32="Current",X32="Active",IFERROR(AP32&gt;=3,FALSE)),"Yes","No")</f>
        <v/>
      </c>
      <c r="AS32" s="7" t="n"/>
    </row>
    <row r="33" ht="38" customHeight="1">
      <c r="A33" s="6" t="n"/>
      <c r="B33" s="7" t="n"/>
      <c r="C33" s="8" t="n"/>
      <c r="D33" s="8" t="n"/>
      <c r="E33" s="8" t="n"/>
      <c r="F33" s="8" t="n"/>
      <c r="G33" s="8" t="n"/>
      <c r="H33" s="7" t="n"/>
      <c r="I33" s="8" t="n"/>
      <c r="J33" s="8" t="n"/>
      <c r="K33" s="7" t="n"/>
      <c r="L33" s="6" t="n"/>
      <c r="M33" s="8">
        <f>IFERROR(VLOOKUP(L33,CSI_Table,2,FALSE),"")</f>
        <v/>
      </c>
      <c r="N33" s="9" t="n"/>
      <c r="O33" s="10" t="n"/>
      <c r="P33" s="9" t="n"/>
      <c r="Q33" s="8" t="n"/>
      <c r="R33" s="7" t="n"/>
      <c r="S33" s="8" t="n"/>
      <c r="T33" s="11" t="n"/>
      <c r="U33" s="11" t="n"/>
      <c r="V33" s="8" t="n"/>
      <c r="W33" s="8" t="n"/>
      <c r="X33" s="8" t="n"/>
      <c r="Y33" s="8" t="n"/>
      <c r="Z33" s="11" t="n"/>
      <c r="AA33" s="8" t="n"/>
      <c r="AB33" s="8" t="n"/>
      <c r="AC33" s="8" t="n"/>
      <c r="AD33" s="10" t="n"/>
      <c r="AE33" s="10" t="n"/>
      <c r="AF33" s="8" t="n"/>
      <c r="AG33" s="11" t="n"/>
      <c r="AH33" s="12" t="n"/>
      <c r="AI33" s="9" t="n"/>
      <c r="AJ33" s="11" t="n"/>
      <c r="AK33" s="13" t="n"/>
      <c r="AL33" s="13" t="n"/>
      <c r="AM33" s="13" t="n"/>
      <c r="AN33" s="13" t="n"/>
      <c r="AO33" s="13" t="n"/>
      <c r="AP33" s="14">
        <f>IFERROR(AVERAGE(AK33:AO33),"")</f>
        <v/>
      </c>
      <c r="AQ33" s="15">
        <f>IF(AP33="","",IF(AP33&gt;=4.5,"A",IF(AP33&gt;=3.5,"B",IF(AP33&gt;=2.5,"C","D"))))</f>
        <v/>
      </c>
      <c r="AR33" s="15">
        <f>IF(AND(S33="Approved",Y33="Current",X33="Active",IFERROR(AP33&gt;=3,FALSE)),"Yes","No")</f>
        <v/>
      </c>
      <c r="AS33" s="7" t="n"/>
    </row>
    <row r="34" ht="38" customHeight="1">
      <c r="A34" s="6" t="n"/>
      <c r="B34" s="7" t="n"/>
      <c r="C34" s="8" t="n"/>
      <c r="D34" s="8" t="n"/>
      <c r="E34" s="8" t="n"/>
      <c r="F34" s="8" t="n"/>
      <c r="G34" s="8" t="n"/>
      <c r="H34" s="7" t="n"/>
      <c r="I34" s="8" t="n"/>
      <c r="J34" s="8" t="n"/>
      <c r="K34" s="7" t="n"/>
      <c r="L34" s="6" t="n"/>
      <c r="M34" s="8">
        <f>IFERROR(VLOOKUP(L34,CSI_Table,2,FALSE),"")</f>
        <v/>
      </c>
      <c r="N34" s="9" t="n"/>
      <c r="O34" s="10" t="n"/>
      <c r="P34" s="9" t="n"/>
      <c r="Q34" s="8" t="n"/>
      <c r="R34" s="7" t="n"/>
      <c r="S34" s="8" t="n"/>
      <c r="T34" s="11" t="n"/>
      <c r="U34" s="11" t="n"/>
      <c r="V34" s="8" t="n"/>
      <c r="W34" s="8" t="n"/>
      <c r="X34" s="8" t="n"/>
      <c r="Y34" s="8" t="n"/>
      <c r="Z34" s="11" t="n"/>
      <c r="AA34" s="8" t="n"/>
      <c r="AB34" s="8" t="n"/>
      <c r="AC34" s="8" t="n"/>
      <c r="AD34" s="10" t="n"/>
      <c r="AE34" s="10" t="n"/>
      <c r="AF34" s="8" t="n"/>
      <c r="AG34" s="11" t="n"/>
      <c r="AH34" s="12" t="n"/>
      <c r="AI34" s="9" t="n"/>
      <c r="AJ34" s="11" t="n"/>
      <c r="AK34" s="13" t="n"/>
      <c r="AL34" s="13" t="n"/>
      <c r="AM34" s="13" t="n"/>
      <c r="AN34" s="13" t="n"/>
      <c r="AO34" s="13" t="n"/>
      <c r="AP34" s="14">
        <f>IFERROR(AVERAGE(AK34:AO34),"")</f>
        <v/>
      </c>
      <c r="AQ34" s="15">
        <f>IF(AP34="","",IF(AP34&gt;=4.5,"A",IF(AP34&gt;=3.5,"B",IF(AP34&gt;=2.5,"C","D"))))</f>
        <v/>
      </c>
      <c r="AR34" s="15">
        <f>IF(AND(S34="Approved",Y34="Current",X34="Active",IFERROR(AP34&gt;=3,FALSE)),"Yes","No")</f>
        <v/>
      </c>
      <c r="AS34" s="7" t="n"/>
    </row>
    <row r="35" ht="38" customHeight="1">
      <c r="A35" s="6" t="n"/>
      <c r="B35" s="7" t="n"/>
      <c r="C35" s="8" t="n"/>
      <c r="D35" s="8" t="n"/>
      <c r="E35" s="8" t="n"/>
      <c r="F35" s="8" t="n"/>
      <c r="G35" s="8" t="n"/>
      <c r="H35" s="7" t="n"/>
      <c r="I35" s="8" t="n"/>
      <c r="J35" s="8" t="n"/>
      <c r="K35" s="7" t="n"/>
      <c r="L35" s="6" t="n"/>
      <c r="M35" s="8">
        <f>IFERROR(VLOOKUP(L35,CSI_Table,2,FALSE),"")</f>
        <v/>
      </c>
      <c r="N35" s="9" t="n"/>
      <c r="O35" s="10" t="n"/>
      <c r="P35" s="9" t="n"/>
      <c r="Q35" s="8" t="n"/>
      <c r="R35" s="7" t="n"/>
      <c r="S35" s="8" t="n"/>
      <c r="T35" s="11" t="n"/>
      <c r="U35" s="11" t="n"/>
      <c r="V35" s="8" t="n"/>
      <c r="W35" s="8" t="n"/>
      <c r="X35" s="8" t="n"/>
      <c r="Y35" s="8" t="n"/>
      <c r="Z35" s="11" t="n"/>
      <c r="AA35" s="8" t="n"/>
      <c r="AB35" s="8" t="n"/>
      <c r="AC35" s="8" t="n"/>
      <c r="AD35" s="10" t="n"/>
      <c r="AE35" s="10" t="n"/>
      <c r="AF35" s="8" t="n"/>
      <c r="AG35" s="11" t="n"/>
      <c r="AH35" s="12" t="n"/>
      <c r="AI35" s="9" t="n"/>
      <c r="AJ35" s="11" t="n"/>
      <c r="AK35" s="13" t="n"/>
      <c r="AL35" s="13" t="n"/>
      <c r="AM35" s="13" t="n"/>
      <c r="AN35" s="13" t="n"/>
      <c r="AO35" s="13" t="n"/>
      <c r="AP35" s="14">
        <f>IFERROR(AVERAGE(AK35:AO35),"")</f>
        <v/>
      </c>
      <c r="AQ35" s="15">
        <f>IF(AP35="","",IF(AP35&gt;=4.5,"A",IF(AP35&gt;=3.5,"B",IF(AP35&gt;=2.5,"C","D"))))</f>
        <v/>
      </c>
      <c r="AR35" s="15">
        <f>IF(AND(S35="Approved",Y35="Current",X35="Active",IFERROR(AP35&gt;=3,FALSE)),"Yes","No")</f>
        <v/>
      </c>
      <c r="AS35" s="7" t="n"/>
    </row>
    <row r="36" ht="38" customHeight="1">
      <c r="A36" s="6" t="n"/>
      <c r="B36" s="7" t="n"/>
      <c r="C36" s="8" t="n"/>
      <c r="D36" s="8" t="n"/>
      <c r="E36" s="8" t="n"/>
      <c r="F36" s="8" t="n"/>
      <c r="G36" s="8" t="n"/>
      <c r="H36" s="7" t="n"/>
      <c r="I36" s="8" t="n"/>
      <c r="J36" s="8" t="n"/>
      <c r="K36" s="7" t="n"/>
      <c r="L36" s="6" t="n"/>
      <c r="M36" s="8">
        <f>IFERROR(VLOOKUP(L36,CSI_Table,2,FALSE),"")</f>
        <v/>
      </c>
      <c r="N36" s="9" t="n"/>
      <c r="O36" s="10" t="n"/>
      <c r="P36" s="9" t="n"/>
      <c r="Q36" s="8" t="n"/>
      <c r="R36" s="7" t="n"/>
      <c r="S36" s="8" t="n"/>
      <c r="T36" s="11" t="n"/>
      <c r="U36" s="11" t="n"/>
      <c r="V36" s="8" t="n"/>
      <c r="W36" s="8" t="n"/>
      <c r="X36" s="8" t="n"/>
      <c r="Y36" s="8" t="n"/>
      <c r="Z36" s="11" t="n"/>
      <c r="AA36" s="8" t="n"/>
      <c r="AB36" s="8" t="n"/>
      <c r="AC36" s="8" t="n"/>
      <c r="AD36" s="10" t="n"/>
      <c r="AE36" s="10" t="n"/>
      <c r="AF36" s="8" t="n"/>
      <c r="AG36" s="11" t="n"/>
      <c r="AH36" s="12" t="n"/>
      <c r="AI36" s="9" t="n"/>
      <c r="AJ36" s="11" t="n"/>
      <c r="AK36" s="13" t="n"/>
      <c r="AL36" s="13" t="n"/>
      <c r="AM36" s="13" t="n"/>
      <c r="AN36" s="13" t="n"/>
      <c r="AO36" s="13" t="n"/>
      <c r="AP36" s="14">
        <f>IFERROR(AVERAGE(AK36:AO36),"")</f>
        <v/>
      </c>
      <c r="AQ36" s="15">
        <f>IF(AP36="","",IF(AP36&gt;=4.5,"A",IF(AP36&gt;=3.5,"B",IF(AP36&gt;=2.5,"C","D"))))</f>
        <v/>
      </c>
      <c r="AR36" s="15">
        <f>IF(AND(S36="Approved",Y36="Current",X36="Active",IFERROR(AP36&gt;=3,FALSE)),"Yes","No")</f>
        <v/>
      </c>
      <c r="AS36" s="7" t="n"/>
    </row>
  </sheetData>
  <mergeCells count="1">
    <mergeCell ref="A1:AS1"/>
  </mergeCells>
  <conditionalFormatting sqref="S4:S36">
    <cfRule type="expression" priority="1" dxfId="0" stopIfTrue="0">
      <formula>$S4="Approved"</formula>
    </cfRule>
    <cfRule type="expression" priority="2" dxfId="1" stopIfTrue="0">
      <formula>$S4="Conditionally Approved"</formula>
    </cfRule>
    <cfRule type="expression" priority="3" dxfId="1" stopIfTrue="0">
      <formula>$S4="Pending"</formula>
    </cfRule>
    <cfRule type="expression" priority="4" dxfId="2" stopIfTrue="0">
      <formula>$S4="Rejected"</formula>
    </cfRule>
    <cfRule type="expression" priority="5" dxfId="2" stopIfTrue="0">
      <formula>$S4="Inactive"</formula>
    </cfRule>
  </conditionalFormatting>
  <conditionalFormatting sqref="Y4:Y36">
    <cfRule type="expression" priority="6" dxfId="0" stopIfTrue="0">
      <formula>$Y4="Current"</formula>
    </cfRule>
    <cfRule type="expression" priority="7" dxfId="1" stopIfTrue="0">
      <formula>$Y4="Expiring"</formula>
    </cfRule>
    <cfRule type="expression" priority="8" dxfId="2" stopIfTrue="0">
      <formula>$Y4="Expired"</formula>
    </cfRule>
    <cfRule type="expression" priority="9" dxfId="2" stopIfTrue="0">
      <formula>$Y4="None"</formula>
    </cfRule>
  </conditionalFormatting>
  <conditionalFormatting sqref="X4:X36">
    <cfRule type="expression" priority="10" dxfId="0" stopIfTrue="0">
      <formula>$X4="Active"</formula>
    </cfRule>
    <cfRule type="expression" priority="11" dxfId="1" stopIfTrue="0">
      <formula>$X4="Pending"</formula>
    </cfRule>
    <cfRule type="expression" priority="12" dxfId="2" stopIfTrue="0">
      <formula>$X4="Expired"</formula>
    </cfRule>
  </conditionalFormatting>
  <conditionalFormatting sqref="AQ4:AQ36">
    <cfRule type="expression" priority="13" dxfId="3" stopIfTrue="0">
      <formula>$AQ4="A"</formula>
    </cfRule>
    <cfRule type="expression" priority="14" dxfId="0" stopIfTrue="0">
      <formula>$AQ4="B"</formula>
    </cfRule>
    <cfRule type="expression" priority="15" dxfId="1" stopIfTrue="0">
      <formula>$AQ4="C"</formula>
    </cfRule>
    <cfRule type="expression" priority="16" dxfId="2" stopIfTrue="0">
      <formula>$AQ4="D"</formula>
    </cfRule>
  </conditionalFormatting>
  <conditionalFormatting sqref="AH4:AH36">
    <cfRule type="expression" priority="17" dxfId="0" stopIfTrue="0">
      <formula>AND(AH4&gt;0,AH4&lt;=1)</formula>
    </cfRule>
    <cfRule type="expression" priority="18" dxfId="2" stopIfTrue="0">
      <formula>AH4&gt;1</formula>
    </cfRule>
  </conditionalFormatting>
  <conditionalFormatting sqref="AR4:AR36">
    <cfRule type="expression" priority="19" dxfId="0" stopIfTrue="0">
      <formula>$AR4="Yes"</formula>
    </cfRule>
    <cfRule type="expression" priority="20" dxfId="2" stopIfTrue="0">
      <formula>$AR4="No"</formula>
    </cfRule>
  </conditionalFormatting>
  <dataValidations count="13">
    <dataValidation sqref="J4:J36" showDropDown="0" showInputMessage="0" showErrorMessage="0" allowBlank="1" errorTitle="" error="Invalid trade" type="list">
      <formula1>Pick a trade.</formula1>
    </dataValidation>
    <dataValidation sqref="L4:L36" showDropDown="0" showInputMessage="0" showErrorMessage="0" allowBlank="1" errorTitle="Invalid CSI Division" error="Pick CSI division." type="list">
      <formula1>=CSI_Divisions</formula1>
    </dataValidation>
    <dataValidation sqref="S4:S36" showDropDown="0" showInputMessage="0" showErrorMessage="0" allowBlank="1" errorTitle="" error="Invalid prequal" type="list">
      <formula1>Pick prequal status.</formula1>
    </dataValidation>
    <dataValidation sqref="X4:X36" showDropDown="0" showInputMessage="0" showErrorMessage="0" allowBlank="1" errorTitle="" error="Invalid license" type="list">
      <formula1>Pick license status.</formula1>
    </dataValidation>
    <dataValidation sqref="Y4:Y36" showDropDown="0" showInputMessage="0" showErrorMessage="0" allowBlank="1" errorTitle="" error="Invalid COI" type="list">
      <formula1>Pick COI state.</formula1>
    </dataValidation>
    <dataValidation sqref="AA4:AA36" showDropDown="0" showInputMessage="0" showErrorMessage="0" allowBlank="1" errorTitle="" error="Invalid W9" type="list">
      <formula1>Yes / No.</formula1>
    </dataValidation>
    <dataValidation sqref="AB4:AB36" showDropDown="0" showInputMessage="0" showErrorMessage="0" allowBlank="1" errorTitle="" error="Invalid bonded" type="list">
      <formula1>Yes / No.</formula1>
    </dataValidation>
    <dataValidation sqref="AF4:AF36" showDropDown="0" showInputMessage="0" showErrorMessage="0" allowBlank="1" errorTitle="" error="Invalid DBE" type="list">
      <formula1>Pick DBE/MBE/WBE.</formula1>
    </dataValidation>
    <dataValidation sqref="AK4:AK36" showDropDown="0" showInputMessage="0" showErrorMessage="0" allowBlank="1" errorTitle="" error="Invalid score" type="list">
      <formula1>Score 1-5.</formula1>
    </dataValidation>
    <dataValidation sqref="AL4:AL36" showDropDown="0" showInputMessage="0" showErrorMessage="0" allowBlank="1" errorTitle="" error="Invalid score" type="list">
      <formula1>Score 1-5.</formula1>
    </dataValidation>
    <dataValidation sqref="AM4:AM36" showDropDown="0" showInputMessage="0" showErrorMessage="0" allowBlank="1" errorTitle="" error="Invalid score" type="list">
      <formula1>Score 1-5.</formula1>
    </dataValidation>
    <dataValidation sqref="AN4:AN36" showDropDown="0" showInputMessage="0" showErrorMessage="0" allowBlank="1" errorTitle="" error="Invalid score" type="list">
      <formula1>Score 1-5.</formula1>
    </dataValidation>
    <dataValidation sqref="AO4:AO36" showDropDown="0" showInputMessage="0" showErrorMessage="0" allowBlank="1" errorTitle="" error="Invalid score" type="list">
      <formula1>Score 1-5.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9" customWidth="1" min="4" max="4"/>
    <col width="16" customWidth="1" min="5" max="5"/>
    <col width="11" customWidth="1" min="6" max="6"/>
    <col width="12" customWidth="1" min="7" max="7"/>
    <col width="10" customWidth="1" min="8" max="8"/>
    <col width="50" customWidth="1" min="9" max="9"/>
  </cols>
  <sheetData>
    <row r="1" ht="28" customHeight="1">
      <c r="A1" s="1" t="inlineStr">
        <is>
          <t>Work History (per-sub project ledger)</t>
        </is>
      </c>
    </row>
    <row r="2">
      <c r="A2" s="2" t="inlineStr">
        <is>
          <t>One row per sub x project. Sub ID must match Sub Master Record. Score after every completed contract.</t>
        </is>
      </c>
    </row>
    <row r="3" ht="32" customHeight="1">
      <c r="A3" s="5" t="inlineStr">
        <is>
          <t>Sub ID</t>
        </is>
      </c>
      <c r="B3" s="5" t="inlineStr">
        <is>
          <t>Project Number</t>
        </is>
      </c>
      <c r="C3" s="5" t="inlineStr">
        <is>
          <t>Project Name</t>
        </is>
      </c>
      <c r="D3" s="5" t="inlineStr">
        <is>
          <t>Year Completed</t>
        </is>
      </c>
      <c r="E3" s="5" t="inlineStr">
        <is>
          <t>Contract Value</t>
        </is>
      </c>
      <c r="F3" s="5" t="inlineStr">
        <is>
          <t>On-Time?</t>
        </is>
      </c>
      <c r="G3" s="5" t="inlineStr">
        <is>
          <t>On-Budget?</t>
        </is>
      </c>
      <c r="H3" s="5" t="inlineStr">
        <is>
          <t>Final Quality Rating</t>
        </is>
      </c>
      <c r="I3" s="5" t="inlineStr">
        <is>
          <t>Issues / Notes</t>
        </is>
      </c>
    </row>
    <row r="4" ht="28" customHeight="1">
      <c r="A4" s="6" t="inlineStr">
        <is>
          <t>S-001</t>
        </is>
      </c>
      <c r="B4" s="8" t="inlineStr">
        <is>
          <t>P-2024-014</t>
        </is>
      </c>
      <c r="C4" s="7" t="inlineStr">
        <is>
          <t>Riverside Office Building</t>
        </is>
      </c>
      <c r="D4" s="9" t="n">
        <v>2024</v>
      </c>
      <c r="E4" s="10" t="n">
        <v>1850000</v>
      </c>
      <c r="F4" s="8" t="inlineStr">
        <is>
          <t>Yes</t>
        </is>
      </c>
      <c r="G4" s="8" t="inlineStr">
        <is>
          <t>Yes</t>
        </is>
      </c>
      <c r="H4" s="13" t="n">
        <v>5</v>
      </c>
      <c r="I4" s="7" t="inlineStr">
        <is>
          <t>Excellent erection schedule. Zero punch issues.</t>
        </is>
      </c>
    </row>
    <row r="5" ht="28" customHeight="1">
      <c r="A5" s="6" t="inlineStr">
        <is>
          <t>S-001</t>
        </is>
      </c>
      <c r="B5" s="8" t="inlineStr">
        <is>
          <t>P-2025-007</t>
        </is>
      </c>
      <c r="C5" s="7" t="inlineStr">
        <is>
          <t>Pinnacle Tower Phase 1</t>
        </is>
      </c>
      <c r="D5" s="9" t="n">
        <v>2025</v>
      </c>
      <c r="E5" s="10" t="n">
        <v>2650000</v>
      </c>
      <c r="F5" s="8" t="inlineStr">
        <is>
          <t>Yes</t>
        </is>
      </c>
      <c r="G5" s="8" t="inlineStr">
        <is>
          <t>Yes</t>
        </is>
      </c>
      <c r="H5" s="13" t="n">
        <v>5</v>
      </c>
      <c r="I5" s="7" t="inlineStr">
        <is>
          <t>On schedule throughout. Stair fab quality top-tier.</t>
        </is>
      </c>
    </row>
    <row r="6" ht="28" customHeight="1">
      <c r="A6" s="6" t="inlineStr">
        <is>
          <t>S-002</t>
        </is>
      </c>
      <c r="B6" s="8" t="inlineStr">
        <is>
          <t>P-2024-018</t>
        </is>
      </c>
      <c r="C6" s="7" t="inlineStr">
        <is>
          <t>Northgate Medical Plaza</t>
        </is>
      </c>
      <c r="D6" s="9" t="n">
        <v>2024</v>
      </c>
      <c r="E6" s="10" t="n">
        <v>920000</v>
      </c>
      <c r="F6" s="8" t="inlineStr">
        <is>
          <t>Yes</t>
        </is>
      </c>
      <c r="G6" s="8" t="inlineStr">
        <is>
          <t>Partial</t>
        </is>
      </c>
      <c r="H6" s="13" t="n">
        <v>4</v>
      </c>
      <c r="I6" s="7" t="inlineStr">
        <is>
          <t>Med gas changes drove $42K cost growth - sub flagged early.</t>
        </is>
      </c>
    </row>
    <row r="7" ht="28" customHeight="1">
      <c r="A7" s="6" t="inlineStr">
        <is>
          <t>S-002</t>
        </is>
      </c>
      <c r="B7" s="8" t="inlineStr">
        <is>
          <t>P-2025-003</t>
        </is>
      </c>
      <c r="C7" s="7" t="inlineStr">
        <is>
          <t>Bayview Tenant Improvement</t>
        </is>
      </c>
      <c r="D7" s="9" t="n">
        <v>2025</v>
      </c>
      <c r="E7" s="10" t="n">
        <v>310000</v>
      </c>
      <c r="F7" s="8" t="inlineStr">
        <is>
          <t>Yes</t>
        </is>
      </c>
      <c r="G7" s="8" t="inlineStr">
        <is>
          <t>Yes</t>
        </is>
      </c>
      <c r="H7" s="13" t="n">
        <v>4</v>
      </c>
      <c r="I7" s="7" t="inlineStr">
        <is>
          <t>Clean job. Fixture coordination handled well.</t>
        </is>
      </c>
    </row>
    <row r="8" ht="28" customHeight="1">
      <c r="A8" s="6" t="inlineStr">
        <is>
          <t>S-003</t>
        </is>
      </c>
      <c r="B8" s="8" t="inlineStr">
        <is>
          <t>P-2025-009</t>
        </is>
      </c>
      <c r="C8" s="7" t="inlineStr">
        <is>
          <t>Harbor District Retail</t>
        </is>
      </c>
      <c r="D8" s="9" t="n">
        <v>2025</v>
      </c>
      <c r="E8" s="10" t="n">
        <v>480000</v>
      </c>
      <c r="F8" s="8" t="inlineStr">
        <is>
          <t>Partial</t>
        </is>
      </c>
      <c r="G8" s="8" t="inlineStr">
        <is>
          <t>No</t>
        </is>
      </c>
      <c r="H8" s="13" t="n">
        <v>3</v>
      </c>
      <c r="I8" s="7" t="inlineStr">
        <is>
          <t>Two safety stand-downs. Schedule slipped 14 days. Cost overrun $28K.</t>
        </is>
      </c>
    </row>
    <row r="9" ht="28" customHeight="1">
      <c r="A9" s="6" t="inlineStr">
        <is>
          <t>S-004</t>
        </is>
      </c>
      <c r="B9" s="8" t="inlineStr">
        <is>
          <t>P-2024-014</t>
        </is>
      </c>
      <c r="C9" s="7" t="inlineStr">
        <is>
          <t>Riverside Office Building</t>
        </is>
      </c>
      <c r="D9" s="9" t="n">
        <v>2024</v>
      </c>
      <c r="E9" s="10" t="n">
        <v>1120000</v>
      </c>
      <c r="F9" s="8" t="inlineStr">
        <is>
          <t>Yes</t>
        </is>
      </c>
      <c r="G9" s="8" t="inlineStr">
        <is>
          <t>Yes</t>
        </is>
      </c>
      <c r="H9" s="13" t="n">
        <v>5</v>
      </c>
      <c r="I9" s="7" t="inlineStr">
        <is>
          <t>VAV controls commissioned 5 days early. Owner thrilled.</t>
        </is>
      </c>
    </row>
    <row r="10" ht="28" customHeight="1">
      <c r="A10" s="6" t="inlineStr">
        <is>
          <t>S-004</t>
        </is>
      </c>
      <c r="B10" s="8" t="inlineStr">
        <is>
          <t>P-2025-007</t>
        </is>
      </c>
      <c r="C10" s="7" t="inlineStr">
        <is>
          <t>Pinnacle Tower Phase 1</t>
        </is>
      </c>
      <c r="D10" s="9" t="n">
        <v>2025</v>
      </c>
      <c r="E10" s="10" t="n">
        <v>1580000</v>
      </c>
      <c r="F10" s="8" t="inlineStr">
        <is>
          <t>Yes</t>
        </is>
      </c>
      <c r="G10" s="8" t="inlineStr">
        <is>
          <t>Yes</t>
        </is>
      </c>
      <c r="H10" s="13" t="n">
        <v>5</v>
      </c>
      <c r="I10" s="7" t="inlineStr">
        <is>
          <t>Same crew as Riverside. Same A+ result.</t>
        </is>
      </c>
    </row>
    <row r="11" ht="28" customHeight="1">
      <c r="A11" s="6" t="inlineStr">
        <is>
          <t>S-005</t>
        </is>
      </c>
      <c r="B11" s="8" t="inlineStr">
        <is>
          <t>P-2024-011</t>
        </is>
      </c>
      <c r="C11" s="7" t="inlineStr">
        <is>
          <t>Eastpoint Distribution Center</t>
        </is>
      </c>
      <c r="D11" s="9" t="n">
        <v>2024</v>
      </c>
      <c r="E11" s="10" t="n">
        <v>1350000</v>
      </c>
      <c r="F11" s="8" t="inlineStr">
        <is>
          <t>No</t>
        </is>
      </c>
      <c r="G11" s="8" t="inlineStr">
        <is>
          <t>Partial</t>
        </is>
      </c>
      <c r="H11" s="13" t="n">
        <v>4</v>
      </c>
      <c r="I11" s="7" t="inlineStr">
        <is>
          <t>Slab pours delayed 11 days due to rebar lead time. Quality fine.</t>
        </is>
      </c>
    </row>
    <row r="12" ht="28" customHeight="1">
      <c r="A12" s="6" t="inlineStr">
        <is>
          <t>S-007</t>
        </is>
      </c>
      <c r="B12" s="8" t="inlineStr">
        <is>
          <t>P-2024-014</t>
        </is>
      </c>
      <c r="C12" s="7" t="inlineStr">
        <is>
          <t>Riverside Office Building (storm repair)</t>
        </is>
      </c>
      <c r="D12" s="9" t="n">
        <v>2024</v>
      </c>
      <c r="E12" s="10" t="n">
        <v>68000</v>
      </c>
      <c r="F12" s="8" t="inlineStr">
        <is>
          <t>Yes</t>
        </is>
      </c>
      <c r="G12" s="8" t="inlineStr">
        <is>
          <t>Yes</t>
        </is>
      </c>
      <c r="H12" s="13" t="n">
        <v>5</v>
      </c>
      <c r="I12" s="7" t="inlineStr">
        <is>
          <t>Emergency wind-event repair, mobilized in 36 hrs.</t>
        </is>
      </c>
    </row>
    <row r="13" ht="28" customHeight="1">
      <c r="A13" s="6" t="inlineStr">
        <is>
          <t>S-008</t>
        </is>
      </c>
      <c r="B13" s="8" t="inlineStr">
        <is>
          <t>P-2024-006</t>
        </is>
      </c>
      <c r="C13" s="7" t="inlineStr">
        <is>
          <t>Sunnyside Office Refit</t>
        </is>
      </c>
      <c r="D13" s="9" t="n">
        <v>2024</v>
      </c>
      <c r="E13" s="10" t="n">
        <v>240000</v>
      </c>
      <c r="F13" s="8" t="inlineStr">
        <is>
          <t>No</t>
        </is>
      </c>
      <c r="G13" s="8" t="inlineStr">
        <is>
          <t>No</t>
        </is>
      </c>
      <c r="H13" s="13" t="n">
        <v>2</v>
      </c>
      <c r="I13" s="7" t="inlineStr">
        <is>
          <t>Schedule slip 21 days. Punch list reopened twice. Crew safety issue noted.</t>
        </is>
      </c>
    </row>
    <row r="14" ht="28" customHeight="1">
      <c r="A14" s="6" t="n"/>
      <c r="B14" s="8" t="n"/>
      <c r="C14" s="7" t="n"/>
      <c r="D14" s="9" t="n"/>
      <c r="E14" s="10" t="n"/>
      <c r="F14" s="8" t="n"/>
      <c r="G14" s="8" t="n"/>
      <c r="H14" s="13" t="n"/>
      <c r="I14" s="7" t="n"/>
    </row>
    <row r="15" ht="28" customHeight="1">
      <c r="A15" s="6" t="n"/>
      <c r="B15" s="8" t="n"/>
      <c r="C15" s="7" t="n"/>
      <c r="D15" s="9" t="n"/>
      <c r="E15" s="10" t="n"/>
      <c r="F15" s="8" t="n"/>
      <c r="G15" s="8" t="n"/>
      <c r="H15" s="13" t="n"/>
      <c r="I15" s="7" t="n"/>
    </row>
    <row r="16" ht="28" customHeight="1">
      <c r="A16" s="6" t="n"/>
      <c r="B16" s="8" t="n"/>
      <c r="C16" s="7" t="n"/>
      <c r="D16" s="9" t="n"/>
      <c r="E16" s="10" t="n"/>
      <c r="F16" s="8" t="n"/>
      <c r="G16" s="8" t="n"/>
      <c r="H16" s="13" t="n"/>
      <c r="I16" s="7" t="n"/>
    </row>
    <row r="17" ht="28" customHeight="1">
      <c r="A17" s="6" t="n"/>
      <c r="B17" s="8" t="n"/>
      <c r="C17" s="7" t="n"/>
      <c r="D17" s="9" t="n"/>
      <c r="E17" s="10" t="n"/>
      <c r="F17" s="8" t="n"/>
      <c r="G17" s="8" t="n"/>
      <c r="H17" s="13" t="n"/>
      <c r="I17" s="7" t="n"/>
    </row>
    <row r="18" ht="28" customHeight="1">
      <c r="A18" s="6" t="n"/>
      <c r="B18" s="8" t="n"/>
      <c r="C18" s="7" t="n"/>
      <c r="D18" s="9" t="n"/>
      <c r="E18" s="10" t="n"/>
      <c r="F18" s="8" t="n"/>
      <c r="G18" s="8" t="n"/>
      <c r="H18" s="13" t="n"/>
      <c r="I18" s="7" t="n"/>
    </row>
    <row r="19" ht="28" customHeight="1">
      <c r="A19" s="6" t="n"/>
      <c r="B19" s="8" t="n"/>
      <c r="C19" s="7" t="n"/>
      <c r="D19" s="9" t="n"/>
      <c r="E19" s="10" t="n"/>
      <c r="F19" s="8" t="n"/>
      <c r="G19" s="8" t="n"/>
      <c r="H19" s="13" t="n"/>
      <c r="I19" s="7" t="n"/>
    </row>
    <row r="20" ht="28" customHeight="1">
      <c r="A20" s="6" t="n"/>
      <c r="B20" s="8" t="n"/>
      <c r="C20" s="7" t="n"/>
      <c r="D20" s="9" t="n"/>
      <c r="E20" s="10" t="n"/>
      <c r="F20" s="8" t="n"/>
      <c r="G20" s="8" t="n"/>
      <c r="H20" s="13" t="n"/>
      <c r="I20" s="7" t="n"/>
    </row>
    <row r="21" ht="28" customHeight="1">
      <c r="A21" s="6" t="n"/>
      <c r="B21" s="8" t="n"/>
      <c r="C21" s="7" t="n"/>
      <c r="D21" s="9" t="n"/>
      <c r="E21" s="10" t="n"/>
      <c r="F21" s="8" t="n"/>
      <c r="G21" s="8" t="n"/>
      <c r="H21" s="13" t="n"/>
      <c r="I21" s="7" t="n"/>
    </row>
    <row r="22" ht="28" customHeight="1">
      <c r="A22" s="6" t="n"/>
      <c r="B22" s="8" t="n"/>
      <c r="C22" s="7" t="n"/>
      <c r="D22" s="9" t="n"/>
      <c r="E22" s="10" t="n"/>
      <c r="F22" s="8" t="n"/>
      <c r="G22" s="8" t="n"/>
      <c r="H22" s="13" t="n"/>
      <c r="I22" s="7" t="n"/>
    </row>
    <row r="23" ht="28" customHeight="1">
      <c r="A23" s="6" t="n"/>
      <c r="B23" s="8" t="n"/>
      <c r="C23" s="7" t="n"/>
      <c r="D23" s="9" t="n"/>
      <c r="E23" s="10" t="n"/>
      <c r="F23" s="8" t="n"/>
      <c r="G23" s="8" t="n"/>
      <c r="H23" s="13" t="n"/>
      <c r="I23" s="7" t="n"/>
    </row>
    <row r="24" ht="28" customHeight="1">
      <c r="A24" s="6" t="n"/>
      <c r="B24" s="8" t="n"/>
      <c r="C24" s="7" t="n"/>
      <c r="D24" s="9" t="n"/>
      <c r="E24" s="10" t="n"/>
      <c r="F24" s="8" t="n"/>
      <c r="G24" s="8" t="n"/>
      <c r="H24" s="13" t="n"/>
      <c r="I24" s="7" t="n"/>
    </row>
    <row r="25" ht="28" customHeight="1">
      <c r="A25" s="6" t="n"/>
      <c r="B25" s="8" t="n"/>
      <c r="C25" s="7" t="n"/>
      <c r="D25" s="9" t="n"/>
      <c r="E25" s="10" t="n"/>
      <c r="F25" s="8" t="n"/>
      <c r="G25" s="8" t="n"/>
      <c r="H25" s="13" t="n"/>
      <c r="I25" s="7" t="n"/>
    </row>
    <row r="26" ht="28" customHeight="1">
      <c r="A26" s="6" t="n"/>
      <c r="B26" s="8" t="n"/>
      <c r="C26" s="7" t="n"/>
      <c r="D26" s="9" t="n"/>
      <c r="E26" s="10" t="n"/>
      <c r="F26" s="8" t="n"/>
      <c r="G26" s="8" t="n"/>
      <c r="H26" s="13" t="n"/>
      <c r="I26" s="7" t="n"/>
    </row>
    <row r="27" ht="28" customHeight="1">
      <c r="A27" s="6" t="n"/>
      <c r="B27" s="8" t="n"/>
      <c r="C27" s="7" t="n"/>
      <c r="D27" s="9" t="n"/>
      <c r="E27" s="10" t="n"/>
      <c r="F27" s="8" t="n"/>
      <c r="G27" s="8" t="n"/>
      <c r="H27" s="13" t="n"/>
      <c r="I27" s="7" t="n"/>
    </row>
    <row r="28" ht="28" customHeight="1">
      <c r="A28" s="6" t="n"/>
      <c r="B28" s="8" t="n"/>
      <c r="C28" s="7" t="n"/>
      <c r="D28" s="9" t="n"/>
      <c r="E28" s="10" t="n"/>
      <c r="F28" s="8" t="n"/>
      <c r="G28" s="8" t="n"/>
      <c r="H28" s="13" t="n"/>
      <c r="I28" s="7" t="n"/>
    </row>
    <row r="29" ht="28" customHeight="1">
      <c r="A29" s="6" t="n"/>
      <c r="B29" s="8" t="n"/>
      <c r="C29" s="7" t="n"/>
      <c r="D29" s="9" t="n"/>
      <c r="E29" s="10" t="n"/>
      <c r="F29" s="8" t="n"/>
      <c r="G29" s="8" t="n"/>
      <c r="H29" s="13" t="n"/>
      <c r="I29" s="7" t="n"/>
    </row>
    <row r="30" ht="28" customHeight="1">
      <c r="A30" s="6" t="n"/>
      <c r="B30" s="8" t="n"/>
      <c r="C30" s="7" t="n"/>
      <c r="D30" s="9" t="n"/>
      <c r="E30" s="10" t="n"/>
      <c r="F30" s="8" t="n"/>
      <c r="G30" s="8" t="n"/>
      <c r="H30" s="13" t="n"/>
      <c r="I30" s="7" t="n"/>
    </row>
    <row r="31" ht="28" customHeight="1">
      <c r="A31" s="6" t="n"/>
      <c r="B31" s="8" t="n"/>
      <c r="C31" s="7" t="n"/>
      <c r="D31" s="9" t="n"/>
      <c r="E31" s="10" t="n"/>
      <c r="F31" s="8" t="n"/>
      <c r="G31" s="8" t="n"/>
      <c r="H31" s="13" t="n"/>
      <c r="I31" s="7" t="n"/>
    </row>
    <row r="32" ht="28" customHeight="1">
      <c r="A32" s="6" t="n"/>
      <c r="B32" s="8" t="n"/>
      <c r="C32" s="7" t="n"/>
      <c r="D32" s="9" t="n"/>
      <c r="E32" s="10" t="n"/>
      <c r="F32" s="8" t="n"/>
      <c r="G32" s="8" t="n"/>
      <c r="H32" s="13" t="n"/>
      <c r="I32" s="7" t="n"/>
    </row>
    <row r="33" ht="28" customHeight="1">
      <c r="A33" s="6" t="n"/>
      <c r="B33" s="8" t="n"/>
      <c r="C33" s="7" t="n"/>
      <c r="D33" s="9" t="n"/>
      <c r="E33" s="10" t="n"/>
      <c r="F33" s="8" t="n"/>
      <c r="G33" s="8" t="n"/>
      <c r="H33" s="13" t="n"/>
      <c r="I33" s="7" t="n"/>
    </row>
    <row r="34" ht="28" customHeight="1">
      <c r="A34" s="6" t="n"/>
      <c r="B34" s="8" t="n"/>
      <c r="C34" s="7" t="n"/>
      <c r="D34" s="9" t="n"/>
      <c r="E34" s="10" t="n"/>
      <c r="F34" s="8" t="n"/>
      <c r="G34" s="8" t="n"/>
      <c r="H34" s="13" t="n"/>
      <c r="I34" s="7" t="n"/>
    </row>
    <row r="35" ht="28" customHeight="1">
      <c r="A35" s="6" t="n"/>
      <c r="B35" s="8" t="n"/>
      <c r="C35" s="7" t="n"/>
      <c r="D35" s="9" t="n"/>
      <c r="E35" s="10" t="n"/>
      <c r="F35" s="8" t="n"/>
      <c r="G35" s="8" t="n"/>
      <c r="H35" s="13" t="n"/>
      <c r="I35" s="7" t="n"/>
    </row>
    <row r="36" ht="28" customHeight="1">
      <c r="A36" s="6" t="n"/>
      <c r="B36" s="8" t="n"/>
      <c r="C36" s="7" t="n"/>
      <c r="D36" s="9" t="n"/>
      <c r="E36" s="10" t="n"/>
      <c r="F36" s="8" t="n"/>
      <c r="G36" s="8" t="n"/>
      <c r="H36" s="13" t="n"/>
      <c r="I36" s="7" t="n"/>
    </row>
    <row r="37" ht="28" customHeight="1">
      <c r="A37" s="6" t="n"/>
      <c r="B37" s="8" t="n"/>
      <c r="C37" s="7" t="n"/>
      <c r="D37" s="9" t="n"/>
      <c r="E37" s="10" t="n"/>
      <c r="F37" s="8" t="n"/>
      <c r="G37" s="8" t="n"/>
      <c r="H37" s="13" t="n"/>
      <c r="I37" s="7" t="n"/>
    </row>
    <row r="38" ht="28" customHeight="1">
      <c r="A38" s="6" t="n"/>
      <c r="B38" s="8" t="n"/>
      <c r="C38" s="7" t="n"/>
      <c r="D38" s="9" t="n"/>
      <c r="E38" s="10" t="n"/>
      <c r="F38" s="8" t="n"/>
      <c r="G38" s="8" t="n"/>
      <c r="H38" s="13" t="n"/>
      <c r="I38" s="7" t="n"/>
    </row>
    <row r="39" ht="28" customHeight="1">
      <c r="A39" s="6" t="n"/>
      <c r="B39" s="8" t="n"/>
      <c r="C39" s="7" t="n"/>
      <c r="D39" s="9" t="n"/>
      <c r="E39" s="10" t="n"/>
      <c r="F39" s="8" t="n"/>
      <c r="G39" s="8" t="n"/>
      <c r="H39" s="13" t="n"/>
      <c r="I39" s="7" t="n"/>
    </row>
    <row r="40" ht="28" customHeight="1">
      <c r="A40" s="6" t="n"/>
      <c r="B40" s="8" t="n"/>
      <c r="C40" s="7" t="n"/>
      <c r="D40" s="9" t="n"/>
      <c r="E40" s="10" t="n"/>
      <c r="F40" s="8" t="n"/>
      <c r="G40" s="8" t="n"/>
      <c r="H40" s="13" t="n"/>
      <c r="I40" s="7" t="n"/>
    </row>
    <row r="41" ht="28" customHeight="1">
      <c r="A41" s="6" t="n"/>
      <c r="B41" s="8" t="n"/>
      <c r="C41" s="7" t="n"/>
      <c r="D41" s="9" t="n"/>
      <c r="E41" s="10" t="n"/>
      <c r="F41" s="8" t="n"/>
      <c r="G41" s="8" t="n"/>
      <c r="H41" s="13" t="n"/>
      <c r="I41" s="7" t="n"/>
    </row>
    <row r="42" ht="28" customHeight="1">
      <c r="A42" s="6" t="n"/>
      <c r="B42" s="8" t="n"/>
      <c r="C42" s="7" t="n"/>
      <c r="D42" s="9" t="n"/>
      <c r="E42" s="10" t="n"/>
      <c r="F42" s="8" t="n"/>
      <c r="G42" s="8" t="n"/>
      <c r="H42" s="13" t="n"/>
      <c r="I42" s="7" t="n"/>
    </row>
    <row r="43" ht="28" customHeight="1">
      <c r="A43" s="6" t="n"/>
      <c r="B43" s="8" t="n"/>
      <c r="C43" s="7" t="n"/>
      <c r="D43" s="9" t="n"/>
      <c r="E43" s="10" t="n"/>
      <c r="F43" s="8" t="n"/>
      <c r="G43" s="8" t="n"/>
      <c r="H43" s="13" t="n"/>
      <c r="I43" s="7" t="n"/>
    </row>
  </sheetData>
  <mergeCells count="2">
    <mergeCell ref="A1:I1"/>
    <mergeCell ref="A2:I2"/>
  </mergeCells>
  <conditionalFormatting sqref="F4:F43">
    <cfRule type="expression" priority="1" dxfId="0" stopIfTrue="0">
      <formula>$F4="Yes"</formula>
    </cfRule>
    <cfRule type="expression" priority="2" dxfId="1" stopIfTrue="0">
      <formula>$F4="Partial"</formula>
    </cfRule>
    <cfRule type="expression" priority="3" dxfId="2" stopIfTrue="0">
      <formula>$F4="No"</formula>
    </cfRule>
  </conditionalFormatting>
  <conditionalFormatting sqref="G4:G43">
    <cfRule type="expression" priority="4" dxfId="0" stopIfTrue="0">
      <formula>$G4="Yes"</formula>
    </cfRule>
    <cfRule type="expression" priority="5" dxfId="1" stopIfTrue="0">
      <formula>$G4="Partial"</formula>
    </cfRule>
    <cfRule type="expression" priority="6" dxfId="2" stopIfTrue="0">
      <formula>$G4="No"</formula>
    </cfRule>
  </conditionalFormatting>
  <conditionalFormatting sqref="H4:H43">
    <cfRule type="expression" priority="7" dxfId="0" stopIfTrue="0">
      <formula>AND(H4&gt;=4,H4&lt;=5)</formula>
    </cfRule>
    <cfRule type="expression" priority="8" dxfId="1" stopIfTrue="0">
      <formula>H4=3</formula>
    </cfRule>
    <cfRule type="expression" priority="9" dxfId="2" stopIfTrue="0">
      <formula>AND(H4&gt;=1,H4&lt;=2)</formula>
    </cfRule>
  </conditionalFormatting>
  <dataValidations count="2">
    <dataValidation sqref="F4:G43" showDropDown="0" showInputMessage="0" showErrorMessage="0" allowBlank="1" errorTitle="Invalid value" error="Yes / No / Partial" type="list">
      <formula1>"Yes,No,Partial"</formula1>
    </dataValidation>
    <dataValidation sqref="H4:H43" showDropDown="0" showInputMessage="0" showErrorMessage="0" allowBlank="1" errorTitle="Invalid rating" error="1-5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18" customWidth="1" min="4" max="4"/>
    <col width="14" customWidth="1" min="5" max="5"/>
    <col width="10" customWidth="1" min="6" max="6"/>
    <col width="14" customWidth="1" min="7" max="7"/>
  </cols>
  <sheetData>
    <row r="1" ht="28" customHeight="1">
      <c r="A1" s="1" t="inlineStr">
        <is>
          <t>Performance Leaderboard</t>
        </is>
      </c>
    </row>
    <row r="2">
      <c r="A2" s="2" t="inlineStr">
        <is>
          <t>Top 10 subs by Overall Score. Auto-ranked from Sub Master Record. Do not edit - update scores on the master tab and this re-sorts.</t>
        </is>
      </c>
    </row>
    <row r="4" ht="32" customHeight="1">
      <c r="A4" s="5" t="inlineStr">
        <is>
          <t>Rank</t>
        </is>
      </c>
      <c r="B4" s="5" t="inlineStr">
        <is>
          <t>Sub ID</t>
        </is>
      </c>
      <c r="C4" s="5" t="inlineStr">
        <is>
          <t>Company Name</t>
        </is>
      </c>
      <c r="D4" s="5" t="inlineStr">
        <is>
          <t>Trade</t>
        </is>
      </c>
      <c r="E4" s="5" t="inlineStr">
        <is>
          <t>Overall Score</t>
        </is>
      </c>
      <c r="F4" s="5" t="inlineStr">
        <is>
          <t>Rating</t>
        </is>
      </c>
      <c r="G4" s="5" t="inlineStr">
        <is>
          <t>Last Used</t>
        </is>
      </c>
    </row>
    <row r="5" ht="24" customHeight="1">
      <c r="A5" s="15" t="n">
        <v>1</v>
      </c>
      <c r="B5" s="16">
        <f>IFERROR(IF(E5="","",INDEX('Sub Master Record'!$A$4:$A$36,MATCH(E5,'Sub Master Record'!$AP$4:$AP$36,0))),"")</f>
        <v/>
      </c>
      <c r="C5" s="17">
        <f>IFERROR(IF(E5="","",INDEX('Sub Master Record'!$B$4:$B$36,MATCH(E5,'Sub Master Record'!$AP$4:$AP$36,0))),"")</f>
        <v/>
      </c>
      <c r="D5" s="17">
        <f>IFERROR(IF(E5="","",INDEX('Sub Master Record'!$J$4:$J$36,MATCH(E5,'Sub Master Record'!$AP$4:$AP$36,0))),"")</f>
        <v/>
      </c>
      <c r="E5" s="14">
        <f>IFERROR(LARGE('Sub Master Record'!$AP$4:$AP$36,1),"")</f>
        <v/>
      </c>
      <c r="F5" s="15">
        <f>IFERROR(IF(E5="","",INDEX('Sub Master Record'!$AQ$4:$AQ$36,MATCH(E5,'Sub Master Record'!$AP$4:$AP$36,0))),"")</f>
        <v/>
      </c>
      <c r="G5" s="18">
        <f>IFERROR(IF(E5="","",INDEX('Sub Master Record'!$AJ$4:$AJ$36,MATCH(E5,'Sub Master Record'!$AP$4:$AP$36,0))),"")</f>
        <v/>
      </c>
    </row>
    <row r="6" ht="24" customHeight="1">
      <c r="A6" s="15" t="n">
        <v>2</v>
      </c>
      <c r="B6" s="16">
        <f>IFERROR(IF(E6="","",INDEX('Sub Master Record'!$A$4:$A$36,MATCH(E6,'Sub Master Record'!$AP$4:$AP$36,0))),"")</f>
        <v/>
      </c>
      <c r="C6" s="17">
        <f>IFERROR(IF(E6="","",INDEX('Sub Master Record'!$B$4:$B$36,MATCH(E6,'Sub Master Record'!$AP$4:$AP$36,0))),"")</f>
        <v/>
      </c>
      <c r="D6" s="17">
        <f>IFERROR(IF(E6="","",INDEX('Sub Master Record'!$J$4:$J$36,MATCH(E6,'Sub Master Record'!$AP$4:$AP$36,0))),"")</f>
        <v/>
      </c>
      <c r="E6" s="14">
        <f>IFERROR(LARGE('Sub Master Record'!$AP$4:$AP$36,2),"")</f>
        <v/>
      </c>
      <c r="F6" s="15">
        <f>IFERROR(IF(E6="","",INDEX('Sub Master Record'!$AQ$4:$AQ$36,MATCH(E6,'Sub Master Record'!$AP$4:$AP$36,0))),"")</f>
        <v/>
      </c>
      <c r="G6" s="18">
        <f>IFERROR(IF(E6="","",INDEX('Sub Master Record'!$AJ$4:$AJ$36,MATCH(E6,'Sub Master Record'!$AP$4:$AP$36,0))),"")</f>
        <v/>
      </c>
    </row>
    <row r="7" ht="24" customHeight="1">
      <c r="A7" s="15" t="n">
        <v>3</v>
      </c>
      <c r="B7" s="16">
        <f>IFERROR(IF(E7="","",INDEX('Sub Master Record'!$A$4:$A$36,MATCH(E7,'Sub Master Record'!$AP$4:$AP$36,0))),"")</f>
        <v/>
      </c>
      <c r="C7" s="17">
        <f>IFERROR(IF(E7="","",INDEX('Sub Master Record'!$B$4:$B$36,MATCH(E7,'Sub Master Record'!$AP$4:$AP$36,0))),"")</f>
        <v/>
      </c>
      <c r="D7" s="17">
        <f>IFERROR(IF(E7="","",INDEX('Sub Master Record'!$J$4:$J$36,MATCH(E7,'Sub Master Record'!$AP$4:$AP$36,0))),"")</f>
        <v/>
      </c>
      <c r="E7" s="14">
        <f>IFERROR(LARGE('Sub Master Record'!$AP$4:$AP$36,3),"")</f>
        <v/>
      </c>
      <c r="F7" s="15">
        <f>IFERROR(IF(E7="","",INDEX('Sub Master Record'!$AQ$4:$AQ$36,MATCH(E7,'Sub Master Record'!$AP$4:$AP$36,0))),"")</f>
        <v/>
      </c>
      <c r="G7" s="18">
        <f>IFERROR(IF(E7="","",INDEX('Sub Master Record'!$AJ$4:$AJ$36,MATCH(E7,'Sub Master Record'!$AP$4:$AP$36,0))),"")</f>
        <v/>
      </c>
    </row>
    <row r="8" ht="24" customHeight="1">
      <c r="A8" s="15" t="n">
        <v>4</v>
      </c>
      <c r="B8" s="16">
        <f>IFERROR(IF(E8="","",INDEX('Sub Master Record'!$A$4:$A$36,MATCH(E8,'Sub Master Record'!$AP$4:$AP$36,0))),"")</f>
        <v/>
      </c>
      <c r="C8" s="17">
        <f>IFERROR(IF(E8="","",INDEX('Sub Master Record'!$B$4:$B$36,MATCH(E8,'Sub Master Record'!$AP$4:$AP$36,0))),"")</f>
        <v/>
      </c>
      <c r="D8" s="17">
        <f>IFERROR(IF(E8="","",INDEX('Sub Master Record'!$J$4:$J$36,MATCH(E8,'Sub Master Record'!$AP$4:$AP$36,0))),"")</f>
        <v/>
      </c>
      <c r="E8" s="14">
        <f>IFERROR(LARGE('Sub Master Record'!$AP$4:$AP$36,4),"")</f>
        <v/>
      </c>
      <c r="F8" s="15">
        <f>IFERROR(IF(E8="","",INDEX('Sub Master Record'!$AQ$4:$AQ$36,MATCH(E8,'Sub Master Record'!$AP$4:$AP$36,0))),"")</f>
        <v/>
      </c>
      <c r="G8" s="18">
        <f>IFERROR(IF(E8="","",INDEX('Sub Master Record'!$AJ$4:$AJ$36,MATCH(E8,'Sub Master Record'!$AP$4:$AP$36,0))),"")</f>
        <v/>
      </c>
    </row>
    <row r="9" ht="24" customHeight="1">
      <c r="A9" s="15" t="n">
        <v>5</v>
      </c>
      <c r="B9" s="16">
        <f>IFERROR(IF(E9="","",INDEX('Sub Master Record'!$A$4:$A$36,MATCH(E9,'Sub Master Record'!$AP$4:$AP$36,0))),"")</f>
        <v/>
      </c>
      <c r="C9" s="17">
        <f>IFERROR(IF(E9="","",INDEX('Sub Master Record'!$B$4:$B$36,MATCH(E9,'Sub Master Record'!$AP$4:$AP$36,0))),"")</f>
        <v/>
      </c>
      <c r="D9" s="17">
        <f>IFERROR(IF(E9="","",INDEX('Sub Master Record'!$J$4:$J$36,MATCH(E9,'Sub Master Record'!$AP$4:$AP$36,0))),"")</f>
        <v/>
      </c>
      <c r="E9" s="14">
        <f>IFERROR(LARGE('Sub Master Record'!$AP$4:$AP$36,5),"")</f>
        <v/>
      </c>
      <c r="F9" s="15">
        <f>IFERROR(IF(E9="","",INDEX('Sub Master Record'!$AQ$4:$AQ$36,MATCH(E9,'Sub Master Record'!$AP$4:$AP$36,0))),"")</f>
        <v/>
      </c>
      <c r="G9" s="18">
        <f>IFERROR(IF(E9="","",INDEX('Sub Master Record'!$AJ$4:$AJ$36,MATCH(E9,'Sub Master Record'!$AP$4:$AP$36,0))),"")</f>
        <v/>
      </c>
    </row>
    <row r="10" ht="24" customHeight="1">
      <c r="A10" s="15" t="n">
        <v>6</v>
      </c>
      <c r="B10" s="16">
        <f>IFERROR(IF(E10="","",INDEX('Sub Master Record'!$A$4:$A$36,MATCH(E10,'Sub Master Record'!$AP$4:$AP$36,0))),"")</f>
        <v/>
      </c>
      <c r="C10" s="17">
        <f>IFERROR(IF(E10="","",INDEX('Sub Master Record'!$B$4:$B$36,MATCH(E10,'Sub Master Record'!$AP$4:$AP$36,0))),"")</f>
        <v/>
      </c>
      <c r="D10" s="17">
        <f>IFERROR(IF(E10="","",INDEX('Sub Master Record'!$J$4:$J$36,MATCH(E10,'Sub Master Record'!$AP$4:$AP$36,0))),"")</f>
        <v/>
      </c>
      <c r="E10" s="14">
        <f>IFERROR(LARGE('Sub Master Record'!$AP$4:$AP$36,6),"")</f>
        <v/>
      </c>
      <c r="F10" s="15">
        <f>IFERROR(IF(E10="","",INDEX('Sub Master Record'!$AQ$4:$AQ$36,MATCH(E10,'Sub Master Record'!$AP$4:$AP$36,0))),"")</f>
        <v/>
      </c>
      <c r="G10" s="18">
        <f>IFERROR(IF(E10="","",INDEX('Sub Master Record'!$AJ$4:$AJ$36,MATCH(E10,'Sub Master Record'!$AP$4:$AP$36,0))),"")</f>
        <v/>
      </c>
    </row>
    <row r="11" ht="24" customHeight="1">
      <c r="A11" s="15" t="n">
        <v>7</v>
      </c>
      <c r="B11" s="16">
        <f>IFERROR(IF(E11="","",INDEX('Sub Master Record'!$A$4:$A$36,MATCH(E11,'Sub Master Record'!$AP$4:$AP$36,0))),"")</f>
        <v/>
      </c>
      <c r="C11" s="17">
        <f>IFERROR(IF(E11="","",INDEX('Sub Master Record'!$B$4:$B$36,MATCH(E11,'Sub Master Record'!$AP$4:$AP$36,0))),"")</f>
        <v/>
      </c>
      <c r="D11" s="17">
        <f>IFERROR(IF(E11="","",INDEX('Sub Master Record'!$J$4:$J$36,MATCH(E11,'Sub Master Record'!$AP$4:$AP$36,0))),"")</f>
        <v/>
      </c>
      <c r="E11" s="14">
        <f>IFERROR(LARGE('Sub Master Record'!$AP$4:$AP$36,7),"")</f>
        <v/>
      </c>
      <c r="F11" s="15">
        <f>IFERROR(IF(E11="","",INDEX('Sub Master Record'!$AQ$4:$AQ$36,MATCH(E11,'Sub Master Record'!$AP$4:$AP$36,0))),"")</f>
        <v/>
      </c>
      <c r="G11" s="18">
        <f>IFERROR(IF(E11="","",INDEX('Sub Master Record'!$AJ$4:$AJ$36,MATCH(E11,'Sub Master Record'!$AP$4:$AP$36,0))),"")</f>
        <v/>
      </c>
    </row>
    <row r="12" ht="24" customHeight="1">
      <c r="A12" s="15" t="n">
        <v>8</v>
      </c>
      <c r="B12" s="16">
        <f>IFERROR(IF(E12="","",INDEX('Sub Master Record'!$A$4:$A$36,MATCH(E12,'Sub Master Record'!$AP$4:$AP$36,0))),"")</f>
        <v/>
      </c>
      <c r="C12" s="17">
        <f>IFERROR(IF(E12="","",INDEX('Sub Master Record'!$B$4:$B$36,MATCH(E12,'Sub Master Record'!$AP$4:$AP$36,0))),"")</f>
        <v/>
      </c>
      <c r="D12" s="17">
        <f>IFERROR(IF(E12="","",INDEX('Sub Master Record'!$J$4:$J$36,MATCH(E12,'Sub Master Record'!$AP$4:$AP$36,0))),"")</f>
        <v/>
      </c>
      <c r="E12" s="14">
        <f>IFERROR(LARGE('Sub Master Record'!$AP$4:$AP$36,8),"")</f>
        <v/>
      </c>
      <c r="F12" s="15">
        <f>IFERROR(IF(E12="","",INDEX('Sub Master Record'!$AQ$4:$AQ$36,MATCH(E12,'Sub Master Record'!$AP$4:$AP$36,0))),"")</f>
        <v/>
      </c>
      <c r="G12" s="18">
        <f>IFERROR(IF(E12="","",INDEX('Sub Master Record'!$AJ$4:$AJ$36,MATCH(E12,'Sub Master Record'!$AP$4:$AP$36,0))),"")</f>
        <v/>
      </c>
    </row>
    <row r="13" ht="24" customHeight="1">
      <c r="A13" s="15" t="n">
        <v>9</v>
      </c>
      <c r="B13" s="16">
        <f>IFERROR(IF(E13="","",INDEX('Sub Master Record'!$A$4:$A$36,MATCH(E13,'Sub Master Record'!$AP$4:$AP$36,0))),"")</f>
        <v/>
      </c>
      <c r="C13" s="17">
        <f>IFERROR(IF(E13="","",INDEX('Sub Master Record'!$B$4:$B$36,MATCH(E13,'Sub Master Record'!$AP$4:$AP$36,0))),"")</f>
        <v/>
      </c>
      <c r="D13" s="17">
        <f>IFERROR(IF(E13="","",INDEX('Sub Master Record'!$J$4:$J$36,MATCH(E13,'Sub Master Record'!$AP$4:$AP$36,0))),"")</f>
        <v/>
      </c>
      <c r="E13" s="14">
        <f>IFERROR(LARGE('Sub Master Record'!$AP$4:$AP$36,9),"")</f>
        <v/>
      </c>
      <c r="F13" s="15">
        <f>IFERROR(IF(E13="","",INDEX('Sub Master Record'!$AQ$4:$AQ$36,MATCH(E13,'Sub Master Record'!$AP$4:$AP$36,0))),"")</f>
        <v/>
      </c>
      <c r="G13" s="18">
        <f>IFERROR(IF(E13="","",INDEX('Sub Master Record'!$AJ$4:$AJ$36,MATCH(E13,'Sub Master Record'!$AP$4:$AP$36,0))),"")</f>
        <v/>
      </c>
    </row>
    <row r="14" ht="24" customHeight="1">
      <c r="A14" s="15" t="n">
        <v>10</v>
      </c>
      <c r="B14" s="16">
        <f>IFERROR(IF(E14="","",INDEX('Sub Master Record'!$A$4:$A$36,MATCH(E14,'Sub Master Record'!$AP$4:$AP$36,0))),"")</f>
        <v/>
      </c>
      <c r="C14" s="17">
        <f>IFERROR(IF(E14="","",INDEX('Sub Master Record'!$B$4:$B$36,MATCH(E14,'Sub Master Record'!$AP$4:$AP$36,0))),"")</f>
        <v/>
      </c>
      <c r="D14" s="17">
        <f>IFERROR(IF(E14="","",INDEX('Sub Master Record'!$J$4:$J$36,MATCH(E14,'Sub Master Record'!$AP$4:$AP$36,0))),"")</f>
        <v/>
      </c>
      <c r="E14" s="14">
        <f>IFERROR(LARGE('Sub Master Record'!$AP$4:$AP$36,10),"")</f>
        <v/>
      </c>
      <c r="F14" s="15">
        <f>IFERROR(IF(E14="","",INDEX('Sub Master Record'!$AQ$4:$AQ$36,MATCH(E14,'Sub Master Record'!$AP$4:$AP$36,0))),"")</f>
        <v/>
      </c>
      <c r="G14" s="18">
        <f>IFERROR(IF(E14="","",INDEX('Sub Master Record'!$AJ$4:$AJ$36,MATCH(E14,'Sub Master Record'!$AP$4:$AP$36,0))),"")</f>
        <v/>
      </c>
    </row>
  </sheetData>
  <mergeCells count="2">
    <mergeCell ref="A2:G2"/>
    <mergeCell ref="A1:G1"/>
  </mergeCells>
  <conditionalFormatting sqref="F5:F14">
    <cfRule type="expression" priority="1" dxfId="3" stopIfTrue="0">
      <formula>$F5="A"</formula>
    </cfRule>
    <cfRule type="expression" priority="2" dxfId="0" stopIfTrue="0">
      <formula>$F5="B"</formula>
    </cfRule>
    <cfRule type="expression" priority="3" dxfId="1" stopIfTrue="0">
      <formula>$F5="C"</formula>
    </cfRule>
    <cfRule type="expression" priority="4" dxfId="2" stopIfTrue="0">
      <formula>$F5="D"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 ht="32" customHeight="1">
      <c r="A1" s="1" t="inlineStr">
        <is>
          <t>Compliance Dashboard</t>
        </is>
      </c>
    </row>
    <row r="2">
      <c r="A2" s="2" t="inlineStr">
        <is>
          <t>Auto-rolled from Sub Master Record. Update that tab - this stays in sync.</t>
        </is>
      </c>
    </row>
    <row r="4" ht="26" customHeight="1">
      <c r="A4" s="19" t="inlineStr">
        <is>
          <t>Roster Snapshot</t>
        </is>
      </c>
    </row>
    <row r="5" ht="28" customHeight="1">
      <c r="A5" s="20" t="inlineStr">
        <is>
          <t>Total Subs in Database</t>
        </is>
      </c>
      <c r="B5" s="21" t="n"/>
      <c r="C5" s="21" t="n"/>
      <c r="D5" s="22" t="n"/>
      <c r="E5" s="23">
        <f>COUNTA('Sub Master Record'!$B$4:$B$36)</f>
        <v/>
      </c>
      <c r="F5" s="22" t="n"/>
    </row>
    <row r="6" ht="28" customHeight="1">
      <c r="A6" s="20" t="inlineStr">
        <is>
          <t>Total Approved Subs</t>
        </is>
      </c>
      <c r="B6" s="21" t="n"/>
      <c r="C6" s="21" t="n"/>
      <c r="D6" s="22" t="n"/>
      <c r="E6" s="23">
        <f>COUNTIF('Sub Master Record'!$AR$4:$AR$36,"Yes")</f>
        <v/>
      </c>
      <c r="F6" s="22" t="n"/>
    </row>
    <row r="7" ht="28" customHeight="1">
      <c r="A7" s="20" t="inlineStr">
        <is>
          <t>Total Pending Prequal</t>
        </is>
      </c>
      <c r="B7" s="21" t="n"/>
      <c r="C7" s="21" t="n"/>
      <c r="D7" s="22" t="n"/>
      <c r="E7" s="23">
        <f>COUNTIF('Sub Master Record'!$S$4:$S$36,"Pending")</f>
        <v/>
      </c>
      <c r="F7" s="22" t="n"/>
    </row>
    <row r="8" ht="28" customHeight="1">
      <c r="A8" s="20" t="inlineStr">
        <is>
          <t>Average Performance Score (Approved subs)</t>
        </is>
      </c>
      <c r="B8" s="21" t="n"/>
      <c r="C8" s="21" t="n"/>
      <c r="D8" s="22" t="n"/>
      <c r="E8" s="24">
        <f>IFERROR(AVERAGEIFS('Sub Master Record'!$AP$4:$AP$36,'Sub Master Record'!$AR$4:$AR$36,"Yes",'Sub Master Record'!$AP$4:$AP$36,"&gt;0"),0)</f>
        <v/>
      </c>
      <c r="F8" s="22" t="n"/>
    </row>
    <row r="10" ht="26" customHeight="1">
      <c r="A10" s="19" t="inlineStr">
        <is>
          <t>Risk Flags</t>
        </is>
      </c>
    </row>
    <row r="11" ht="28" customHeight="1">
      <c r="A11" s="20" t="inlineStr">
        <is>
          <t>Subs with Expiring COIs (next 30 days)</t>
        </is>
      </c>
      <c r="B11" s="21" t="n"/>
      <c r="C11" s="21" t="n"/>
      <c r="D11" s="22" t="n"/>
      <c r="E11" s="23">
        <f>SUMPRODUCT(('Sub Master Record'!$Z$4:$Z$36&gt;=TODAY())*('Sub Master Record'!$Z$4:$Z$36&lt;=TODAY()+30)*('Sub Master Record'!$Z$4:$Z$36&lt;&gt;""))</f>
        <v/>
      </c>
      <c r="F11" s="22" t="n"/>
    </row>
    <row r="12" ht="28" customHeight="1">
      <c r="A12" s="20" t="inlineStr">
        <is>
          <t>Subs with Expired COIs</t>
        </is>
      </c>
      <c r="B12" s="21" t="n"/>
      <c r="C12" s="21" t="n"/>
      <c r="D12" s="22" t="n"/>
      <c r="E12" s="23">
        <f>COUNTIF('Sub Master Record'!$Y$4:$Y$36,"Expired")+COUNTIF('Sub Master Record'!$Y$4:$Y$36,"None")</f>
        <v/>
      </c>
      <c r="F12" s="22" t="n"/>
    </row>
    <row r="13" ht="28" customHeight="1">
      <c r="A13" s="20" t="inlineStr">
        <is>
          <t>Subs with Expired License</t>
        </is>
      </c>
      <c r="B13" s="21" t="n"/>
      <c r="C13" s="21" t="n"/>
      <c r="D13" s="22" t="n"/>
      <c r="E13" s="23">
        <f>COUNTIF('Sub Master Record'!$X$4:$X$36,"Expired")</f>
        <v/>
      </c>
      <c r="F13" s="22" t="n"/>
    </row>
    <row r="14" ht="28" customHeight="1">
      <c r="A14" s="20" t="inlineStr">
        <is>
          <t>Subs with EMR &gt; 1.0 (safety concern)</t>
        </is>
      </c>
      <c r="B14" s="21" t="n"/>
      <c r="C14" s="21" t="n"/>
      <c r="D14" s="22" t="n"/>
      <c r="E14" s="23">
        <f>COUNTIF('Sub Master Record'!$AH$4:$AH$36,"&gt;1")</f>
        <v/>
      </c>
      <c r="F14" s="22" t="n"/>
    </row>
    <row r="15" ht="28" customHeight="1">
      <c r="A15" s="20" t="inlineStr">
        <is>
          <t>Inactive / Rejected Subs</t>
        </is>
      </c>
      <c r="B15" s="21" t="n"/>
      <c r="C15" s="21" t="n"/>
      <c r="D15" s="22" t="n"/>
      <c r="E15" s="23">
        <f>COUNTIF('Sub Master Record'!$S$4:$S$36,"Inactive")+COUNTIF('Sub Master Record'!$S$4:$S$36,"Rejected")</f>
        <v/>
      </c>
      <c r="F15" s="22" t="n"/>
    </row>
    <row r="17" ht="26" customHeight="1">
      <c r="A17" s="19" t="inlineStr">
        <is>
          <t>Bonding &amp; Diversity</t>
        </is>
      </c>
    </row>
    <row r="18" ht="28" customHeight="1">
      <c r="A18" s="20" t="inlineStr">
        <is>
          <t>Bonded Subs (count)</t>
        </is>
      </c>
      <c r="B18" s="21" t="n"/>
      <c r="C18" s="21" t="n"/>
      <c r="D18" s="22" t="n"/>
      <c r="E18" s="23">
        <f>COUNTIF('Sub Master Record'!$AB$4:$AB$36,"Yes")</f>
        <v/>
      </c>
      <c r="F18" s="22" t="n"/>
    </row>
    <row r="19" ht="28" customHeight="1">
      <c r="A19" s="20" t="inlineStr">
        <is>
          <t>Total Aggregate Bonding Capacity ($)</t>
        </is>
      </c>
      <c r="B19" s="21" t="n"/>
      <c r="C19" s="21" t="n"/>
      <c r="D19" s="22" t="n"/>
      <c r="E19" s="25">
        <f>SUMIF('Sub Master Record'!$AB$4:$AB$36,"Yes",'Sub Master Record'!$AE$4:$AE$36)</f>
        <v/>
      </c>
      <c r="F19" s="22" t="n"/>
    </row>
    <row r="20" ht="28" customHeight="1">
      <c r="A20" s="20" t="inlineStr">
        <is>
          <t>DBE Certified</t>
        </is>
      </c>
      <c r="B20" s="21" t="n"/>
      <c r="C20" s="21" t="n"/>
      <c r="D20" s="22" t="n"/>
      <c r="E20" s="23">
        <f>COUNTIF('Sub Master Record'!$AF$4:$AF$36,"DBE")+COUNTIF('Sub Master Record'!$AF$4:$AF$36,"Multiple")</f>
        <v/>
      </c>
      <c r="F20" s="22" t="n"/>
    </row>
    <row r="21" ht="28" customHeight="1">
      <c r="A21" s="20" t="inlineStr">
        <is>
          <t>MBE Certified</t>
        </is>
      </c>
      <c r="B21" s="21" t="n"/>
      <c r="C21" s="21" t="n"/>
      <c r="D21" s="22" t="n"/>
      <c r="E21" s="23">
        <f>COUNTIF('Sub Master Record'!$AF$4:$AF$36,"MBE")+COUNTIF('Sub Master Record'!$AF$4:$AF$36,"Multiple")</f>
        <v/>
      </c>
      <c r="F21" s="22" t="n"/>
    </row>
    <row r="22" ht="28" customHeight="1">
      <c r="A22" s="20" t="inlineStr">
        <is>
          <t>WBE Certified</t>
        </is>
      </c>
      <c r="B22" s="21" t="n"/>
      <c r="C22" s="21" t="n"/>
      <c r="D22" s="22" t="n"/>
      <c r="E22" s="23">
        <f>COUNTIF('Sub Master Record'!$AF$4:$AF$36,"WBE")+COUNTIF('Sub Master Record'!$AF$4:$AF$36,"Multiple")</f>
        <v/>
      </c>
      <c r="F22" s="22" t="n"/>
    </row>
  </sheetData>
  <mergeCells count="33">
    <mergeCell ref="A5:D5"/>
    <mergeCell ref="E12:F12"/>
    <mergeCell ref="A8:D8"/>
    <mergeCell ref="A22:D22"/>
    <mergeCell ref="A20:D20"/>
    <mergeCell ref="E5:F5"/>
    <mergeCell ref="E14:F14"/>
    <mergeCell ref="A19:D19"/>
    <mergeCell ref="E8:F8"/>
    <mergeCell ref="A13:D13"/>
    <mergeCell ref="A2:F2"/>
    <mergeCell ref="E20:F20"/>
    <mergeCell ref="E19:F19"/>
    <mergeCell ref="A15:D15"/>
    <mergeCell ref="E13:F13"/>
    <mergeCell ref="A17:F17"/>
    <mergeCell ref="A4:F4"/>
    <mergeCell ref="A11:D11"/>
    <mergeCell ref="E6:F6"/>
    <mergeCell ref="A10:F10"/>
    <mergeCell ref="A6:D6"/>
    <mergeCell ref="E15:F15"/>
    <mergeCell ref="E11:F11"/>
    <mergeCell ref="A7:D7"/>
    <mergeCell ref="A18:D18"/>
    <mergeCell ref="E21:F21"/>
    <mergeCell ref="E7:F7"/>
    <mergeCell ref="A12:D12"/>
    <mergeCell ref="A1:F1"/>
    <mergeCell ref="A21:D21"/>
    <mergeCell ref="E22:F22"/>
    <mergeCell ref="E18:F18"/>
    <mergeCell ref="A14:D14"/>
  </mergeCells>
  <conditionalFormatting sqref="E5">
    <cfRule type="cellIs" priority="1" operator="greaterThan" dxfId="4" stopIfTrue="0">
      <formula>0</formula>
    </cfRule>
  </conditionalFormatting>
  <conditionalFormatting sqref="E6">
    <cfRule type="cellIs" priority="2" operator="greaterThan" dxfId="4" stopIfTrue="0">
      <formula>0</formula>
    </cfRule>
  </conditionalFormatting>
  <conditionalFormatting sqref="E8">
    <cfRule type="cellIs" priority="3" operator="greaterThan" dxfId="4" stopIfTrue="0">
      <formula>0</formula>
    </cfRule>
  </conditionalFormatting>
  <conditionalFormatting sqref="E11">
    <cfRule type="cellIs" priority="4" operator="greaterThan" dxfId="5" stopIfTrue="0">
      <formula>0</formula>
    </cfRule>
    <cfRule type="cellIs" priority="5" operator="equal" dxfId="4" stopIfTrue="0">
      <formula>0</formula>
    </cfRule>
  </conditionalFormatting>
  <conditionalFormatting sqref="E12">
    <cfRule type="cellIs" priority="6" operator="greaterThan" dxfId="5" stopIfTrue="0">
      <formula>0</formula>
    </cfRule>
    <cfRule type="cellIs" priority="7" operator="equal" dxfId="4" stopIfTrue="0">
      <formula>0</formula>
    </cfRule>
  </conditionalFormatting>
  <conditionalFormatting sqref="E13">
    <cfRule type="cellIs" priority="8" operator="greaterThan" dxfId="5" stopIfTrue="0">
      <formula>0</formula>
    </cfRule>
    <cfRule type="cellIs" priority="9" operator="equal" dxfId="4" stopIfTrue="0">
      <formula>0</formula>
    </cfRule>
  </conditionalFormatting>
  <conditionalFormatting sqref="E14">
    <cfRule type="cellIs" priority="10" operator="greaterThan" dxfId="5" stopIfTrue="0">
      <formula>0</formula>
    </cfRule>
    <cfRule type="cellIs" priority="11" operator="equal" dxfId="4" stopIfTrue="0">
      <formula>0</formula>
    </cfRule>
  </conditionalFormatting>
  <conditionalFormatting sqref="E18">
    <cfRule type="cellIs" priority="12" operator="greaterThan" dxfId="4" stopIfTrue="0">
      <formula>0</formula>
    </cfRule>
  </conditionalFormatting>
  <conditionalFormatting sqref="E19">
    <cfRule type="cellIs" priority="13" operator="greaterThan" dxfId="4" stopIfTrue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22" customWidth="1" min="3" max="3"/>
    <col width="22" customWidth="1" min="4" max="4"/>
    <col width="26" customWidth="1" min="5" max="5"/>
    <col width="22" customWidth="1" min="6" max="6"/>
  </cols>
  <sheetData>
    <row r="1" ht="28" customHeight="1">
      <c r="A1" s="1" t="inlineStr">
        <is>
          <t>Bonding Capacity Roll-Up</t>
        </is>
      </c>
    </row>
    <row r="2">
      <c r="A2" s="2" t="inlineStr">
        <is>
          <t>Per-sub bonding headroom. Active Project Count + Contract Value $ are summed from Work History (current year only). Available = Aggregate - Active. Subs near 0 are tapped out.</t>
        </is>
      </c>
    </row>
    <row r="4" ht="32" customHeight="1">
      <c r="A4" s="5" t="inlineStr">
        <is>
          <t>Sub ID</t>
        </is>
      </c>
      <c r="B4" s="5" t="inlineStr">
        <is>
          <t>Company Name</t>
        </is>
      </c>
      <c r="C4" s="5" t="inlineStr">
        <is>
          <t>Single Project Capacity</t>
        </is>
      </c>
      <c r="D4" s="5" t="inlineStr">
        <is>
          <t>Aggregate Capacity</t>
        </is>
      </c>
      <c r="E4" s="5" t="inlineStr">
        <is>
          <t>Active Bonded Value (current yr)</t>
        </is>
      </c>
      <c r="F4" s="5" t="inlineStr">
        <is>
          <t>Available Capacity</t>
        </is>
      </c>
    </row>
    <row r="5" ht="24" customHeight="1">
      <c r="A5" s="26">
        <f>IF('Sub Master Record'!$AB$4="Yes",'Sub Master Record'!$A$4,"")</f>
        <v/>
      </c>
      <c r="B5" s="27">
        <f>IF('Sub Master Record'!$AB$4="Yes",'Sub Master Record'!$B$4,"")</f>
        <v/>
      </c>
      <c r="C5" s="28">
        <f>IF('Sub Master Record'!$AB$4="Yes",'Sub Master Record'!$AD$4,"")</f>
        <v/>
      </c>
      <c r="D5" s="28">
        <f>IF('Sub Master Record'!$AB$4="Yes",'Sub Master Record'!$AE$4,"")</f>
        <v/>
      </c>
      <c r="E5" s="28">
        <f>IF('Sub Master Record'!$AB$4="Yes",SUMIFS('Work History'!$E$4:$E$43,'Work History'!$A$4:$A$43,'Sub Master Record'!$A$4,'Work History'!$D$4:$D$43,YEAR(TODAY())),"")</f>
        <v/>
      </c>
      <c r="F5" s="28">
        <f>IF('Sub Master Record'!$AB$4="Yes",'Sub Master Record'!$AE$4-SUMIFS('Work History'!$E$4:$E$43,'Work History'!$A$4:$A$43,'Sub Master Record'!$A$4,'Work History'!$D$4:$D$43,YEAR(TODAY())),"")</f>
        <v/>
      </c>
    </row>
    <row r="6" ht="24" customHeight="1">
      <c r="A6" s="26">
        <f>IF('Sub Master Record'!$AB$5="Yes",'Sub Master Record'!$A$5,"")</f>
        <v/>
      </c>
      <c r="B6" s="27">
        <f>IF('Sub Master Record'!$AB$5="Yes",'Sub Master Record'!$B$5,"")</f>
        <v/>
      </c>
      <c r="C6" s="28">
        <f>IF('Sub Master Record'!$AB$5="Yes",'Sub Master Record'!$AD$5,"")</f>
        <v/>
      </c>
      <c r="D6" s="28">
        <f>IF('Sub Master Record'!$AB$5="Yes",'Sub Master Record'!$AE$5,"")</f>
        <v/>
      </c>
      <c r="E6" s="28">
        <f>IF('Sub Master Record'!$AB$5="Yes",SUMIFS('Work History'!$E$4:$E$43,'Work History'!$A$4:$A$43,'Sub Master Record'!$A$5,'Work History'!$D$4:$D$43,YEAR(TODAY())),"")</f>
        <v/>
      </c>
      <c r="F6" s="28">
        <f>IF('Sub Master Record'!$AB$5="Yes",'Sub Master Record'!$AE$5-SUMIFS('Work History'!$E$4:$E$43,'Work History'!$A$4:$A$43,'Sub Master Record'!$A$5,'Work History'!$D$4:$D$43,YEAR(TODAY())),"")</f>
        <v/>
      </c>
    </row>
    <row r="7" ht="24" customHeight="1">
      <c r="A7" s="26">
        <f>IF('Sub Master Record'!$AB$6="Yes",'Sub Master Record'!$A$6,"")</f>
        <v/>
      </c>
      <c r="B7" s="27">
        <f>IF('Sub Master Record'!$AB$6="Yes",'Sub Master Record'!$B$6,"")</f>
        <v/>
      </c>
      <c r="C7" s="28">
        <f>IF('Sub Master Record'!$AB$6="Yes",'Sub Master Record'!$AD$6,"")</f>
        <v/>
      </c>
      <c r="D7" s="28">
        <f>IF('Sub Master Record'!$AB$6="Yes",'Sub Master Record'!$AE$6,"")</f>
        <v/>
      </c>
      <c r="E7" s="28">
        <f>IF('Sub Master Record'!$AB$6="Yes",SUMIFS('Work History'!$E$4:$E$43,'Work History'!$A$4:$A$43,'Sub Master Record'!$A$6,'Work History'!$D$4:$D$43,YEAR(TODAY())),"")</f>
        <v/>
      </c>
      <c r="F7" s="28">
        <f>IF('Sub Master Record'!$AB$6="Yes",'Sub Master Record'!$AE$6-SUMIFS('Work History'!$E$4:$E$43,'Work History'!$A$4:$A$43,'Sub Master Record'!$A$6,'Work History'!$D$4:$D$43,YEAR(TODAY())),"")</f>
        <v/>
      </c>
    </row>
    <row r="8" ht="24" customHeight="1">
      <c r="A8" s="26">
        <f>IF('Sub Master Record'!$AB$7="Yes",'Sub Master Record'!$A$7,"")</f>
        <v/>
      </c>
      <c r="B8" s="27">
        <f>IF('Sub Master Record'!$AB$7="Yes",'Sub Master Record'!$B$7,"")</f>
        <v/>
      </c>
      <c r="C8" s="28">
        <f>IF('Sub Master Record'!$AB$7="Yes",'Sub Master Record'!$AD$7,"")</f>
        <v/>
      </c>
      <c r="D8" s="28">
        <f>IF('Sub Master Record'!$AB$7="Yes",'Sub Master Record'!$AE$7,"")</f>
        <v/>
      </c>
      <c r="E8" s="28">
        <f>IF('Sub Master Record'!$AB$7="Yes",SUMIFS('Work History'!$E$4:$E$43,'Work History'!$A$4:$A$43,'Sub Master Record'!$A$7,'Work History'!$D$4:$D$43,YEAR(TODAY())),"")</f>
        <v/>
      </c>
      <c r="F8" s="28">
        <f>IF('Sub Master Record'!$AB$7="Yes",'Sub Master Record'!$AE$7-SUMIFS('Work History'!$E$4:$E$43,'Work History'!$A$4:$A$43,'Sub Master Record'!$A$7,'Work History'!$D$4:$D$43,YEAR(TODAY())),"")</f>
        <v/>
      </c>
    </row>
    <row r="9" ht="24" customHeight="1">
      <c r="A9" s="26">
        <f>IF('Sub Master Record'!$AB$8="Yes",'Sub Master Record'!$A$8,"")</f>
        <v/>
      </c>
      <c r="B9" s="27">
        <f>IF('Sub Master Record'!$AB$8="Yes",'Sub Master Record'!$B$8,"")</f>
        <v/>
      </c>
      <c r="C9" s="28">
        <f>IF('Sub Master Record'!$AB$8="Yes",'Sub Master Record'!$AD$8,"")</f>
        <v/>
      </c>
      <c r="D9" s="28">
        <f>IF('Sub Master Record'!$AB$8="Yes",'Sub Master Record'!$AE$8,"")</f>
        <v/>
      </c>
      <c r="E9" s="28">
        <f>IF('Sub Master Record'!$AB$8="Yes",SUMIFS('Work History'!$E$4:$E$43,'Work History'!$A$4:$A$43,'Sub Master Record'!$A$8,'Work History'!$D$4:$D$43,YEAR(TODAY())),"")</f>
        <v/>
      </c>
      <c r="F9" s="28">
        <f>IF('Sub Master Record'!$AB$8="Yes",'Sub Master Record'!$AE$8-SUMIFS('Work History'!$E$4:$E$43,'Work History'!$A$4:$A$43,'Sub Master Record'!$A$8,'Work History'!$D$4:$D$43,YEAR(TODAY())),"")</f>
        <v/>
      </c>
    </row>
    <row r="10" ht="24" customHeight="1">
      <c r="A10" s="26">
        <f>IF('Sub Master Record'!$AB$9="Yes",'Sub Master Record'!$A$9,"")</f>
        <v/>
      </c>
      <c r="B10" s="27">
        <f>IF('Sub Master Record'!$AB$9="Yes",'Sub Master Record'!$B$9,"")</f>
        <v/>
      </c>
      <c r="C10" s="28">
        <f>IF('Sub Master Record'!$AB$9="Yes",'Sub Master Record'!$AD$9,"")</f>
        <v/>
      </c>
      <c r="D10" s="28">
        <f>IF('Sub Master Record'!$AB$9="Yes",'Sub Master Record'!$AE$9,"")</f>
        <v/>
      </c>
      <c r="E10" s="28">
        <f>IF('Sub Master Record'!$AB$9="Yes",SUMIFS('Work History'!$E$4:$E$43,'Work History'!$A$4:$A$43,'Sub Master Record'!$A$9,'Work History'!$D$4:$D$43,YEAR(TODAY())),"")</f>
        <v/>
      </c>
      <c r="F10" s="28">
        <f>IF('Sub Master Record'!$AB$9="Yes",'Sub Master Record'!$AE$9-SUMIFS('Work History'!$E$4:$E$43,'Work History'!$A$4:$A$43,'Sub Master Record'!$A$9,'Work History'!$D$4:$D$43,YEAR(TODAY())),"")</f>
        <v/>
      </c>
    </row>
    <row r="11" ht="24" customHeight="1">
      <c r="A11" s="26">
        <f>IF('Sub Master Record'!$AB$10="Yes",'Sub Master Record'!$A$10,"")</f>
        <v/>
      </c>
      <c r="B11" s="27">
        <f>IF('Sub Master Record'!$AB$10="Yes",'Sub Master Record'!$B$10,"")</f>
        <v/>
      </c>
      <c r="C11" s="28">
        <f>IF('Sub Master Record'!$AB$10="Yes",'Sub Master Record'!$AD$10,"")</f>
        <v/>
      </c>
      <c r="D11" s="28">
        <f>IF('Sub Master Record'!$AB$10="Yes",'Sub Master Record'!$AE$10,"")</f>
        <v/>
      </c>
      <c r="E11" s="28">
        <f>IF('Sub Master Record'!$AB$10="Yes",SUMIFS('Work History'!$E$4:$E$43,'Work History'!$A$4:$A$43,'Sub Master Record'!$A$10,'Work History'!$D$4:$D$43,YEAR(TODAY())),"")</f>
        <v/>
      </c>
      <c r="F11" s="28">
        <f>IF('Sub Master Record'!$AB$10="Yes",'Sub Master Record'!$AE$10-SUMIFS('Work History'!$E$4:$E$43,'Work History'!$A$4:$A$43,'Sub Master Record'!$A$10,'Work History'!$D$4:$D$43,YEAR(TODAY())),"")</f>
        <v/>
      </c>
    </row>
    <row r="12" ht="24" customHeight="1">
      <c r="A12" s="26">
        <f>IF('Sub Master Record'!$AB$11="Yes",'Sub Master Record'!$A$11,"")</f>
        <v/>
      </c>
      <c r="B12" s="27">
        <f>IF('Sub Master Record'!$AB$11="Yes",'Sub Master Record'!$B$11,"")</f>
        <v/>
      </c>
      <c r="C12" s="28">
        <f>IF('Sub Master Record'!$AB$11="Yes",'Sub Master Record'!$AD$11,"")</f>
        <v/>
      </c>
      <c r="D12" s="28">
        <f>IF('Sub Master Record'!$AB$11="Yes",'Sub Master Record'!$AE$11,"")</f>
        <v/>
      </c>
      <c r="E12" s="28">
        <f>IF('Sub Master Record'!$AB$11="Yes",SUMIFS('Work History'!$E$4:$E$43,'Work History'!$A$4:$A$43,'Sub Master Record'!$A$11,'Work History'!$D$4:$D$43,YEAR(TODAY())),"")</f>
        <v/>
      </c>
      <c r="F12" s="28">
        <f>IF('Sub Master Record'!$AB$11="Yes",'Sub Master Record'!$AE$11-SUMIFS('Work History'!$E$4:$E$43,'Work History'!$A$4:$A$43,'Sub Master Record'!$A$11,'Work History'!$D$4:$D$43,YEAR(TODAY())),"")</f>
        <v/>
      </c>
    </row>
    <row r="13" ht="24" customHeight="1">
      <c r="A13" s="26">
        <f>IF('Sub Master Record'!$AB$12="Yes",'Sub Master Record'!$A$12,"")</f>
        <v/>
      </c>
      <c r="B13" s="27">
        <f>IF('Sub Master Record'!$AB$12="Yes",'Sub Master Record'!$B$12,"")</f>
        <v/>
      </c>
      <c r="C13" s="28">
        <f>IF('Sub Master Record'!$AB$12="Yes",'Sub Master Record'!$AD$12,"")</f>
        <v/>
      </c>
      <c r="D13" s="28">
        <f>IF('Sub Master Record'!$AB$12="Yes",'Sub Master Record'!$AE$12,"")</f>
        <v/>
      </c>
      <c r="E13" s="28">
        <f>IF('Sub Master Record'!$AB$12="Yes",SUMIFS('Work History'!$E$4:$E$43,'Work History'!$A$4:$A$43,'Sub Master Record'!$A$12,'Work History'!$D$4:$D$43,YEAR(TODAY())),"")</f>
        <v/>
      </c>
      <c r="F13" s="28">
        <f>IF('Sub Master Record'!$AB$12="Yes",'Sub Master Record'!$AE$12-SUMIFS('Work History'!$E$4:$E$43,'Work History'!$A$4:$A$43,'Sub Master Record'!$A$12,'Work History'!$D$4:$D$43,YEAR(TODAY())),"")</f>
        <v/>
      </c>
    </row>
    <row r="14" ht="24" customHeight="1">
      <c r="A14" s="26">
        <f>IF('Sub Master Record'!$AB$13="Yes",'Sub Master Record'!$A$13,"")</f>
        <v/>
      </c>
      <c r="B14" s="27">
        <f>IF('Sub Master Record'!$AB$13="Yes",'Sub Master Record'!$B$13,"")</f>
        <v/>
      </c>
      <c r="C14" s="28">
        <f>IF('Sub Master Record'!$AB$13="Yes",'Sub Master Record'!$AD$13,"")</f>
        <v/>
      </c>
      <c r="D14" s="28">
        <f>IF('Sub Master Record'!$AB$13="Yes",'Sub Master Record'!$AE$13,"")</f>
        <v/>
      </c>
      <c r="E14" s="28">
        <f>IF('Sub Master Record'!$AB$13="Yes",SUMIFS('Work History'!$E$4:$E$43,'Work History'!$A$4:$A$43,'Sub Master Record'!$A$13,'Work History'!$D$4:$D$43,YEAR(TODAY())),"")</f>
        <v/>
      </c>
      <c r="F14" s="28">
        <f>IF('Sub Master Record'!$AB$13="Yes",'Sub Master Record'!$AE$13-SUMIFS('Work History'!$E$4:$E$43,'Work History'!$A$4:$A$43,'Sub Master Record'!$A$13,'Work History'!$D$4:$D$43,YEAR(TODAY())),"")</f>
        <v/>
      </c>
    </row>
    <row r="15" ht="24" customHeight="1">
      <c r="A15" s="26">
        <f>IF('Sub Master Record'!$AB$14="Yes",'Sub Master Record'!$A$14,"")</f>
        <v/>
      </c>
      <c r="B15" s="27">
        <f>IF('Sub Master Record'!$AB$14="Yes",'Sub Master Record'!$B$14,"")</f>
        <v/>
      </c>
      <c r="C15" s="28">
        <f>IF('Sub Master Record'!$AB$14="Yes",'Sub Master Record'!$AD$14,"")</f>
        <v/>
      </c>
      <c r="D15" s="28">
        <f>IF('Sub Master Record'!$AB$14="Yes",'Sub Master Record'!$AE$14,"")</f>
        <v/>
      </c>
      <c r="E15" s="28">
        <f>IF('Sub Master Record'!$AB$14="Yes",SUMIFS('Work History'!$E$4:$E$43,'Work History'!$A$4:$A$43,'Sub Master Record'!$A$14,'Work History'!$D$4:$D$43,YEAR(TODAY())),"")</f>
        <v/>
      </c>
      <c r="F15" s="28">
        <f>IF('Sub Master Record'!$AB$14="Yes",'Sub Master Record'!$AE$14-SUMIFS('Work History'!$E$4:$E$43,'Work History'!$A$4:$A$43,'Sub Master Record'!$A$14,'Work History'!$D$4:$D$43,YEAR(TODAY())),"")</f>
        <v/>
      </c>
    </row>
    <row r="16" ht="24" customHeight="1">
      <c r="A16" s="26">
        <f>IF('Sub Master Record'!$AB$15="Yes",'Sub Master Record'!$A$15,"")</f>
        <v/>
      </c>
      <c r="B16" s="27">
        <f>IF('Sub Master Record'!$AB$15="Yes",'Sub Master Record'!$B$15,"")</f>
        <v/>
      </c>
      <c r="C16" s="28">
        <f>IF('Sub Master Record'!$AB$15="Yes",'Sub Master Record'!$AD$15,"")</f>
        <v/>
      </c>
      <c r="D16" s="28">
        <f>IF('Sub Master Record'!$AB$15="Yes",'Sub Master Record'!$AE$15,"")</f>
        <v/>
      </c>
      <c r="E16" s="28">
        <f>IF('Sub Master Record'!$AB$15="Yes",SUMIFS('Work History'!$E$4:$E$43,'Work History'!$A$4:$A$43,'Sub Master Record'!$A$15,'Work History'!$D$4:$D$43,YEAR(TODAY())),"")</f>
        <v/>
      </c>
      <c r="F16" s="28">
        <f>IF('Sub Master Record'!$AB$15="Yes",'Sub Master Record'!$AE$15-SUMIFS('Work History'!$E$4:$E$43,'Work History'!$A$4:$A$43,'Sub Master Record'!$A$15,'Work History'!$D$4:$D$43,YEAR(TODAY())),"")</f>
        <v/>
      </c>
    </row>
    <row r="17" ht="24" customHeight="1">
      <c r="A17" s="26">
        <f>IF('Sub Master Record'!$AB$16="Yes",'Sub Master Record'!$A$16,"")</f>
        <v/>
      </c>
      <c r="B17" s="27">
        <f>IF('Sub Master Record'!$AB$16="Yes",'Sub Master Record'!$B$16,"")</f>
        <v/>
      </c>
      <c r="C17" s="28">
        <f>IF('Sub Master Record'!$AB$16="Yes",'Sub Master Record'!$AD$16,"")</f>
        <v/>
      </c>
      <c r="D17" s="28">
        <f>IF('Sub Master Record'!$AB$16="Yes",'Sub Master Record'!$AE$16,"")</f>
        <v/>
      </c>
      <c r="E17" s="28">
        <f>IF('Sub Master Record'!$AB$16="Yes",SUMIFS('Work History'!$E$4:$E$43,'Work History'!$A$4:$A$43,'Sub Master Record'!$A$16,'Work History'!$D$4:$D$43,YEAR(TODAY())),"")</f>
        <v/>
      </c>
      <c r="F17" s="28">
        <f>IF('Sub Master Record'!$AB$16="Yes",'Sub Master Record'!$AE$16-SUMIFS('Work History'!$E$4:$E$43,'Work History'!$A$4:$A$43,'Sub Master Record'!$A$16,'Work History'!$D$4:$D$43,YEAR(TODAY())),"")</f>
        <v/>
      </c>
    </row>
    <row r="18" ht="24" customHeight="1">
      <c r="A18" s="26">
        <f>IF('Sub Master Record'!$AB$17="Yes",'Sub Master Record'!$A$17,"")</f>
        <v/>
      </c>
      <c r="B18" s="27">
        <f>IF('Sub Master Record'!$AB$17="Yes",'Sub Master Record'!$B$17,"")</f>
        <v/>
      </c>
      <c r="C18" s="28">
        <f>IF('Sub Master Record'!$AB$17="Yes",'Sub Master Record'!$AD$17,"")</f>
        <v/>
      </c>
      <c r="D18" s="28">
        <f>IF('Sub Master Record'!$AB$17="Yes",'Sub Master Record'!$AE$17,"")</f>
        <v/>
      </c>
      <c r="E18" s="28">
        <f>IF('Sub Master Record'!$AB$17="Yes",SUMIFS('Work History'!$E$4:$E$43,'Work History'!$A$4:$A$43,'Sub Master Record'!$A$17,'Work History'!$D$4:$D$43,YEAR(TODAY())),"")</f>
        <v/>
      </c>
      <c r="F18" s="28">
        <f>IF('Sub Master Record'!$AB$17="Yes",'Sub Master Record'!$AE$17-SUMIFS('Work History'!$E$4:$E$43,'Work History'!$A$4:$A$43,'Sub Master Record'!$A$17,'Work History'!$D$4:$D$43,YEAR(TODAY())),"")</f>
        <v/>
      </c>
    </row>
    <row r="19" ht="24" customHeight="1">
      <c r="A19" s="26">
        <f>IF('Sub Master Record'!$AB$18="Yes",'Sub Master Record'!$A$18,"")</f>
        <v/>
      </c>
      <c r="B19" s="27">
        <f>IF('Sub Master Record'!$AB$18="Yes",'Sub Master Record'!$B$18,"")</f>
        <v/>
      </c>
      <c r="C19" s="28">
        <f>IF('Sub Master Record'!$AB$18="Yes",'Sub Master Record'!$AD$18,"")</f>
        <v/>
      </c>
      <c r="D19" s="28">
        <f>IF('Sub Master Record'!$AB$18="Yes",'Sub Master Record'!$AE$18,"")</f>
        <v/>
      </c>
      <c r="E19" s="28">
        <f>IF('Sub Master Record'!$AB$18="Yes",SUMIFS('Work History'!$E$4:$E$43,'Work History'!$A$4:$A$43,'Sub Master Record'!$A$18,'Work History'!$D$4:$D$43,YEAR(TODAY())),"")</f>
        <v/>
      </c>
      <c r="F19" s="28">
        <f>IF('Sub Master Record'!$AB$18="Yes",'Sub Master Record'!$AE$18-SUMIFS('Work History'!$E$4:$E$43,'Work History'!$A$4:$A$43,'Sub Master Record'!$A$18,'Work History'!$D$4:$D$43,YEAR(TODAY())),"")</f>
        <v/>
      </c>
    </row>
    <row r="20" ht="24" customHeight="1">
      <c r="A20" s="26">
        <f>IF('Sub Master Record'!$AB$19="Yes",'Sub Master Record'!$A$19,"")</f>
        <v/>
      </c>
      <c r="B20" s="27">
        <f>IF('Sub Master Record'!$AB$19="Yes",'Sub Master Record'!$B$19,"")</f>
        <v/>
      </c>
      <c r="C20" s="28">
        <f>IF('Sub Master Record'!$AB$19="Yes",'Sub Master Record'!$AD$19,"")</f>
        <v/>
      </c>
      <c r="D20" s="28">
        <f>IF('Sub Master Record'!$AB$19="Yes",'Sub Master Record'!$AE$19,"")</f>
        <v/>
      </c>
      <c r="E20" s="28">
        <f>IF('Sub Master Record'!$AB$19="Yes",SUMIFS('Work History'!$E$4:$E$43,'Work History'!$A$4:$A$43,'Sub Master Record'!$A$19,'Work History'!$D$4:$D$43,YEAR(TODAY())),"")</f>
        <v/>
      </c>
      <c r="F20" s="28">
        <f>IF('Sub Master Record'!$AB$19="Yes",'Sub Master Record'!$AE$19-SUMIFS('Work History'!$E$4:$E$43,'Work History'!$A$4:$A$43,'Sub Master Record'!$A$19,'Work History'!$D$4:$D$43,YEAR(TODAY())),"")</f>
        <v/>
      </c>
    </row>
    <row r="21" ht="24" customHeight="1">
      <c r="A21" s="26">
        <f>IF('Sub Master Record'!$AB$20="Yes",'Sub Master Record'!$A$20,"")</f>
        <v/>
      </c>
      <c r="B21" s="27">
        <f>IF('Sub Master Record'!$AB$20="Yes",'Sub Master Record'!$B$20,"")</f>
        <v/>
      </c>
      <c r="C21" s="28">
        <f>IF('Sub Master Record'!$AB$20="Yes",'Sub Master Record'!$AD$20,"")</f>
        <v/>
      </c>
      <c r="D21" s="28">
        <f>IF('Sub Master Record'!$AB$20="Yes",'Sub Master Record'!$AE$20,"")</f>
        <v/>
      </c>
      <c r="E21" s="28">
        <f>IF('Sub Master Record'!$AB$20="Yes",SUMIFS('Work History'!$E$4:$E$43,'Work History'!$A$4:$A$43,'Sub Master Record'!$A$20,'Work History'!$D$4:$D$43,YEAR(TODAY())),"")</f>
        <v/>
      </c>
      <c r="F21" s="28">
        <f>IF('Sub Master Record'!$AB$20="Yes",'Sub Master Record'!$AE$20-SUMIFS('Work History'!$E$4:$E$43,'Work History'!$A$4:$A$43,'Sub Master Record'!$A$20,'Work History'!$D$4:$D$43,YEAR(TODAY())),"")</f>
        <v/>
      </c>
    </row>
    <row r="22" ht="24" customHeight="1">
      <c r="A22" s="26">
        <f>IF('Sub Master Record'!$AB$21="Yes",'Sub Master Record'!$A$21,"")</f>
        <v/>
      </c>
      <c r="B22" s="27">
        <f>IF('Sub Master Record'!$AB$21="Yes",'Sub Master Record'!$B$21,"")</f>
        <v/>
      </c>
      <c r="C22" s="28">
        <f>IF('Sub Master Record'!$AB$21="Yes",'Sub Master Record'!$AD$21,"")</f>
        <v/>
      </c>
      <c r="D22" s="28">
        <f>IF('Sub Master Record'!$AB$21="Yes",'Sub Master Record'!$AE$21,"")</f>
        <v/>
      </c>
      <c r="E22" s="28">
        <f>IF('Sub Master Record'!$AB$21="Yes",SUMIFS('Work History'!$E$4:$E$43,'Work History'!$A$4:$A$43,'Sub Master Record'!$A$21,'Work History'!$D$4:$D$43,YEAR(TODAY())),"")</f>
        <v/>
      </c>
      <c r="F22" s="28">
        <f>IF('Sub Master Record'!$AB$21="Yes",'Sub Master Record'!$AE$21-SUMIFS('Work History'!$E$4:$E$43,'Work History'!$A$4:$A$43,'Sub Master Record'!$A$21,'Work History'!$D$4:$D$43,YEAR(TODAY())),"")</f>
        <v/>
      </c>
    </row>
    <row r="23" ht="24" customHeight="1">
      <c r="A23" s="26">
        <f>IF('Sub Master Record'!$AB$22="Yes",'Sub Master Record'!$A$22,"")</f>
        <v/>
      </c>
      <c r="B23" s="27">
        <f>IF('Sub Master Record'!$AB$22="Yes",'Sub Master Record'!$B$22,"")</f>
        <v/>
      </c>
      <c r="C23" s="28">
        <f>IF('Sub Master Record'!$AB$22="Yes",'Sub Master Record'!$AD$22,"")</f>
        <v/>
      </c>
      <c r="D23" s="28">
        <f>IF('Sub Master Record'!$AB$22="Yes",'Sub Master Record'!$AE$22,"")</f>
        <v/>
      </c>
      <c r="E23" s="28">
        <f>IF('Sub Master Record'!$AB$22="Yes",SUMIFS('Work History'!$E$4:$E$43,'Work History'!$A$4:$A$43,'Sub Master Record'!$A$22,'Work History'!$D$4:$D$43,YEAR(TODAY())),"")</f>
        <v/>
      </c>
      <c r="F23" s="28">
        <f>IF('Sub Master Record'!$AB$22="Yes",'Sub Master Record'!$AE$22-SUMIFS('Work History'!$E$4:$E$43,'Work History'!$A$4:$A$43,'Sub Master Record'!$A$22,'Work History'!$D$4:$D$43,YEAR(TODAY())),"")</f>
        <v/>
      </c>
    </row>
    <row r="24" ht="24" customHeight="1">
      <c r="A24" s="26">
        <f>IF('Sub Master Record'!$AB$23="Yes",'Sub Master Record'!$A$23,"")</f>
        <v/>
      </c>
      <c r="B24" s="27">
        <f>IF('Sub Master Record'!$AB$23="Yes",'Sub Master Record'!$B$23,"")</f>
        <v/>
      </c>
      <c r="C24" s="28">
        <f>IF('Sub Master Record'!$AB$23="Yes",'Sub Master Record'!$AD$23,"")</f>
        <v/>
      </c>
      <c r="D24" s="28">
        <f>IF('Sub Master Record'!$AB$23="Yes",'Sub Master Record'!$AE$23,"")</f>
        <v/>
      </c>
      <c r="E24" s="28">
        <f>IF('Sub Master Record'!$AB$23="Yes",SUMIFS('Work History'!$E$4:$E$43,'Work History'!$A$4:$A$43,'Sub Master Record'!$A$23,'Work History'!$D$4:$D$43,YEAR(TODAY())),"")</f>
        <v/>
      </c>
      <c r="F24" s="28">
        <f>IF('Sub Master Record'!$AB$23="Yes",'Sub Master Record'!$AE$23-SUMIFS('Work History'!$E$4:$E$43,'Work History'!$A$4:$A$43,'Sub Master Record'!$A$23,'Work History'!$D$4:$D$43,YEAR(TODAY())),"")</f>
        <v/>
      </c>
    </row>
    <row r="25" ht="24" customHeight="1">
      <c r="A25" s="26">
        <f>IF('Sub Master Record'!$AB$24="Yes",'Sub Master Record'!$A$24,"")</f>
        <v/>
      </c>
      <c r="B25" s="27">
        <f>IF('Sub Master Record'!$AB$24="Yes",'Sub Master Record'!$B$24,"")</f>
        <v/>
      </c>
      <c r="C25" s="28">
        <f>IF('Sub Master Record'!$AB$24="Yes",'Sub Master Record'!$AD$24,"")</f>
        <v/>
      </c>
      <c r="D25" s="28">
        <f>IF('Sub Master Record'!$AB$24="Yes",'Sub Master Record'!$AE$24,"")</f>
        <v/>
      </c>
      <c r="E25" s="28">
        <f>IF('Sub Master Record'!$AB$24="Yes",SUMIFS('Work History'!$E$4:$E$43,'Work History'!$A$4:$A$43,'Sub Master Record'!$A$24,'Work History'!$D$4:$D$43,YEAR(TODAY())),"")</f>
        <v/>
      </c>
      <c r="F25" s="28">
        <f>IF('Sub Master Record'!$AB$24="Yes",'Sub Master Record'!$AE$24-SUMIFS('Work History'!$E$4:$E$43,'Work History'!$A$4:$A$43,'Sub Master Record'!$A$24,'Work History'!$D$4:$D$43,YEAR(TODAY())),"")</f>
        <v/>
      </c>
    </row>
    <row r="26" ht="24" customHeight="1">
      <c r="A26" s="26">
        <f>IF('Sub Master Record'!$AB$25="Yes",'Sub Master Record'!$A$25,"")</f>
        <v/>
      </c>
      <c r="B26" s="27">
        <f>IF('Sub Master Record'!$AB$25="Yes",'Sub Master Record'!$B$25,"")</f>
        <v/>
      </c>
      <c r="C26" s="28">
        <f>IF('Sub Master Record'!$AB$25="Yes",'Sub Master Record'!$AD$25,"")</f>
        <v/>
      </c>
      <c r="D26" s="28">
        <f>IF('Sub Master Record'!$AB$25="Yes",'Sub Master Record'!$AE$25,"")</f>
        <v/>
      </c>
      <c r="E26" s="28">
        <f>IF('Sub Master Record'!$AB$25="Yes",SUMIFS('Work History'!$E$4:$E$43,'Work History'!$A$4:$A$43,'Sub Master Record'!$A$25,'Work History'!$D$4:$D$43,YEAR(TODAY())),"")</f>
        <v/>
      </c>
      <c r="F26" s="28">
        <f>IF('Sub Master Record'!$AB$25="Yes",'Sub Master Record'!$AE$25-SUMIFS('Work History'!$E$4:$E$43,'Work History'!$A$4:$A$43,'Sub Master Record'!$A$25,'Work History'!$D$4:$D$43,YEAR(TODAY())),"")</f>
        <v/>
      </c>
    </row>
    <row r="27" ht="24" customHeight="1">
      <c r="A27" s="26">
        <f>IF('Sub Master Record'!$AB$26="Yes",'Sub Master Record'!$A$26,"")</f>
        <v/>
      </c>
      <c r="B27" s="27">
        <f>IF('Sub Master Record'!$AB$26="Yes",'Sub Master Record'!$B$26,"")</f>
        <v/>
      </c>
      <c r="C27" s="28">
        <f>IF('Sub Master Record'!$AB$26="Yes",'Sub Master Record'!$AD$26,"")</f>
        <v/>
      </c>
      <c r="D27" s="28">
        <f>IF('Sub Master Record'!$AB$26="Yes",'Sub Master Record'!$AE$26,"")</f>
        <v/>
      </c>
      <c r="E27" s="28">
        <f>IF('Sub Master Record'!$AB$26="Yes",SUMIFS('Work History'!$E$4:$E$43,'Work History'!$A$4:$A$43,'Sub Master Record'!$A$26,'Work History'!$D$4:$D$43,YEAR(TODAY())),"")</f>
        <v/>
      </c>
      <c r="F27" s="28">
        <f>IF('Sub Master Record'!$AB$26="Yes",'Sub Master Record'!$AE$26-SUMIFS('Work History'!$E$4:$E$43,'Work History'!$A$4:$A$43,'Sub Master Record'!$A$26,'Work History'!$D$4:$D$43,YEAR(TODAY())),"")</f>
        <v/>
      </c>
    </row>
    <row r="28" ht="24" customHeight="1">
      <c r="A28" s="26">
        <f>IF('Sub Master Record'!$AB$27="Yes",'Sub Master Record'!$A$27,"")</f>
        <v/>
      </c>
      <c r="B28" s="27">
        <f>IF('Sub Master Record'!$AB$27="Yes",'Sub Master Record'!$B$27,"")</f>
        <v/>
      </c>
      <c r="C28" s="28">
        <f>IF('Sub Master Record'!$AB$27="Yes",'Sub Master Record'!$AD$27,"")</f>
        <v/>
      </c>
      <c r="D28" s="28">
        <f>IF('Sub Master Record'!$AB$27="Yes",'Sub Master Record'!$AE$27,"")</f>
        <v/>
      </c>
      <c r="E28" s="28">
        <f>IF('Sub Master Record'!$AB$27="Yes",SUMIFS('Work History'!$E$4:$E$43,'Work History'!$A$4:$A$43,'Sub Master Record'!$A$27,'Work History'!$D$4:$D$43,YEAR(TODAY())),"")</f>
        <v/>
      </c>
      <c r="F28" s="28">
        <f>IF('Sub Master Record'!$AB$27="Yes",'Sub Master Record'!$AE$27-SUMIFS('Work History'!$E$4:$E$43,'Work History'!$A$4:$A$43,'Sub Master Record'!$A$27,'Work History'!$D$4:$D$43,YEAR(TODAY())),"")</f>
        <v/>
      </c>
    </row>
    <row r="29" ht="24" customHeight="1">
      <c r="A29" s="26">
        <f>IF('Sub Master Record'!$AB$28="Yes",'Sub Master Record'!$A$28,"")</f>
        <v/>
      </c>
      <c r="B29" s="27">
        <f>IF('Sub Master Record'!$AB$28="Yes",'Sub Master Record'!$B$28,"")</f>
        <v/>
      </c>
      <c r="C29" s="28">
        <f>IF('Sub Master Record'!$AB$28="Yes",'Sub Master Record'!$AD$28,"")</f>
        <v/>
      </c>
      <c r="D29" s="28">
        <f>IF('Sub Master Record'!$AB$28="Yes",'Sub Master Record'!$AE$28,"")</f>
        <v/>
      </c>
      <c r="E29" s="28">
        <f>IF('Sub Master Record'!$AB$28="Yes",SUMIFS('Work History'!$E$4:$E$43,'Work History'!$A$4:$A$43,'Sub Master Record'!$A$28,'Work History'!$D$4:$D$43,YEAR(TODAY())),"")</f>
        <v/>
      </c>
      <c r="F29" s="28">
        <f>IF('Sub Master Record'!$AB$28="Yes",'Sub Master Record'!$AE$28-SUMIFS('Work History'!$E$4:$E$43,'Work History'!$A$4:$A$43,'Sub Master Record'!$A$28,'Work History'!$D$4:$D$43,YEAR(TODAY())),"")</f>
        <v/>
      </c>
    </row>
    <row r="30" ht="24" customHeight="1">
      <c r="A30" s="26">
        <f>IF('Sub Master Record'!$AB$29="Yes",'Sub Master Record'!$A$29,"")</f>
        <v/>
      </c>
      <c r="B30" s="27">
        <f>IF('Sub Master Record'!$AB$29="Yes",'Sub Master Record'!$B$29,"")</f>
        <v/>
      </c>
      <c r="C30" s="28">
        <f>IF('Sub Master Record'!$AB$29="Yes",'Sub Master Record'!$AD$29,"")</f>
        <v/>
      </c>
      <c r="D30" s="28">
        <f>IF('Sub Master Record'!$AB$29="Yes",'Sub Master Record'!$AE$29,"")</f>
        <v/>
      </c>
      <c r="E30" s="28">
        <f>IF('Sub Master Record'!$AB$29="Yes",SUMIFS('Work History'!$E$4:$E$43,'Work History'!$A$4:$A$43,'Sub Master Record'!$A$29,'Work History'!$D$4:$D$43,YEAR(TODAY())),"")</f>
        <v/>
      </c>
      <c r="F30" s="28">
        <f>IF('Sub Master Record'!$AB$29="Yes",'Sub Master Record'!$AE$29-SUMIFS('Work History'!$E$4:$E$43,'Work History'!$A$4:$A$43,'Sub Master Record'!$A$29,'Work History'!$D$4:$D$43,YEAR(TODAY())),"")</f>
        <v/>
      </c>
    </row>
    <row r="31" ht="24" customHeight="1">
      <c r="A31" s="26">
        <f>IF('Sub Master Record'!$AB$30="Yes",'Sub Master Record'!$A$30,"")</f>
        <v/>
      </c>
      <c r="B31" s="27">
        <f>IF('Sub Master Record'!$AB$30="Yes",'Sub Master Record'!$B$30,"")</f>
        <v/>
      </c>
      <c r="C31" s="28">
        <f>IF('Sub Master Record'!$AB$30="Yes",'Sub Master Record'!$AD$30,"")</f>
        <v/>
      </c>
      <c r="D31" s="28">
        <f>IF('Sub Master Record'!$AB$30="Yes",'Sub Master Record'!$AE$30,"")</f>
        <v/>
      </c>
      <c r="E31" s="28">
        <f>IF('Sub Master Record'!$AB$30="Yes",SUMIFS('Work History'!$E$4:$E$43,'Work History'!$A$4:$A$43,'Sub Master Record'!$A$30,'Work History'!$D$4:$D$43,YEAR(TODAY())),"")</f>
        <v/>
      </c>
      <c r="F31" s="28">
        <f>IF('Sub Master Record'!$AB$30="Yes",'Sub Master Record'!$AE$30-SUMIFS('Work History'!$E$4:$E$43,'Work History'!$A$4:$A$43,'Sub Master Record'!$A$30,'Work History'!$D$4:$D$43,YEAR(TODAY())),"")</f>
        <v/>
      </c>
    </row>
    <row r="32" ht="24" customHeight="1">
      <c r="A32" s="26">
        <f>IF('Sub Master Record'!$AB$31="Yes",'Sub Master Record'!$A$31,"")</f>
        <v/>
      </c>
      <c r="B32" s="27">
        <f>IF('Sub Master Record'!$AB$31="Yes",'Sub Master Record'!$B$31,"")</f>
        <v/>
      </c>
      <c r="C32" s="28">
        <f>IF('Sub Master Record'!$AB$31="Yes",'Sub Master Record'!$AD$31,"")</f>
        <v/>
      </c>
      <c r="D32" s="28">
        <f>IF('Sub Master Record'!$AB$31="Yes",'Sub Master Record'!$AE$31,"")</f>
        <v/>
      </c>
      <c r="E32" s="28">
        <f>IF('Sub Master Record'!$AB$31="Yes",SUMIFS('Work History'!$E$4:$E$43,'Work History'!$A$4:$A$43,'Sub Master Record'!$A$31,'Work History'!$D$4:$D$43,YEAR(TODAY())),"")</f>
        <v/>
      </c>
      <c r="F32" s="28">
        <f>IF('Sub Master Record'!$AB$31="Yes",'Sub Master Record'!$AE$31-SUMIFS('Work History'!$E$4:$E$43,'Work History'!$A$4:$A$43,'Sub Master Record'!$A$31,'Work History'!$D$4:$D$43,YEAR(TODAY())),"")</f>
        <v/>
      </c>
    </row>
    <row r="33" ht="24" customHeight="1">
      <c r="A33" s="26">
        <f>IF('Sub Master Record'!$AB$32="Yes",'Sub Master Record'!$A$32,"")</f>
        <v/>
      </c>
      <c r="B33" s="27">
        <f>IF('Sub Master Record'!$AB$32="Yes",'Sub Master Record'!$B$32,"")</f>
        <v/>
      </c>
      <c r="C33" s="28">
        <f>IF('Sub Master Record'!$AB$32="Yes",'Sub Master Record'!$AD$32,"")</f>
        <v/>
      </c>
      <c r="D33" s="28">
        <f>IF('Sub Master Record'!$AB$32="Yes",'Sub Master Record'!$AE$32,"")</f>
        <v/>
      </c>
      <c r="E33" s="28">
        <f>IF('Sub Master Record'!$AB$32="Yes",SUMIFS('Work History'!$E$4:$E$43,'Work History'!$A$4:$A$43,'Sub Master Record'!$A$32,'Work History'!$D$4:$D$43,YEAR(TODAY())),"")</f>
        <v/>
      </c>
      <c r="F33" s="28">
        <f>IF('Sub Master Record'!$AB$32="Yes",'Sub Master Record'!$AE$32-SUMIFS('Work History'!$E$4:$E$43,'Work History'!$A$4:$A$43,'Sub Master Record'!$A$32,'Work History'!$D$4:$D$43,YEAR(TODAY())),"")</f>
        <v/>
      </c>
    </row>
    <row r="34" ht="24" customHeight="1">
      <c r="A34" s="26">
        <f>IF('Sub Master Record'!$AB$33="Yes",'Sub Master Record'!$A$33,"")</f>
        <v/>
      </c>
      <c r="B34" s="27">
        <f>IF('Sub Master Record'!$AB$33="Yes",'Sub Master Record'!$B$33,"")</f>
        <v/>
      </c>
      <c r="C34" s="28">
        <f>IF('Sub Master Record'!$AB$33="Yes",'Sub Master Record'!$AD$33,"")</f>
        <v/>
      </c>
      <c r="D34" s="28">
        <f>IF('Sub Master Record'!$AB$33="Yes",'Sub Master Record'!$AE$33,"")</f>
        <v/>
      </c>
      <c r="E34" s="28">
        <f>IF('Sub Master Record'!$AB$33="Yes",SUMIFS('Work History'!$E$4:$E$43,'Work History'!$A$4:$A$43,'Sub Master Record'!$A$33,'Work History'!$D$4:$D$43,YEAR(TODAY())),"")</f>
        <v/>
      </c>
      <c r="F34" s="28">
        <f>IF('Sub Master Record'!$AB$33="Yes",'Sub Master Record'!$AE$33-SUMIFS('Work History'!$E$4:$E$43,'Work History'!$A$4:$A$43,'Sub Master Record'!$A$33,'Work History'!$D$4:$D$43,YEAR(TODAY())),"")</f>
        <v/>
      </c>
    </row>
    <row r="35" ht="24" customHeight="1">
      <c r="A35" s="26">
        <f>IF('Sub Master Record'!$AB$34="Yes",'Sub Master Record'!$A$34,"")</f>
        <v/>
      </c>
      <c r="B35" s="27">
        <f>IF('Sub Master Record'!$AB$34="Yes",'Sub Master Record'!$B$34,"")</f>
        <v/>
      </c>
      <c r="C35" s="28">
        <f>IF('Sub Master Record'!$AB$34="Yes",'Sub Master Record'!$AD$34,"")</f>
        <v/>
      </c>
      <c r="D35" s="28">
        <f>IF('Sub Master Record'!$AB$34="Yes",'Sub Master Record'!$AE$34,"")</f>
        <v/>
      </c>
      <c r="E35" s="28">
        <f>IF('Sub Master Record'!$AB$34="Yes",SUMIFS('Work History'!$E$4:$E$43,'Work History'!$A$4:$A$43,'Sub Master Record'!$A$34,'Work History'!$D$4:$D$43,YEAR(TODAY())),"")</f>
        <v/>
      </c>
      <c r="F35" s="28">
        <f>IF('Sub Master Record'!$AB$34="Yes",'Sub Master Record'!$AE$34-SUMIFS('Work History'!$E$4:$E$43,'Work History'!$A$4:$A$43,'Sub Master Record'!$A$34,'Work History'!$D$4:$D$43,YEAR(TODAY())),"")</f>
        <v/>
      </c>
    </row>
    <row r="36" ht="24" customHeight="1">
      <c r="A36" s="26">
        <f>IF('Sub Master Record'!$AB$35="Yes",'Sub Master Record'!$A$35,"")</f>
        <v/>
      </c>
      <c r="B36" s="27">
        <f>IF('Sub Master Record'!$AB$35="Yes",'Sub Master Record'!$B$35,"")</f>
        <v/>
      </c>
      <c r="C36" s="28">
        <f>IF('Sub Master Record'!$AB$35="Yes",'Sub Master Record'!$AD$35,"")</f>
        <v/>
      </c>
      <c r="D36" s="28">
        <f>IF('Sub Master Record'!$AB$35="Yes",'Sub Master Record'!$AE$35,"")</f>
        <v/>
      </c>
      <c r="E36" s="28">
        <f>IF('Sub Master Record'!$AB$35="Yes",SUMIFS('Work History'!$E$4:$E$43,'Work History'!$A$4:$A$43,'Sub Master Record'!$A$35,'Work History'!$D$4:$D$43,YEAR(TODAY())),"")</f>
        <v/>
      </c>
      <c r="F36" s="28">
        <f>IF('Sub Master Record'!$AB$35="Yes",'Sub Master Record'!$AE$35-SUMIFS('Work History'!$E$4:$E$43,'Work History'!$A$4:$A$43,'Sub Master Record'!$A$35,'Work History'!$D$4:$D$43,YEAR(TODAY())),"")</f>
        <v/>
      </c>
    </row>
    <row r="37" ht="24" customHeight="1">
      <c r="A37" s="26">
        <f>IF('Sub Master Record'!$AB$36="Yes",'Sub Master Record'!$A$36,"")</f>
        <v/>
      </c>
      <c r="B37" s="27">
        <f>IF('Sub Master Record'!$AB$36="Yes",'Sub Master Record'!$B$36,"")</f>
        <v/>
      </c>
      <c r="C37" s="28">
        <f>IF('Sub Master Record'!$AB$36="Yes",'Sub Master Record'!$AD$36,"")</f>
        <v/>
      </c>
      <c r="D37" s="28">
        <f>IF('Sub Master Record'!$AB$36="Yes",'Sub Master Record'!$AE$36,"")</f>
        <v/>
      </c>
      <c r="E37" s="28">
        <f>IF('Sub Master Record'!$AB$36="Yes",SUMIFS('Work History'!$E$4:$E$43,'Work History'!$A$4:$A$43,'Sub Master Record'!$A$36,'Work History'!$D$4:$D$43,YEAR(TODAY())),"")</f>
        <v/>
      </c>
      <c r="F37" s="28">
        <f>IF('Sub Master Record'!$AB$36="Yes",'Sub Master Record'!$AE$36-SUMIFS('Work History'!$E$4:$E$43,'Work History'!$A$4:$A$43,'Sub Master Record'!$A$36,'Work History'!$D$4:$D$43,YEAR(TODAY())),"")</f>
        <v/>
      </c>
    </row>
  </sheetData>
  <mergeCells count="2">
    <mergeCell ref="A2:F2"/>
    <mergeCell ref="A1:F1"/>
  </mergeCells>
  <conditionalFormatting sqref="F5:F37">
    <cfRule type="expression" priority="1" dxfId="2" stopIfTrue="0">
      <formula>AND(ISNUMBER(F5),ISNUMBER(D5),D5&gt;0,F5&lt;=D5*0.1)</formula>
    </cfRule>
    <cfRule type="expression" priority="2" dxfId="1" stopIfTrue="0">
      <formula>AND(ISNUMBER(F5),ISNUMBER(D5),D5&gt;0,F5&lt;=D5*0.25,F5&gt;D5*0.1)</formula>
    </cfRule>
    <cfRule type="expression" priority="3" dxfId="0" stopIfTrue="0">
      <formula>AND(ISNUMBER(F5),ISNUMBER(D5),D5&gt;0,F5&gt;D5*0.25)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2" customWidth="1" min="4" max="4"/>
  </cols>
  <sheetData>
    <row r="1" ht="28" customHeight="1">
      <c r="A1" s="1" t="inlineStr">
        <is>
          <t>Trade Distribution</t>
        </is>
      </c>
    </row>
    <row r="2">
      <c r="A2" s="2" t="inlineStr">
        <is>
          <t>Per-trade roll-up: total in database, count approved, and average performance score. Pulls live from Sub Master Record.</t>
        </is>
      </c>
    </row>
    <row r="4" ht="32" customHeight="1">
      <c r="A4" s="5" t="inlineStr">
        <is>
          <t>Trade</t>
        </is>
      </c>
      <c r="B4" s="5" t="inlineStr">
        <is>
          <t>Total Count</t>
        </is>
      </c>
      <c r="C4" s="5" t="inlineStr">
        <is>
          <t>Approved Count</t>
        </is>
      </c>
      <c r="D4" s="5" t="inlineStr">
        <is>
          <t>Avg Performance Score</t>
        </is>
      </c>
    </row>
    <row r="5" ht="22" customHeight="1">
      <c r="A5" s="17" t="inlineStr">
        <is>
          <t>General</t>
        </is>
      </c>
      <c r="B5" s="13">
        <f>COUNTIF('Sub Master Record'!$J$4:$J$36,A5)</f>
        <v/>
      </c>
      <c r="C5" s="13">
        <f>COUNTIFS('Sub Master Record'!$J$4:$J$36,A5,'Sub Master Record'!$AR$4:$AR$36,"Yes")</f>
        <v/>
      </c>
      <c r="D5" s="14">
        <f>IFERROR(AVERAGEIFS('Sub Master Record'!$AP$4:$AP$36,'Sub Master Record'!$J$4:$J$36,A5,'Sub Master Record'!$AP$4:$AP$36,"&gt;0"),0)</f>
        <v/>
      </c>
    </row>
    <row r="6" ht="22" customHeight="1">
      <c r="A6" s="17" t="inlineStr">
        <is>
          <t>Mechanical</t>
        </is>
      </c>
      <c r="B6" s="13">
        <f>COUNTIF('Sub Master Record'!$J$4:$J$36,A6)</f>
        <v/>
      </c>
      <c r="C6" s="13">
        <f>COUNTIFS('Sub Master Record'!$J$4:$J$36,A6,'Sub Master Record'!$AR$4:$AR$36,"Yes")</f>
        <v/>
      </c>
      <c r="D6" s="14">
        <f>IFERROR(AVERAGEIFS('Sub Master Record'!$AP$4:$AP$36,'Sub Master Record'!$J$4:$J$36,A6,'Sub Master Record'!$AP$4:$AP$36,"&gt;0"),0)</f>
        <v/>
      </c>
    </row>
    <row r="7" ht="22" customHeight="1">
      <c r="A7" s="17" t="inlineStr">
        <is>
          <t>Electrical</t>
        </is>
      </c>
      <c r="B7" s="13">
        <f>COUNTIF('Sub Master Record'!$J$4:$J$36,A7)</f>
        <v/>
      </c>
      <c r="C7" s="13">
        <f>COUNTIFS('Sub Master Record'!$J$4:$J$36,A7,'Sub Master Record'!$AR$4:$AR$36,"Yes")</f>
        <v/>
      </c>
      <c r="D7" s="14">
        <f>IFERROR(AVERAGEIFS('Sub Master Record'!$AP$4:$AP$36,'Sub Master Record'!$J$4:$J$36,A7,'Sub Master Record'!$AP$4:$AP$36,"&gt;0"),0)</f>
        <v/>
      </c>
    </row>
    <row r="8" ht="22" customHeight="1">
      <c r="A8" s="17" t="inlineStr">
        <is>
          <t>Plumbing</t>
        </is>
      </c>
      <c r="B8" s="13">
        <f>COUNTIF('Sub Master Record'!$J$4:$J$36,A8)</f>
        <v/>
      </c>
      <c r="C8" s="13">
        <f>COUNTIFS('Sub Master Record'!$J$4:$J$36,A8,'Sub Master Record'!$AR$4:$AR$36,"Yes")</f>
        <v/>
      </c>
      <c r="D8" s="14">
        <f>IFERROR(AVERAGEIFS('Sub Master Record'!$AP$4:$AP$36,'Sub Master Record'!$J$4:$J$36,A8,'Sub Master Record'!$AP$4:$AP$36,"&gt;0"),0)</f>
        <v/>
      </c>
    </row>
    <row r="9" ht="22" customHeight="1">
      <c r="A9" s="17" t="inlineStr">
        <is>
          <t>Structural Steel</t>
        </is>
      </c>
      <c r="B9" s="13">
        <f>COUNTIF('Sub Master Record'!$J$4:$J$36,A9)</f>
        <v/>
      </c>
      <c r="C9" s="13">
        <f>COUNTIFS('Sub Master Record'!$J$4:$J$36,A9,'Sub Master Record'!$AR$4:$AR$36,"Yes")</f>
        <v/>
      </c>
      <c r="D9" s="14">
        <f>IFERROR(AVERAGEIFS('Sub Master Record'!$AP$4:$AP$36,'Sub Master Record'!$J$4:$J$36,A9,'Sub Master Record'!$AP$4:$AP$36,"&gt;0"),0)</f>
        <v/>
      </c>
    </row>
    <row r="10" ht="22" customHeight="1">
      <c r="A10" s="17" t="inlineStr">
        <is>
          <t>HVAC</t>
        </is>
      </c>
      <c r="B10" s="13">
        <f>COUNTIF('Sub Master Record'!$J$4:$J$36,A10)</f>
        <v/>
      </c>
      <c r="C10" s="13">
        <f>COUNTIFS('Sub Master Record'!$J$4:$J$36,A10,'Sub Master Record'!$AR$4:$AR$36,"Yes")</f>
        <v/>
      </c>
      <c r="D10" s="14">
        <f>IFERROR(AVERAGEIFS('Sub Master Record'!$AP$4:$AP$36,'Sub Master Record'!$J$4:$J$36,A10,'Sub Master Record'!$AP$4:$AP$36,"&gt;0"),0)</f>
        <v/>
      </c>
    </row>
    <row r="11" ht="22" customHeight="1">
      <c r="A11" s="17" t="inlineStr">
        <is>
          <t>Roofing</t>
        </is>
      </c>
      <c r="B11" s="13">
        <f>COUNTIF('Sub Master Record'!$J$4:$J$36,A11)</f>
        <v/>
      </c>
      <c r="C11" s="13">
        <f>COUNTIFS('Sub Master Record'!$J$4:$J$36,A11,'Sub Master Record'!$AR$4:$AR$36,"Yes")</f>
        <v/>
      </c>
      <c r="D11" s="14">
        <f>IFERROR(AVERAGEIFS('Sub Master Record'!$AP$4:$AP$36,'Sub Master Record'!$J$4:$J$36,A11,'Sub Master Record'!$AP$4:$AP$36,"&gt;0"),0)</f>
        <v/>
      </c>
    </row>
    <row r="12" ht="22" customHeight="1">
      <c r="A12" s="17" t="inlineStr">
        <is>
          <t>Concrete</t>
        </is>
      </c>
      <c r="B12" s="13">
        <f>COUNTIF('Sub Master Record'!$J$4:$J$36,A12)</f>
        <v/>
      </c>
      <c r="C12" s="13">
        <f>COUNTIFS('Sub Master Record'!$J$4:$J$36,A12,'Sub Master Record'!$AR$4:$AR$36,"Yes")</f>
        <v/>
      </c>
      <c r="D12" s="14">
        <f>IFERROR(AVERAGEIFS('Sub Master Record'!$AP$4:$AP$36,'Sub Master Record'!$J$4:$J$36,A12,'Sub Master Record'!$AP$4:$AP$36,"&gt;0"),0)</f>
        <v/>
      </c>
    </row>
    <row r="13" ht="22" customHeight="1">
      <c r="A13" s="17" t="inlineStr">
        <is>
          <t>Masonry</t>
        </is>
      </c>
      <c r="B13" s="13">
        <f>COUNTIF('Sub Master Record'!$J$4:$J$36,A13)</f>
        <v/>
      </c>
      <c r="C13" s="13">
        <f>COUNTIFS('Sub Master Record'!$J$4:$J$36,A13,'Sub Master Record'!$AR$4:$AR$36,"Yes")</f>
        <v/>
      </c>
      <c r="D13" s="14">
        <f>IFERROR(AVERAGEIFS('Sub Master Record'!$AP$4:$AP$36,'Sub Master Record'!$J$4:$J$36,A13,'Sub Master Record'!$AP$4:$AP$36,"&gt;0"),0)</f>
        <v/>
      </c>
    </row>
    <row r="14" ht="22" customHeight="1">
      <c r="A14" s="17" t="inlineStr">
        <is>
          <t>Drywall</t>
        </is>
      </c>
      <c r="B14" s="13">
        <f>COUNTIF('Sub Master Record'!$J$4:$J$36,A14)</f>
        <v/>
      </c>
      <c r="C14" s="13">
        <f>COUNTIFS('Sub Master Record'!$J$4:$J$36,A14,'Sub Master Record'!$AR$4:$AR$36,"Yes")</f>
        <v/>
      </c>
      <c r="D14" s="14">
        <f>IFERROR(AVERAGEIFS('Sub Master Record'!$AP$4:$AP$36,'Sub Master Record'!$J$4:$J$36,A14,'Sub Master Record'!$AP$4:$AP$36,"&gt;0"),0)</f>
        <v/>
      </c>
    </row>
    <row r="15" ht="22" customHeight="1">
      <c r="A15" s="17" t="inlineStr">
        <is>
          <t>Flooring</t>
        </is>
      </c>
      <c r="B15" s="13">
        <f>COUNTIF('Sub Master Record'!$J$4:$J$36,A15)</f>
        <v/>
      </c>
      <c r="C15" s="13">
        <f>COUNTIFS('Sub Master Record'!$J$4:$J$36,A15,'Sub Master Record'!$AR$4:$AR$36,"Yes")</f>
        <v/>
      </c>
      <c r="D15" s="14">
        <f>IFERROR(AVERAGEIFS('Sub Master Record'!$AP$4:$AP$36,'Sub Master Record'!$J$4:$J$36,A15,'Sub Master Record'!$AP$4:$AP$36,"&gt;0"),0)</f>
        <v/>
      </c>
    </row>
    <row r="16" ht="22" customHeight="1">
      <c r="A16" s="17" t="inlineStr">
        <is>
          <t>Painting</t>
        </is>
      </c>
      <c r="B16" s="13">
        <f>COUNTIF('Sub Master Record'!$J$4:$J$36,A16)</f>
        <v/>
      </c>
      <c r="C16" s="13">
        <f>COUNTIFS('Sub Master Record'!$J$4:$J$36,A16,'Sub Master Record'!$AR$4:$AR$36,"Yes")</f>
        <v/>
      </c>
      <c r="D16" s="14">
        <f>IFERROR(AVERAGEIFS('Sub Master Record'!$AP$4:$AP$36,'Sub Master Record'!$J$4:$J$36,A16,'Sub Master Record'!$AP$4:$AP$36,"&gt;0"),0)</f>
        <v/>
      </c>
    </row>
    <row r="17" ht="22" customHeight="1">
      <c r="A17" s="17" t="inlineStr">
        <is>
          <t>Earthwork</t>
        </is>
      </c>
      <c r="B17" s="13">
        <f>COUNTIF('Sub Master Record'!$J$4:$J$36,A17)</f>
        <v/>
      </c>
      <c r="C17" s="13">
        <f>COUNTIFS('Sub Master Record'!$J$4:$J$36,A17,'Sub Master Record'!$AR$4:$AR$36,"Yes")</f>
        <v/>
      </c>
      <c r="D17" s="14">
        <f>IFERROR(AVERAGEIFS('Sub Master Record'!$AP$4:$AP$36,'Sub Master Record'!$J$4:$J$36,A17,'Sub Master Record'!$AP$4:$AP$36,"&gt;0"),0)</f>
        <v/>
      </c>
    </row>
    <row r="18" ht="22" customHeight="1">
      <c r="A18" s="17" t="inlineStr">
        <is>
          <t>Fire Suppression</t>
        </is>
      </c>
      <c r="B18" s="13">
        <f>COUNTIF('Sub Master Record'!$J$4:$J$36,A18)</f>
        <v/>
      </c>
      <c r="C18" s="13">
        <f>COUNTIFS('Sub Master Record'!$J$4:$J$36,A18,'Sub Master Record'!$AR$4:$AR$36,"Yes")</f>
        <v/>
      </c>
      <c r="D18" s="14">
        <f>IFERROR(AVERAGEIFS('Sub Master Record'!$AP$4:$AP$36,'Sub Master Record'!$J$4:$J$36,A18,'Sub Master Record'!$AP$4:$AP$36,"&gt;0"),0)</f>
        <v/>
      </c>
    </row>
    <row r="19" ht="22" customHeight="1">
      <c r="A19" s="17" t="inlineStr">
        <is>
          <t>Other</t>
        </is>
      </c>
      <c r="B19" s="13">
        <f>COUNTIF('Sub Master Record'!$J$4:$J$36,A19)</f>
        <v/>
      </c>
      <c r="C19" s="13">
        <f>COUNTIFS('Sub Master Record'!$J$4:$J$36,A19,'Sub Master Record'!$AR$4:$AR$36,"Yes")</f>
        <v/>
      </c>
      <c r="D19" s="14">
        <f>IFERROR(AVERAGEIFS('Sub Master Record'!$AP$4:$AP$36,'Sub Master Record'!$J$4:$J$36,A19,'Sub Master Record'!$AP$4:$AP$36,"&gt;0"),0)</f>
        <v/>
      </c>
    </row>
    <row r="21">
      <c r="A21" s="29" t="inlineStr">
        <is>
          <t>TOTALS</t>
        </is>
      </c>
      <c r="B21" s="30">
        <f>SUM(B5:B19)</f>
        <v/>
      </c>
      <c r="C21" s="30">
        <f>SUM(C5:C19)</f>
        <v/>
      </c>
      <c r="D21" s="31">
        <f>IFERROR(AVERAGEIFS('Sub Master Record'!$AP$4:$AP$36,'Sub Master Record'!$AP$4:$AP$36,"&gt;0"),0)</f>
        <v/>
      </c>
    </row>
  </sheetData>
  <mergeCells count="2">
    <mergeCell ref="A1:D1"/>
    <mergeCell ref="A2:D2"/>
  </mergeCells>
  <conditionalFormatting sqref="B5:B19">
    <cfRule type="cellIs" priority="1" operator="greaterThan" dxfId="0">
      <formula>0</formula>
    </cfRule>
  </conditionalFormatting>
  <conditionalFormatting sqref="C5:C19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8" customHeight="1">
      <c r="A1" s="1" t="inlineStr">
        <is>
          <t>CSI MasterFormat Division Reference</t>
        </is>
      </c>
    </row>
    <row r="2">
      <c r="A2" s="2" t="inlineStr">
        <is>
          <t>Canonical list - do not edit. Feeds the CSI Division dropdown and VLOOKUPs in Sub Master Record.</t>
        </is>
      </c>
    </row>
    <row r="3" ht="32" customHeight="1">
      <c r="A3" s="5" t="inlineStr">
        <is>
          <t>CSI Division</t>
        </is>
      </c>
      <c r="B3" s="5" t="inlineStr">
        <is>
          <t>Division Name</t>
        </is>
      </c>
    </row>
    <row r="4">
      <c r="A4" s="32" t="inlineStr">
        <is>
          <t>01</t>
        </is>
      </c>
      <c r="B4" s="33" t="inlineStr">
        <is>
          <t>General Requirements</t>
        </is>
      </c>
    </row>
    <row r="5">
      <c r="A5" s="32" t="inlineStr">
        <is>
          <t>02</t>
        </is>
      </c>
      <c r="B5" s="33" t="inlineStr">
        <is>
          <t>Existing Conditions</t>
        </is>
      </c>
    </row>
    <row r="6">
      <c r="A6" s="32" t="inlineStr">
        <is>
          <t>03</t>
        </is>
      </c>
      <c r="B6" s="33" t="inlineStr">
        <is>
          <t>Concrete</t>
        </is>
      </c>
    </row>
    <row r="7">
      <c r="A7" s="32" t="inlineStr">
        <is>
          <t>04</t>
        </is>
      </c>
      <c r="B7" s="33" t="inlineStr">
        <is>
          <t>Masonry</t>
        </is>
      </c>
    </row>
    <row r="8">
      <c r="A8" s="32" t="inlineStr">
        <is>
          <t>05</t>
        </is>
      </c>
      <c r="B8" s="33" t="inlineStr">
        <is>
          <t>Metals</t>
        </is>
      </c>
    </row>
    <row r="9">
      <c r="A9" s="32" t="inlineStr">
        <is>
          <t>06</t>
        </is>
      </c>
      <c r="B9" s="33" t="inlineStr">
        <is>
          <t>Wood, Plastics, and Composites</t>
        </is>
      </c>
    </row>
    <row r="10">
      <c r="A10" s="32" t="inlineStr">
        <is>
          <t>07</t>
        </is>
      </c>
      <c r="B10" s="33" t="inlineStr">
        <is>
          <t>Thermal and Moisture Protection</t>
        </is>
      </c>
    </row>
    <row r="11">
      <c r="A11" s="32" t="inlineStr">
        <is>
          <t>08</t>
        </is>
      </c>
      <c r="B11" s="33" t="inlineStr">
        <is>
          <t>Openings</t>
        </is>
      </c>
    </row>
    <row r="12">
      <c r="A12" s="32" t="inlineStr">
        <is>
          <t>09</t>
        </is>
      </c>
      <c r="B12" s="33" t="inlineStr">
        <is>
          <t>Finishes</t>
        </is>
      </c>
    </row>
    <row r="13">
      <c r="A13" s="32" t="inlineStr">
        <is>
          <t>10</t>
        </is>
      </c>
      <c r="B13" s="33" t="inlineStr">
        <is>
          <t>Specialties</t>
        </is>
      </c>
    </row>
    <row r="14">
      <c r="A14" s="32" t="inlineStr">
        <is>
          <t>11</t>
        </is>
      </c>
      <c r="B14" s="33" t="inlineStr">
        <is>
          <t>Equipment</t>
        </is>
      </c>
    </row>
    <row r="15">
      <c r="A15" s="32" t="inlineStr">
        <is>
          <t>12</t>
        </is>
      </c>
      <c r="B15" s="33" t="inlineStr">
        <is>
          <t>Furnishings</t>
        </is>
      </c>
    </row>
    <row r="16">
      <c r="A16" s="32" t="inlineStr">
        <is>
          <t>13</t>
        </is>
      </c>
      <c r="B16" s="33" t="inlineStr">
        <is>
          <t>Special Construction</t>
        </is>
      </c>
    </row>
    <row r="17">
      <c r="A17" s="32" t="inlineStr">
        <is>
          <t>14</t>
        </is>
      </c>
      <c r="B17" s="33" t="inlineStr">
        <is>
          <t>Conveying Equipment</t>
        </is>
      </c>
    </row>
    <row r="18">
      <c r="A18" s="32" t="inlineStr">
        <is>
          <t>21</t>
        </is>
      </c>
      <c r="B18" s="33" t="inlineStr">
        <is>
          <t>Fire Suppression</t>
        </is>
      </c>
    </row>
    <row r="19">
      <c r="A19" s="32" t="inlineStr">
        <is>
          <t>22</t>
        </is>
      </c>
      <c r="B19" s="33" t="inlineStr">
        <is>
          <t>Plumbing</t>
        </is>
      </c>
    </row>
    <row r="20">
      <c r="A20" s="32" t="inlineStr">
        <is>
          <t>23</t>
        </is>
      </c>
      <c r="B20" s="33" t="inlineStr">
        <is>
          <t>HVAC</t>
        </is>
      </c>
    </row>
    <row r="21">
      <c r="A21" s="32" t="inlineStr">
        <is>
          <t>25</t>
        </is>
      </c>
      <c r="B21" s="33" t="inlineStr">
        <is>
          <t>Integrated Automation</t>
        </is>
      </c>
    </row>
    <row r="22">
      <c r="A22" s="32" t="inlineStr">
        <is>
          <t>26</t>
        </is>
      </c>
      <c r="B22" s="33" t="inlineStr">
        <is>
          <t>Electrical</t>
        </is>
      </c>
    </row>
    <row r="23">
      <c r="A23" s="32" t="inlineStr">
        <is>
          <t>27</t>
        </is>
      </c>
      <c r="B23" s="33" t="inlineStr">
        <is>
          <t>Communications</t>
        </is>
      </c>
    </row>
    <row r="24">
      <c r="A24" s="32" t="inlineStr">
        <is>
          <t>28</t>
        </is>
      </c>
      <c r="B24" s="33" t="inlineStr">
        <is>
          <t>Electronic Safety and Security</t>
        </is>
      </c>
    </row>
    <row r="25">
      <c r="A25" s="32" t="inlineStr">
        <is>
          <t>31</t>
        </is>
      </c>
      <c r="B25" s="33" t="inlineStr">
        <is>
          <t>Earthwork</t>
        </is>
      </c>
    </row>
    <row r="26">
      <c r="A26" s="32" t="inlineStr">
        <is>
          <t>32</t>
        </is>
      </c>
      <c r="B26" s="33" t="inlineStr">
        <is>
          <t>Exterior Improvements</t>
        </is>
      </c>
    </row>
    <row r="27">
      <c r="A27" s="32" t="inlineStr">
        <is>
          <t>33</t>
        </is>
      </c>
      <c r="B27" s="33" t="inlineStr">
        <is>
          <t>Utilities</t>
        </is>
      </c>
    </row>
    <row r="28">
      <c r="A28" s="32" t="inlineStr">
        <is>
          <t>34</t>
        </is>
      </c>
      <c r="B28" s="33" t="inlineStr">
        <is>
          <t>Transportation</t>
        </is>
      </c>
    </row>
    <row r="29">
      <c r="A29" s="32" t="inlineStr">
        <is>
          <t>35</t>
        </is>
      </c>
      <c r="B29" s="33" t="inlineStr">
        <is>
          <t>Waterway and Marine Construction</t>
        </is>
      </c>
    </row>
    <row r="30">
      <c r="A30" s="32" t="inlineStr">
        <is>
          <t>40</t>
        </is>
      </c>
      <c r="B30" s="33" t="inlineStr">
        <is>
          <t>Process Interconnections</t>
        </is>
      </c>
    </row>
    <row r="31">
      <c r="A31" s="32" t="inlineStr">
        <is>
          <t>41</t>
        </is>
      </c>
      <c r="B31" s="33" t="inlineStr">
        <is>
          <t>Material Processing and Handling Equipment</t>
        </is>
      </c>
    </row>
    <row r="32">
      <c r="A32" s="32" t="inlineStr">
        <is>
          <t>42</t>
        </is>
      </c>
      <c r="B32" s="33" t="inlineStr">
        <is>
          <t>Process Heating, Cooling, and Drying Equipment</t>
        </is>
      </c>
    </row>
    <row r="33">
      <c r="A33" s="32" t="inlineStr">
        <is>
          <t>43</t>
        </is>
      </c>
      <c r="B33" s="33" t="inlineStr">
        <is>
          <t>Process Gas and Liquid Handling, Purification, and Storage Equipment</t>
        </is>
      </c>
    </row>
    <row r="34">
      <c r="A34" s="32" t="inlineStr">
        <is>
          <t>44</t>
        </is>
      </c>
      <c r="B34" s="33" t="inlineStr">
        <is>
          <t>Pollution and Waste Control Equipment</t>
        </is>
      </c>
    </row>
    <row r="35">
      <c r="A35" s="32" t="inlineStr">
        <is>
          <t>45</t>
        </is>
      </c>
      <c r="B35" s="33" t="inlineStr">
        <is>
          <t>Industry-Specific Manufacturing Equipment</t>
        </is>
      </c>
    </row>
    <row r="36">
      <c r="A36" s="32" t="inlineStr">
        <is>
          <t>46</t>
        </is>
      </c>
      <c r="B36" s="33" t="inlineStr">
        <is>
          <t>Water and Wastewater Equipment</t>
        </is>
      </c>
    </row>
    <row r="37">
      <c r="A37" s="32" t="inlineStr">
        <is>
          <t>48</t>
        </is>
      </c>
      <c r="B37" s="33" t="inlineStr">
        <is>
          <t>Electrical Power Generation</t>
        </is>
      </c>
    </row>
    <row r="38">
      <c r="A38" s="32" t="inlineStr">
        <is>
          <t>49</t>
        </is>
      </c>
      <c r="B38" s="33" t="inlineStr">
        <is>
          <t>Reserved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2026-05-14T10:30:58Z</dcterms:created>
  <dcterms:modified xmlns:dcterms="http://purl.org/dc/terms/" xmlns:xsi="http://www.w3.org/2001/XMLSchema-instance" xsi:type="dcterms:W3CDTF">2026-05-14T10:30:58Z</dcterms:modified>
</cp:coreProperties>
</file>