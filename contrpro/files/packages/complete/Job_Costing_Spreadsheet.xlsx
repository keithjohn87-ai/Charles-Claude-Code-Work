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Job Info" sheetId="2" state="visible" r:id="rId2"/>
    <sheet xmlns:r="http://schemas.openxmlformats.org/officeDocument/2006/relationships" name="Cost Tracking" sheetId="3" state="visible" r:id="rId3"/>
    <sheet xmlns:r="http://schemas.openxmlformats.org/officeDocument/2006/relationships" name="Division Summary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$* #,##0.00_);_($* (#,##0.00);_($* &quot;-&quot;??_);_(@_)"/>
    <numFmt numFmtId="165" formatCode="yyyy-mm-dd"/>
    <numFmt numFmtId="166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E3A5F"/>
      <sz val="22"/>
    </font>
    <font>
      <name val="Calibri"/>
      <i val="1"/>
      <color rgb="00808080"/>
      <sz val="11"/>
    </font>
    <font>
      <name val="Calibri"/>
      <b val="1"/>
      <color rgb="001E3A5F"/>
      <sz val="12"/>
    </font>
    <font>
      <name val="Calibri"/>
      <sz val="11"/>
    </font>
    <font>
      <name val="Calibri"/>
      <i val="1"/>
      <color rgb="00808080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FFFFFF"/>
      <sz val="14"/>
    </font>
    <font>
      <name val="Calibri"/>
      <b val="1"/>
      <color rgb="001E3A5F"/>
      <sz val="18"/>
    </font>
  </fonts>
  <fills count="4">
    <fill>
      <patternFill/>
    </fill>
    <fill>
      <patternFill patternType="gray125"/>
    </fill>
    <fill>
      <patternFill patternType="solid">
        <fgColor rgb="00D6E0EC"/>
      </patternFill>
    </fill>
    <fill>
      <patternFill patternType="solid">
        <fgColor rgb="001E3A5F"/>
      </patternFill>
    </fill>
  </fills>
  <borders count="6">
    <border>
      <left/>
      <right/>
      <top/>
      <bottom/>
      <diagonal/>
    </border>
    <border>
      <left style="thin">
        <color rgb="00B0B7BF"/>
      </left>
      <right style="thin">
        <color rgb="00B0B7BF"/>
      </right>
      <top style="thin">
        <color rgb="00B0B7BF"/>
      </top>
      <bottom style="thin">
        <color rgb="00B0B7BF"/>
      </bottom>
    </border>
    <border>
      <left/>
      <right/>
      <top style="thin">
        <color rgb="00B0B7BF"/>
      </top>
      <bottom/>
      <diagonal/>
    </border>
    <border>
      <left/>
      <right style="thin">
        <color rgb="00B0B7BF"/>
      </right>
      <top style="thin">
        <color rgb="00B0B7BF"/>
      </top>
      <bottom/>
      <diagonal/>
    </border>
    <border>
      <left/>
      <right/>
      <top style="thin">
        <color rgb="00B0B7BF"/>
      </top>
      <bottom style="thin">
        <color rgb="00B0B7BF"/>
      </bottom>
      <diagonal/>
    </border>
    <border>
      <left/>
      <right style="thin">
        <color rgb="00B0B7BF"/>
      </right>
      <top style="thin">
        <color rgb="00B0B7BF"/>
      </top>
      <bottom style="thin">
        <color rgb="00B0B7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inden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7" fillId="2" borderId="1" applyAlignment="1" pivotButton="0" quotePrefix="0" xfId="0">
      <alignment horizontal="right"/>
    </xf>
    <xf numFmtId="164" fontId="7" fillId="2" borderId="1" pivotButton="0" quotePrefix="0" xfId="0"/>
    <xf numFmtId="166" fontId="7" fillId="2" borderId="1" pivotButton="0" quotePrefix="0" xfId="0"/>
    <xf numFmtId="49" fontId="0" fillId="0" borderId="1" pivotButton="0" quotePrefix="0" xfId="0"/>
    <xf numFmtId="166" fontId="0" fillId="0" borderId="1" pivotButton="0" quotePrefix="0" xfId="0"/>
    <xf numFmtId="0" fontId="8" fillId="3" borderId="0" applyAlignment="1" pivotButton="0" quotePrefix="0" xfId="0">
      <alignment vertical="center" indent="1"/>
    </xf>
    <xf numFmtId="0" fontId="7" fillId="2" borderId="1" applyAlignment="1" pivotButton="0" quotePrefix="0" xfId="0">
      <alignment vertical="center" indent="1"/>
    </xf>
    <xf numFmtId="0" fontId="0" fillId="0" borderId="4" pivotButton="0" quotePrefix="0" xfId="0"/>
    <xf numFmtId="0" fontId="0" fillId="0" borderId="5" pivotButton="0" quotePrefix="0" xfId="0"/>
    <xf numFmtId="164" fontId="9" fillId="0" borderId="1" applyAlignment="1" pivotButton="0" quotePrefix="0" xfId="0">
      <alignment horizontal="right" vertical="center" indent="1"/>
    </xf>
    <xf numFmtId="166" fontId="9" fillId="0" borderId="1" applyAlignment="1" pivotButton="0" quotePrefix="0" xfId="0">
      <alignment horizontal="right" vertical="center" inden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006100"/>
        <sz val="18"/>
      </font>
      <fill>
        <patternFill patternType="solid">
          <fgColor rgb="00C6EFCE"/>
        </patternFill>
      </fill>
    </dxf>
    <dxf>
      <font>
        <b val="1"/>
        <color rgb="009C0006"/>
        <sz val="18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 ht="32" customHeight="1">
      <c r="B2" s="1" t="inlineStr">
        <is>
          <t>ContrPro - Job Costing Spreadsheet</t>
        </is>
      </c>
    </row>
    <row r="3">
      <c r="B3" s="2" t="inlineStr">
        <is>
          <t>CSI MasterFormat-coded job cost tracker for general contractors and trade subs.</t>
        </is>
      </c>
    </row>
    <row r="5" ht="22" customHeight="1">
      <c r="B5" s="3" t="inlineStr">
        <is>
          <t>How to use this workbook</t>
        </is>
      </c>
    </row>
    <row r="6" ht="48" customHeight="1">
      <c r="B6" s="4" t="inlineStr">
        <is>
          <t>This workbook tracks budget vs. actual cost on a single construction job, organized by CSI MasterFormat division and section. Five tabs work together: Job Info captures the contract, Cost Tracking is where line-item costs go, Division Summary rolls them up, and Dashboard shows the bottom line.</t>
        </is>
      </c>
    </row>
    <row r="7" ht="32" customHeight="1">
      <c r="B7" s="4" t="inlineStr">
        <is>
          <t>Open the tabs at the bottom of the window in this order: Job Info first, then Cost Tracking, then check Division Summary and Dashboard.</t>
        </is>
      </c>
    </row>
    <row r="9" ht="22" customHeight="1">
      <c r="B9" s="3" t="inlineStr">
        <is>
          <t>1. Job Info</t>
        </is>
      </c>
    </row>
    <row r="10" ht="32" customHeight="1">
      <c r="B10" s="4" t="inlineStr">
        <is>
          <t>Fill in Job Name, Job Number, Client, Contract Amount, Start Date, Target Completion, Project Manager, and Estimator on row 4 (the first blank row).</t>
        </is>
      </c>
    </row>
    <row r="11" ht="18" customHeight="1">
      <c r="B11" s="4" t="inlineStr">
        <is>
          <t>Status is a dropdown: Not Started, In Progress, Substantial Completion, Final, On Hold.</t>
        </is>
      </c>
    </row>
    <row r="12" ht="32" customHeight="1">
      <c r="B12" s="4" t="inlineStr">
        <is>
          <t>Contract Amount on the FIRST job row (row 4) is the value the Dashboard reads for profit projections. If you track multiple jobs, build a separate file per job.</t>
        </is>
      </c>
    </row>
    <row r="14" ht="22" customHeight="1">
      <c r="B14" s="3" t="inlineStr">
        <is>
          <t>2. Cost Tracking</t>
        </is>
      </c>
    </row>
    <row r="15" ht="18" customHeight="1">
      <c r="B15" s="4" t="inlineStr">
        <is>
          <t>Each row is one scope item, coded by CSI Division (2-digit) and CSI Code (6-digit, e.g. 05 12 00).</t>
        </is>
      </c>
    </row>
    <row r="16" ht="18" customHeight="1">
      <c r="B16" s="4" t="inlineStr">
        <is>
          <t>Pre-populated rows cover the divisions most jobs touch. Add more at the bottom in the empty rows.</t>
        </is>
      </c>
    </row>
    <row r="17" ht="32" customHeight="1">
      <c r="B17" s="4" t="inlineStr">
        <is>
          <t>Enter Budget, Committed (PO/subcontract value), Actual to Date, and % Complete. Variance and Earned Value are calculated automatically.</t>
        </is>
      </c>
    </row>
    <row r="18" ht="18" customHeight="1">
      <c r="B18" s="4" t="inlineStr">
        <is>
          <t>Trade column is a dropdown - use it to filter Subcontractor View (just sort or filter by Trade).</t>
        </is>
      </c>
    </row>
    <row r="19" ht="18" customHeight="1">
      <c r="B19" s="4" t="inlineStr">
        <is>
          <t>Variance turns GREEN when you're under or on budget and RED when you're over.</t>
        </is>
      </c>
    </row>
    <row r="21" ht="22" customHeight="1">
      <c r="B21" s="3" t="inlineStr">
        <is>
          <t>3. Division Summary</t>
        </is>
      </c>
    </row>
    <row r="22" ht="32" customHeight="1">
      <c r="B22" s="4" t="inlineStr">
        <is>
          <t>Auto-rolls Cost Tracking up to the division level using SUMIF. Do not type into this tab - it reads from Cost Tracking.</t>
        </is>
      </c>
    </row>
    <row r="23" ht="32" customHeight="1">
      <c r="B23" s="4" t="inlineStr">
        <is>
          <t>Weighted % Complete is dollar-weighted by Budget so a 100% complete trim line does not skew a 10% complete steel package.</t>
        </is>
      </c>
    </row>
    <row r="25" ht="22" customHeight="1">
      <c r="B25" s="3" t="inlineStr">
        <is>
          <t>4. Dashboard</t>
        </is>
      </c>
    </row>
    <row r="26" ht="32" customHeight="1">
      <c r="B26" s="4" t="inlineStr">
        <is>
          <t>Top panel shows Contract Amount, Total Budget, Committed, Actual, Variance, Weighted % Complete, Projected Profit, and Profit Margin.</t>
        </is>
      </c>
    </row>
    <row r="27" ht="32" customHeight="1">
      <c r="B27" s="4" t="inlineStr">
        <is>
          <t>Projected Profit assumes cost-to-complete tracks linearly with % complete; refine your Actuals weekly for accuracy.</t>
        </is>
      </c>
    </row>
    <row r="28" ht="32" customHeight="1">
      <c r="B28" s="4" t="inlineStr">
        <is>
          <t>Below the panel is the per-division breakdown - same numbers as Division Summary, formatted for at-a-glance review.</t>
        </is>
      </c>
    </row>
    <row r="30" ht="22" customHeight="1">
      <c r="B30" s="3" t="inlineStr">
        <is>
          <t>5. CSI MasterFormat coding rules</t>
        </is>
      </c>
    </row>
    <row r="31" ht="32" customHeight="1">
      <c r="B31" s="4" t="inlineStr">
        <is>
          <t>CSI Division: 2-digit number, leading zero preserved as text (01, 02 ... 33). Do NOT enter as a number or Excel will drop the leading zero.</t>
        </is>
      </c>
    </row>
    <row r="32" ht="32" customHeight="1">
      <c r="B32" s="4" t="inlineStr">
        <is>
          <t>CSI Code: 6-digit space-separated format - Level 2 (e.g. 05 12 00 for Structural Steel Framing). You can extend to Level 3 (05 12 23) if you need finer detail.</t>
        </is>
      </c>
    </row>
    <row r="33" ht="32" customHeight="1">
      <c r="B33" s="4" t="inlineStr">
        <is>
          <t>Division Name should match the standard MasterFormat name so subs and architects recognize it on pay apps and change orders.</t>
        </is>
      </c>
    </row>
    <row r="35" ht="22" customHeight="1">
      <c r="B35" s="3" t="inlineStr">
        <is>
          <t>6. GC vs Subcontractor view</t>
        </is>
      </c>
    </row>
    <row r="36" ht="18" customHeight="1">
      <c r="B36" s="4" t="inlineStr">
        <is>
          <t>GC View: leave Cost Tracking unfiltered - all divisions visible, Division Summary shows every trade.</t>
        </is>
      </c>
    </row>
    <row r="37" ht="32" customHeight="1">
      <c r="B37" s="4" t="inlineStr">
        <is>
          <t>Subcontractor View: use Excel/Numbers/Sheets filter on the Trade column (or CSI Division) to show only your scope. The formulas still work because SUMIF references the full range.</t>
        </is>
      </c>
    </row>
    <row r="39" ht="22" customHeight="1">
      <c r="B39" s="3" t="inlineStr">
        <is>
          <t>7. Weekly update cadence</t>
        </is>
      </c>
    </row>
    <row r="40" ht="18" customHeight="1">
      <c r="B40" s="4" t="inlineStr">
        <is>
          <t>Friday afternoon: walk the job, update % Complete and Actual to Date on every active line.</t>
        </is>
      </c>
    </row>
    <row r="41" ht="18" customHeight="1">
      <c r="B41" s="4" t="inlineStr">
        <is>
          <t>Monday morning: review Dashboard - any RED Variance gets a phone call before the week starts.</t>
        </is>
      </c>
    </row>
    <row r="42" ht="18" customHeight="1">
      <c r="B42" s="4" t="inlineStr">
        <is>
          <t>End of month: reconcile Committed against signed POs and subcontracts; this is your CFO-grade snapshot.</t>
        </is>
      </c>
    </row>
    <row r="44" ht="22" customHeight="1">
      <c r="B44" s="3" t="inlineStr">
        <is>
          <t>Tabs in this workbook</t>
        </is>
      </c>
    </row>
    <row r="45" ht="18" customHeight="1">
      <c r="B45" s="4" t="inlineStr">
        <is>
          <t>Instructions  -  this tab</t>
        </is>
      </c>
    </row>
    <row r="46" ht="18" customHeight="1">
      <c r="B46" s="4" t="inlineStr">
        <is>
          <t>Job Info  -  contract and project info (Dashboard reads Contract Amount from here)</t>
        </is>
      </c>
    </row>
    <row r="47" ht="18" customHeight="1">
      <c r="B47" s="4" t="inlineStr">
        <is>
          <t>Cost Tracking  -  CSI-coded line items, the main worksheet</t>
        </is>
      </c>
    </row>
    <row r="48" ht="18" customHeight="1">
      <c r="B48" s="4" t="inlineStr">
        <is>
          <t>Division Summary  -  SUMIF roll-up by division</t>
        </is>
      </c>
    </row>
    <row r="49" ht="18" customHeight="1">
      <c r="B49" s="4" t="inlineStr">
        <is>
          <t>Dashboard  -  totals, projected profit, % complete by division</t>
        </is>
      </c>
    </row>
    <row r="52">
      <c r="B52" s="5" t="inlineStr">
        <is>
          <t>ContrPro - built for builders. Questions: support@contrpro.com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8" customWidth="1" min="3" max="3"/>
    <col width="16" customWidth="1" min="4" max="4"/>
    <col width="14" customWidth="1" min="5" max="5"/>
    <col width="16" customWidth="1" min="6" max="6"/>
    <col width="16" customWidth="1" min="7" max="7"/>
    <col width="22" customWidth="1" min="8" max="8"/>
    <col width="18" customWidth="1" min="9" max="9"/>
    <col width="18" customWidth="1" min="10" max="10"/>
    <col width="40" customWidth="1" min="11" max="11"/>
  </cols>
  <sheetData>
    <row r="1" ht="30" customHeight="1">
      <c r="A1" s="1" t="inlineStr">
        <is>
          <t>Job Information</t>
        </is>
      </c>
    </row>
    <row r="3" ht="28" customHeight="1">
      <c r="A3" s="6" t="inlineStr">
        <is>
          <t>Job Name</t>
        </is>
      </c>
      <c r="B3" s="6" t="inlineStr">
        <is>
          <t>Job Number</t>
        </is>
      </c>
      <c r="C3" s="6" t="inlineStr">
        <is>
          <t>Client Name</t>
        </is>
      </c>
      <c r="D3" s="6" t="inlineStr">
        <is>
          <t>Contract Amount</t>
        </is>
      </c>
      <c r="E3" s="6" t="inlineStr">
        <is>
          <t>Start Date</t>
        </is>
      </c>
      <c r="F3" s="6" t="inlineStr">
        <is>
          <t>Target Completion</t>
        </is>
      </c>
      <c r="G3" s="6" t="inlineStr">
        <is>
          <t>Actual Completion</t>
        </is>
      </c>
      <c r="H3" s="6" t="inlineStr">
        <is>
          <t>Status</t>
        </is>
      </c>
      <c r="I3" s="6" t="inlineStr">
        <is>
          <t>Project Manager</t>
        </is>
      </c>
      <c r="J3" s="6" t="inlineStr">
        <is>
          <t>Estimator</t>
        </is>
      </c>
      <c r="K3" s="6" t="inlineStr">
        <is>
          <t>Notes</t>
        </is>
      </c>
    </row>
    <row r="4">
      <c r="A4" s="7" t="inlineStr">
        <is>
          <t>EXAMPLE - Riverside Office Bldg</t>
        </is>
      </c>
      <c r="B4" s="7" t="inlineStr">
        <is>
          <t>2026-014</t>
        </is>
      </c>
      <c r="C4" s="7" t="inlineStr">
        <is>
          <t>Riverside Holdings LLC</t>
        </is>
      </c>
      <c r="D4" s="8" t="n">
        <v>1850000</v>
      </c>
      <c r="E4" s="7" t="inlineStr">
        <is>
          <t>2026-03-01</t>
        </is>
      </c>
      <c r="F4" s="7" t="inlineStr">
        <is>
          <t>2026-11-30</t>
        </is>
      </c>
      <c r="G4" s="7" t="inlineStr"/>
      <c r="H4" s="7" t="inlineStr">
        <is>
          <t>In Progress</t>
        </is>
      </c>
      <c r="I4" s="7" t="inlineStr">
        <is>
          <t>Sample PM</t>
        </is>
      </c>
      <c r="J4" s="7" t="inlineStr">
        <is>
          <t>Sample Estimator</t>
        </is>
      </c>
      <c r="K4" s="7" t="inlineStr">
        <is>
          <t>Example row - replace with your job.</t>
        </is>
      </c>
    </row>
    <row r="5" ht="22" customHeight="1">
      <c r="A5" s="9" t="n"/>
      <c r="B5" s="9" t="n"/>
      <c r="C5" s="9" t="n"/>
      <c r="D5" s="10" t="n"/>
      <c r="E5" s="11" t="n"/>
      <c r="F5" s="11" t="n"/>
      <c r="G5" s="11" t="n"/>
      <c r="H5" s="9" t="n"/>
      <c r="I5" s="9" t="n"/>
      <c r="J5" s="9" t="n"/>
      <c r="K5" s="9" t="n"/>
    </row>
    <row r="6" ht="22" customHeight="1">
      <c r="A6" s="9" t="n"/>
      <c r="B6" s="9" t="n"/>
      <c r="C6" s="9" t="n"/>
      <c r="D6" s="10" t="n"/>
      <c r="E6" s="11" t="n"/>
      <c r="F6" s="11" t="n"/>
      <c r="G6" s="11" t="n"/>
      <c r="H6" s="9" t="n"/>
      <c r="I6" s="9" t="n"/>
      <c r="J6" s="9" t="n"/>
      <c r="K6" s="9" t="n"/>
    </row>
    <row r="7" ht="22" customHeight="1">
      <c r="A7" s="9" t="n"/>
      <c r="B7" s="9" t="n"/>
      <c r="C7" s="9" t="n"/>
      <c r="D7" s="10" t="n"/>
      <c r="E7" s="11" t="n"/>
      <c r="F7" s="11" t="n"/>
      <c r="G7" s="11" t="n"/>
      <c r="H7" s="9" t="n"/>
      <c r="I7" s="9" t="n"/>
      <c r="J7" s="9" t="n"/>
      <c r="K7" s="9" t="n"/>
    </row>
    <row r="8" ht="22" customHeight="1">
      <c r="A8" s="9" t="n"/>
      <c r="B8" s="9" t="n"/>
      <c r="C8" s="9" t="n"/>
      <c r="D8" s="10" t="n"/>
      <c r="E8" s="11" t="n"/>
      <c r="F8" s="11" t="n"/>
      <c r="G8" s="11" t="n"/>
      <c r="H8" s="9" t="n"/>
      <c r="I8" s="9" t="n"/>
      <c r="J8" s="9" t="n"/>
      <c r="K8" s="9" t="n"/>
    </row>
    <row r="9" ht="22" customHeight="1">
      <c r="A9" s="9" t="n"/>
      <c r="B9" s="9" t="n"/>
      <c r="C9" s="9" t="n"/>
      <c r="D9" s="10" t="n"/>
      <c r="E9" s="11" t="n"/>
      <c r="F9" s="11" t="n"/>
      <c r="G9" s="11" t="n"/>
      <c r="H9" s="9" t="n"/>
      <c r="I9" s="9" t="n"/>
      <c r="J9" s="9" t="n"/>
      <c r="K9" s="9" t="n"/>
    </row>
  </sheetData>
  <mergeCells count="1">
    <mergeCell ref="A1:K1"/>
  </mergeCells>
  <dataValidations count="1">
    <dataValidation sqref="H4:H9" showDropDown="0" showInputMessage="0" showErrorMessage="0" allowBlank="1" errorTitle="Invalid status" error="Pick a status from the dropdown." type="list">
      <formula1>"Not Started,In Progress,Substantial Completion,Final,On Hold"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6" customWidth="1" min="3" max="3"/>
    <col width="38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26" customWidth="1" min="12" max="12"/>
    <col width="30" customWidth="1" min="13" max="13"/>
  </cols>
  <sheetData>
    <row r="1" ht="28" customHeight="1">
      <c r="A1" s="1" t="inlineStr">
        <is>
          <t>Cost Tracking (CSI MasterFormat)</t>
        </is>
      </c>
    </row>
    <row r="3" ht="28" customHeight="1">
      <c r="A3" s="6" t="inlineStr">
        <is>
          <t>CSI Division</t>
        </is>
      </c>
      <c r="B3" s="6" t="inlineStr">
        <is>
          <t>CSI Code</t>
        </is>
      </c>
      <c r="C3" s="6" t="inlineStr">
        <is>
          <t>Division Name</t>
        </is>
      </c>
      <c r="D3" s="6" t="inlineStr">
        <is>
          <t>Description / Scope Item</t>
        </is>
      </c>
      <c r="E3" s="6" t="inlineStr">
        <is>
          <t>Trade</t>
        </is>
      </c>
      <c r="F3" s="6" t="inlineStr">
        <is>
          <t>Budget</t>
        </is>
      </c>
      <c r="G3" s="6" t="inlineStr">
        <is>
          <t>Committed</t>
        </is>
      </c>
      <c r="H3" s="6" t="inlineStr">
        <is>
          <t>Actual to Date</t>
        </is>
      </c>
      <c r="I3" s="6" t="inlineStr">
        <is>
          <t>Variance</t>
        </is>
      </c>
      <c r="J3" s="6" t="inlineStr">
        <is>
          <t>% Complete</t>
        </is>
      </c>
      <c r="K3" s="6" t="inlineStr">
        <is>
          <t>Earned Value</t>
        </is>
      </c>
      <c r="L3" s="6" t="inlineStr">
        <is>
          <t>Schedule of Values Item</t>
        </is>
      </c>
      <c r="M3" s="6" t="inlineStr">
        <is>
          <t>Notes</t>
        </is>
      </c>
    </row>
    <row r="4" ht="22" customHeight="1">
      <c r="A4" s="12" t="inlineStr">
        <is>
          <t>01</t>
        </is>
      </c>
      <c r="B4" s="12" t="inlineStr">
        <is>
          <t>01 10 00</t>
        </is>
      </c>
      <c r="C4" s="13" t="inlineStr">
        <is>
          <t>General Requirements</t>
        </is>
      </c>
      <c r="D4" s="13" t="inlineStr">
        <is>
          <t>Summary</t>
        </is>
      </c>
      <c r="E4" s="14" t="inlineStr">
        <is>
          <t>General</t>
        </is>
      </c>
      <c r="F4" s="15" t="n"/>
      <c r="G4" s="15" t="n"/>
      <c r="H4" s="15" t="n"/>
      <c r="I4" s="15">
        <f>IFERROR(F4-H4,0)</f>
        <v/>
      </c>
      <c r="J4" s="16" t="n"/>
      <c r="K4" s="15">
        <f>IFERROR(F4*J4,0)</f>
        <v/>
      </c>
      <c r="L4" s="13" t="n"/>
      <c r="M4" s="13" t="n"/>
    </row>
    <row r="5" ht="22" customHeight="1">
      <c r="A5" s="12" t="inlineStr">
        <is>
          <t>01</t>
        </is>
      </c>
      <c r="B5" s="12" t="inlineStr">
        <is>
          <t>01 50 00</t>
        </is>
      </c>
      <c r="C5" s="13" t="inlineStr">
        <is>
          <t>General Requirements</t>
        </is>
      </c>
      <c r="D5" s="13" t="inlineStr">
        <is>
          <t>Temporary Facilities and Controls</t>
        </is>
      </c>
      <c r="E5" s="14" t="inlineStr">
        <is>
          <t>General</t>
        </is>
      </c>
      <c r="F5" s="15" t="n"/>
      <c r="G5" s="15" t="n"/>
      <c r="H5" s="15" t="n"/>
      <c r="I5" s="15">
        <f>IFERROR(F5-H5,0)</f>
        <v/>
      </c>
      <c r="J5" s="16" t="n"/>
      <c r="K5" s="15">
        <f>IFERROR(F5*J5,0)</f>
        <v/>
      </c>
      <c r="L5" s="13" t="n"/>
      <c r="M5" s="13" t="n"/>
    </row>
    <row r="6" ht="22" customHeight="1">
      <c r="A6" s="12" t="inlineStr">
        <is>
          <t>01</t>
        </is>
      </c>
      <c r="B6" s="12" t="inlineStr">
        <is>
          <t>01 70 00</t>
        </is>
      </c>
      <c r="C6" s="13" t="inlineStr">
        <is>
          <t>General Requirements</t>
        </is>
      </c>
      <c r="D6" s="13" t="inlineStr">
        <is>
          <t>Execution and Closeout Requirements</t>
        </is>
      </c>
      <c r="E6" s="14" t="inlineStr">
        <is>
          <t>General</t>
        </is>
      </c>
      <c r="F6" s="15" t="n"/>
      <c r="G6" s="15" t="n"/>
      <c r="H6" s="15" t="n"/>
      <c r="I6" s="15">
        <f>IFERROR(F6-H6,0)</f>
        <v/>
      </c>
      <c r="J6" s="16" t="n"/>
      <c r="K6" s="15">
        <f>IFERROR(F6*J6,0)</f>
        <v/>
      </c>
      <c r="L6" s="13" t="n"/>
      <c r="M6" s="13" t="n"/>
    </row>
    <row r="7" ht="22" customHeight="1">
      <c r="A7" s="12" t="inlineStr">
        <is>
          <t>02</t>
        </is>
      </c>
      <c r="B7" s="12" t="inlineStr">
        <is>
          <t>02 30 00</t>
        </is>
      </c>
      <c r="C7" s="13" t="inlineStr">
        <is>
          <t>Existing Conditions</t>
        </is>
      </c>
      <c r="D7" s="13" t="inlineStr">
        <is>
          <t>Assessment</t>
        </is>
      </c>
      <c r="E7" s="14" t="inlineStr">
        <is>
          <t>General</t>
        </is>
      </c>
      <c r="F7" s="15" t="n"/>
      <c r="G7" s="15" t="n"/>
      <c r="H7" s="15" t="n"/>
      <c r="I7" s="15">
        <f>IFERROR(F7-H7,0)</f>
        <v/>
      </c>
      <c r="J7" s="16" t="n"/>
      <c r="K7" s="15">
        <f>IFERROR(F7*J7,0)</f>
        <v/>
      </c>
      <c r="L7" s="13" t="n"/>
      <c r="M7" s="13" t="n"/>
    </row>
    <row r="8" ht="22" customHeight="1">
      <c r="A8" s="12" t="inlineStr">
        <is>
          <t>02</t>
        </is>
      </c>
      <c r="B8" s="12" t="inlineStr">
        <is>
          <t>02 41 00</t>
        </is>
      </c>
      <c r="C8" s="13" t="inlineStr">
        <is>
          <t>Existing Conditions</t>
        </is>
      </c>
      <c r="D8" s="13" t="inlineStr">
        <is>
          <t>Demolition</t>
        </is>
      </c>
      <c r="E8" s="14" t="inlineStr">
        <is>
          <t>General</t>
        </is>
      </c>
      <c r="F8" s="15" t="n"/>
      <c r="G8" s="15" t="n"/>
      <c r="H8" s="15" t="n"/>
      <c r="I8" s="15">
        <f>IFERROR(F8-H8,0)</f>
        <v/>
      </c>
      <c r="J8" s="16" t="n"/>
      <c r="K8" s="15">
        <f>IFERROR(F8*J8,0)</f>
        <v/>
      </c>
      <c r="L8" s="13" t="n"/>
      <c r="M8" s="13" t="n"/>
    </row>
    <row r="9" ht="22" customHeight="1">
      <c r="A9" s="12" t="inlineStr">
        <is>
          <t>03</t>
        </is>
      </c>
      <c r="B9" s="12" t="inlineStr">
        <is>
          <t>03 30 00</t>
        </is>
      </c>
      <c r="C9" s="13" t="inlineStr">
        <is>
          <t>Concrete</t>
        </is>
      </c>
      <c r="D9" s="13" t="inlineStr">
        <is>
          <t>Cast-in-Place Concrete</t>
        </is>
      </c>
      <c r="E9" s="14" t="inlineStr">
        <is>
          <t>Structural Steel</t>
        </is>
      </c>
      <c r="F9" s="15" t="n"/>
      <c r="G9" s="15" t="n"/>
      <c r="H9" s="15" t="n"/>
      <c r="I9" s="15">
        <f>IFERROR(F9-H9,0)</f>
        <v/>
      </c>
      <c r="J9" s="16" t="n"/>
      <c r="K9" s="15">
        <f>IFERROR(F9*J9,0)</f>
        <v/>
      </c>
      <c r="L9" s="13" t="n"/>
      <c r="M9" s="13" t="n"/>
    </row>
    <row r="10" ht="22" customHeight="1">
      <c r="A10" s="12" t="inlineStr">
        <is>
          <t>03</t>
        </is>
      </c>
      <c r="B10" s="12" t="inlineStr">
        <is>
          <t>03 40 00</t>
        </is>
      </c>
      <c r="C10" s="13" t="inlineStr">
        <is>
          <t>Concrete</t>
        </is>
      </c>
      <c r="D10" s="13" t="inlineStr">
        <is>
          <t>Precast Concrete</t>
        </is>
      </c>
      <c r="E10" s="14" t="inlineStr">
        <is>
          <t>Structural Steel</t>
        </is>
      </c>
      <c r="F10" s="15" t="n"/>
      <c r="G10" s="15" t="n"/>
      <c r="H10" s="15" t="n"/>
      <c r="I10" s="15">
        <f>IFERROR(F10-H10,0)</f>
        <v/>
      </c>
      <c r="J10" s="16" t="n"/>
      <c r="K10" s="15">
        <f>IFERROR(F10*J10,0)</f>
        <v/>
      </c>
      <c r="L10" s="13" t="n"/>
      <c r="M10" s="13" t="n"/>
    </row>
    <row r="11" ht="22" customHeight="1">
      <c r="A11" s="12" t="inlineStr">
        <is>
          <t>04</t>
        </is>
      </c>
      <c r="B11" s="12" t="inlineStr">
        <is>
          <t>04 20 00</t>
        </is>
      </c>
      <c r="C11" s="13" t="inlineStr">
        <is>
          <t>Masonry</t>
        </is>
      </c>
      <c r="D11" s="13" t="inlineStr">
        <is>
          <t>Unit Masonry</t>
        </is>
      </c>
      <c r="E11" s="14" t="inlineStr">
        <is>
          <t>General</t>
        </is>
      </c>
      <c r="F11" s="15" t="n"/>
      <c r="G11" s="15" t="n"/>
      <c r="H11" s="15" t="n"/>
      <c r="I11" s="15">
        <f>IFERROR(F11-H11,0)</f>
        <v/>
      </c>
      <c r="J11" s="16" t="n"/>
      <c r="K11" s="15">
        <f>IFERROR(F11*J11,0)</f>
        <v/>
      </c>
      <c r="L11" s="13" t="n"/>
      <c r="M11" s="13" t="n"/>
    </row>
    <row r="12" ht="22" customHeight="1">
      <c r="A12" s="12" t="inlineStr">
        <is>
          <t>05</t>
        </is>
      </c>
      <c r="B12" s="12" t="inlineStr">
        <is>
          <t>05 12 00</t>
        </is>
      </c>
      <c r="C12" s="13" t="inlineStr">
        <is>
          <t>Metals</t>
        </is>
      </c>
      <c r="D12" s="13" t="inlineStr">
        <is>
          <t>Structural Steel Framing</t>
        </is>
      </c>
      <c r="E12" s="14" t="inlineStr">
        <is>
          <t>Structural Steel</t>
        </is>
      </c>
      <c r="F12" s="15" t="n"/>
      <c r="G12" s="15" t="n"/>
      <c r="H12" s="15" t="n"/>
      <c r="I12" s="15">
        <f>IFERROR(F12-H12,0)</f>
        <v/>
      </c>
      <c r="J12" s="16" t="n"/>
      <c r="K12" s="15">
        <f>IFERROR(F12*J12,0)</f>
        <v/>
      </c>
      <c r="L12" s="13" t="n"/>
      <c r="M12" s="13" t="n"/>
    </row>
    <row r="13" ht="22" customHeight="1">
      <c r="A13" s="12" t="inlineStr">
        <is>
          <t>05</t>
        </is>
      </c>
      <c r="B13" s="12" t="inlineStr">
        <is>
          <t>05 31 00</t>
        </is>
      </c>
      <c r="C13" s="13" t="inlineStr">
        <is>
          <t>Metals</t>
        </is>
      </c>
      <c r="D13" s="13" t="inlineStr">
        <is>
          <t>Steel Decking</t>
        </is>
      </c>
      <c r="E13" s="14" t="inlineStr">
        <is>
          <t>Structural Steel</t>
        </is>
      </c>
      <c r="F13" s="15" t="n"/>
      <c r="G13" s="15" t="n"/>
      <c r="H13" s="15" t="n"/>
      <c r="I13" s="15">
        <f>IFERROR(F13-H13,0)</f>
        <v/>
      </c>
      <c r="J13" s="16" t="n"/>
      <c r="K13" s="15">
        <f>IFERROR(F13*J13,0)</f>
        <v/>
      </c>
      <c r="L13" s="13" t="n"/>
      <c r="M13" s="13" t="n"/>
    </row>
    <row r="14" ht="22" customHeight="1">
      <c r="A14" s="12" t="inlineStr">
        <is>
          <t>05</t>
        </is>
      </c>
      <c r="B14" s="12" t="inlineStr">
        <is>
          <t>05 50 00</t>
        </is>
      </c>
      <c r="C14" s="13" t="inlineStr">
        <is>
          <t>Metals</t>
        </is>
      </c>
      <c r="D14" s="13" t="inlineStr">
        <is>
          <t>Metal Fabrications</t>
        </is>
      </c>
      <c r="E14" s="14" t="inlineStr">
        <is>
          <t>Structural Steel</t>
        </is>
      </c>
      <c r="F14" s="15" t="n"/>
      <c r="G14" s="15" t="n"/>
      <c r="H14" s="15" t="n"/>
      <c r="I14" s="15">
        <f>IFERROR(F14-H14,0)</f>
        <v/>
      </c>
      <c r="J14" s="16" t="n"/>
      <c r="K14" s="15">
        <f>IFERROR(F14*J14,0)</f>
        <v/>
      </c>
      <c r="L14" s="13" t="n"/>
      <c r="M14" s="13" t="n"/>
    </row>
    <row r="15" ht="22" customHeight="1">
      <c r="A15" s="12" t="inlineStr">
        <is>
          <t>06</t>
        </is>
      </c>
      <c r="B15" s="12" t="inlineStr">
        <is>
          <t>06 10 00</t>
        </is>
      </c>
      <c r="C15" s="13" t="inlineStr">
        <is>
          <t>Wood, Plastics, and Composites</t>
        </is>
      </c>
      <c r="D15" s="13" t="inlineStr">
        <is>
          <t>Rough Carpentry</t>
        </is>
      </c>
      <c r="E15" s="14" t="inlineStr">
        <is>
          <t>General</t>
        </is>
      </c>
      <c r="F15" s="15" t="n"/>
      <c r="G15" s="15" t="n"/>
      <c r="H15" s="15" t="n"/>
      <c r="I15" s="15">
        <f>IFERROR(F15-H15,0)</f>
        <v/>
      </c>
      <c r="J15" s="16" t="n"/>
      <c r="K15" s="15">
        <f>IFERROR(F15*J15,0)</f>
        <v/>
      </c>
      <c r="L15" s="13" t="n"/>
      <c r="M15" s="13" t="n"/>
    </row>
    <row r="16" ht="22" customHeight="1">
      <c r="A16" s="12" t="inlineStr">
        <is>
          <t>06</t>
        </is>
      </c>
      <c r="B16" s="12" t="inlineStr">
        <is>
          <t>06 20 00</t>
        </is>
      </c>
      <c r="C16" s="13" t="inlineStr">
        <is>
          <t>Wood, Plastics, and Composites</t>
        </is>
      </c>
      <c r="D16" s="13" t="inlineStr">
        <is>
          <t>Finish Carpentry</t>
        </is>
      </c>
      <c r="E16" s="14" t="inlineStr">
        <is>
          <t>General</t>
        </is>
      </c>
      <c r="F16" s="15" t="n"/>
      <c r="G16" s="15" t="n"/>
      <c r="H16" s="15" t="n"/>
      <c r="I16" s="15">
        <f>IFERROR(F16-H16,0)</f>
        <v/>
      </c>
      <c r="J16" s="16" t="n"/>
      <c r="K16" s="15">
        <f>IFERROR(F16*J16,0)</f>
        <v/>
      </c>
      <c r="L16" s="13" t="n"/>
      <c r="M16" s="13" t="n"/>
    </row>
    <row r="17" ht="22" customHeight="1">
      <c r="A17" s="12" t="inlineStr">
        <is>
          <t>07</t>
        </is>
      </c>
      <c r="B17" s="12" t="inlineStr">
        <is>
          <t>07 20 00</t>
        </is>
      </c>
      <c r="C17" s="13" t="inlineStr">
        <is>
          <t>Thermal and Moisture Protection</t>
        </is>
      </c>
      <c r="D17" s="13" t="inlineStr">
        <is>
          <t>Insulation</t>
        </is>
      </c>
      <c r="E17" s="14" t="inlineStr">
        <is>
          <t>General</t>
        </is>
      </c>
      <c r="F17" s="15" t="n"/>
      <c r="G17" s="15" t="n"/>
      <c r="H17" s="15" t="n"/>
      <c r="I17" s="15">
        <f>IFERROR(F17-H17,0)</f>
        <v/>
      </c>
      <c r="J17" s="16" t="n"/>
      <c r="K17" s="15">
        <f>IFERROR(F17*J17,0)</f>
        <v/>
      </c>
      <c r="L17" s="13" t="n"/>
      <c r="M17" s="13" t="n"/>
    </row>
    <row r="18" ht="22" customHeight="1">
      <c r="A18" s="12" t="inlineStr">
        <is>
          <t>07</t>
        </is>
      </c>
      <c r="B18" s="12" t="inlineStr">
        <is>
          <t>07 50 00</t>
        </is>
      </c>
      <c r="C18" s="13" t="inlineStr">
        <is>
          <t>Thermal and Moisture Protection</t>
        </is>
      </c>
      <c r="D18" s="13" t="inlineStr">
        <is>
          <t>Membrane Roofing</t>
        </is>
      </c>
      <c r="E18" s="14" t="inlineStr">
        <is>
          <t>General</t>
        </is>
      </c>
      <c r="F18" s="15" t="n"/>
      <c r="G18" s="15" t="n"/>
      <c r="H18" s="15" t="n"/>
      <c r="I18" s="15">
        <f>IFERROR(F18-H18,0)</f>
        <v/>
      </c>
      <c r="J18" s="16" t="n"/>
      <c r="K18" s="15">
        <f>IFERROR(F18*J18,0)</f>
        <v/>
      </c>
      <c r="L18" s="13" t="n"/>
      <c r="M18" s="13" t="n"/>
    </row>
    <row r="19" ht="22" customHeight="1">
      <c r="A19" s="12" t="inlineStr">
        <is>
          <t>07</t>
        </is>
      </c>
      <c r="B19" s="12" t="inlineStr">
        <is>
          <t>07 90 00</t>
        </is>
      </c>
      <c r="C19" s="13" t="inlineStr">
        <is>
          <t>Thermal and Moisture Protection</t>
        </is>
      </c>
      <c r="D19" s="13" t="inlineStr">
        <is>
          <t>Joint Protection</t>
        </is>
      </c>
      <c r="E19" s="14" t="inlineStr">
        <is>
          <t>General</t>
        </is>
      </c>
      <c r="F19" s="15" t="n"/>
      <c r="G19" s="15" t="n"/>
      <c r="H19" s="15" t="n"/>
      <c r="I19" s="15">
        <f>IFERROR(F19-H19,0)</f>
        <v/>
      </c>
      <c r="J19" s="16" t="n"/>
      <c r="K19" s="15">
        <f>IFERROR(F19*J19,0)</f>
        <v/>
      </c>
      <c r="L19" s="13" t="n"/>
      <c r="M19" s="13" t="n"/>
    </row>
    <row r="20" ht="22" customHeight="1">
      <c r="A20" s="12" t="inlineStr">
        <is>
          <t>08</t>
        </is>
      </c>
      <c r="B20" s="12" t="inlineStr">
        <is>
          <t>08 10 00</t>
        </is>
      </c>
      <c r="C20" s="13" t="inlineStr">
        <is>
          <t>Openings</t>
        </is>
      </c>
      <c r="D20" s="13" t="inlineStr">
        <is>
          <t>Doors and Frames</t>
        </is>
      </c>
      <c r="E20" s="14" t="inlineStr">
        <is>
          <t>General</t>
        </is>
      </c>
      <c r="F20" s="15" t="n"/>
      <c r="G20" s="15" t="n"/>
      <c r="H20" s="15" t="n"/>
      <c r="I20" s="15">
        <f>IFERROR(F20-H20,0)</f>
        <v/>
      </c>
      <c r="J20" s="16" t="n"/>
      <c r="K20" s="15">
        <f>IFERROR(F20*J20,0)</f>
        <v/>
      </c>
      <c r="L20" s="13" t="n"/>
      <c r="M20" s="13" t="n"/>
    </row>
    <row r="21" ht="22" customHeight="1">
      <c r="A21" s="12" t="inlineStr">
        <is>
          <t>08</t>
        </is>
      </c>
      <c r="B21" s="12" t="inlineStr">
        <is>
          <t>08 50 00</t>
        </is>
      </c>
      <c r="C21" s="13" t="inlineStr">
        <is>
          <t>Openings</t>
        </is>
      </c>
      <c r="D21" s="13" t="inlineStr">
        <is>
          <t>Windows</t>
        </is>
      </c>
      <c r="E21" s="14" t="inlineStr">
        <is>
          <t>General</t>
        </is>
      </c>
      <c r="F21" s="15" t="n"/>
      <c r="G21" s="15" t="n"/>
      <c r="H21" s="15" t="n"/>
      <c r="I21" s="15">
        <f>IFERROR(F21-H21,0)</f>
        <v/>
      </c>
      <c r="J21" s="16" t="n"/>
      <c r="K21" s="15">
        <f>IFERROR(F21*J21,0)</f>
        <v/>
      </c>
      <c r="L21" s="13" t="n"/>
      <c r="M21" s="13" t="n"/>
    </row>
    <row r="22" ht="22" customHeight="1">
      <c r="A22" s="12" t="inlineStr">
        <is>
          <t>09</t>
        </is>
      </c>
      <c r="B22" s="12" t="inlineStr">
        <is>
          <t>09 20 00</t>
        </is>
      </c>
      <c r="C22" s="13" t="inlineStr">
        <is>
          <t>Finishes</t>
        </is>
      </c>
      <c r="D22" s="13" t="inlineStr">
        <is>
          <t>Plaster and Gypsum Board</t>
        </is>
      </c>
      <c r="E22" s="14" t="inlineStr">
        <is>
          <t>General</t>
        </is>
      </c>
      <c r="F22" s="15" t="n"/>
      <c r="G22" s="15" t="n"/>
      <c r="H22" s="15" t="n"/>
      <c r="I22" s="15">
        <f>IFERROR(F22-H22,0)</f>
        <v/>
      </c>
      <c r="J22" s="16" t="n"/>
      <c r="K22" s="15">
        <f>IFERROR(F22*J22,0)</f>
        <v/>
      </c>
      <c r="L22" s="13" t="n"/>
      <c r="M22" s="13" t="n"/>
    </row>
    <row r="23" ht="22" customHeight="1">
      <c r="A23" s="12" t="inlineStr">
        <is>
          <t>09</t>
        </is>
      </c>
      <c r="B23" s="12" t="inlineStr">
        <is>
          <t>09 60 00</t>
        </is>
      </c>
      <c r="C23" s="13" t="inlineStr">
        <is>
          <t>Finishes</t>
        </is>
      </c>
      <c r="D23" s="13" t="inlineStr">
        <is>
          <t>Flooring</t>
        </is>
      </c>
      <c r="E23" s="14" t="inlineStr">
        <is>
          <t>General</t>
        </is>
      </c>
      <c r="F23" s="15" t="n"/>
      <c r="G23" s="15" t="n"/>
      <c r="H23" s="15" t="n"/>
      <c r="I23" s="15">
        <f>IFERROR(F23-H23,0)</f>
        <v/>
      </c>
      <c r="J23" s="16" t="n"/>
      <c r="K23" s="15">
        <f>IFERROR(F23*J23,0)</f>
        <v/>
      </c>
      <c r="L23" s="13" t="n"/>
      <c r="M23" s="13" t="n"/>
    </row>
    <row r="24" ht="22" customHeight="1">
      <c r="A24" s="12" t="inlineStr">
        <is>
          <t>09</t>
        </is>
      </c>
      <c r="B24" s="12" t="inlineStr">
        <is>
          <t>09 90 00</t>
        </is>
      </c>
      <c r="C24" s="13" t="inlineStr">
        <is>
          <t>Finishes</t>
        </is>
      </c>
      <c r="D24" s="13" t="inlineStr">
        <is>
          <t>Painting and Coating</t>
        </is>
      </c>
      <c r="E24" s="14" t="inlineStr">
        <is>
          <t>General</t>
        </is>
      </c>
      <c r="F24" s="15" t="n"/>
      <c r="G24" s="15" t="n"/>
      <c r="H24" s="15" t="n"/>
      <c r="I24" s="15">
        <f>IFERROR(F24-H24,0)</f>
        <v/>
      </c>
      <c r="J24" s="16" t="n"/>
      <c r="K24" s="15">
        <f>IFERROR(F24*J24,0)</f>
        <v/>
      </c>
      <c r="L24" s="13" t="n"/>
      <c r="M24" s="13" t="n"/>
    </row>
    <row r="25" ht="22" customHeight="1">
      <c r="A25" s="12" t="inlineStr">
        <is>
          <t>10</t>
        </is>
      </c>
      <c r="B25" s="12" t="inlineStr">
        <is>
          <t>10 50 00</t>
        </is>
      </c>
      <c r="C25" s="13" t="inlineStr">
        <is>
          <t>Specialties</t>
        </is>
      </c>
      <c r="D25" s="13" t="inlineStr">
        <is>
          <t>Storage Specialties</t>
        </is>
      </c>
      <c r="E25" s="14" t="inlineStr">
        <is>
          <t>General</t>
        </is>
      </c>
      <c r="F25" s="15" t="n"/>
      <c r="G25" s="15" t="n"/>
      <c r="H25" s="15" t="n"/>
      <c r="I25" s="15">
        <f>IFERROR(F25-H25,0)</f>
        <v/>
      </c>
      <c r="J25" s="16" t="n"/>
      <c r="K25" s="15">
        <f>IFERROR(F25*J25,0)</f>
        <v/>
      </c>
      <c r="L25" s="13" t="n"/>
      <c r="M25" s="13" t="n"/>
    </row>
    <row r="26" ht="22" customHeight="1">
      <c r="A26" s="12" t="inlineStr">
        <is>
          <t>21</t>
        </is>
      </c>
      <c r="B26" s="12" t="inlineStr">
        <is>
          <t>21 10 00</t>
        </is>
      </c>
      <c r="C26" s="13" t="inlineStr">
        <is>
          <t>Fire Suppression</t>
        </is>
      </c>
      <c r="D26" s="13" t="inlineStr">
        <is>
          <t>Water-Based Fire-Suppression Systems</t>
        </is>
      </c>
      <c r="E26" s="14" t="inlineStr">
        <is>
          <t>Mechanical</t>
        </is>
      </c>
      <c r="F26" s="15" t="n"/>
      <c r="G26" s="15" t="n"/>
      <c r="H26" s="15" t="n"/>
      <c r="I26" s="15">
        <f>IFERROR(F26-H26,0)</f>
        <v/>
      </c>
      <c r="J26" s="16" t="n"/>
      <c r="K26" s="15">
        <f>IFERROR(F26*J26,0)</f>
        <v/>
      </c>
      <c r="L26" s="13" t="n"/>
      <c r="M26" s="13" t="n"/>
    </row>
    <row r="27" ht="22" customHeight="1">
      <c r="A27" s="12" t="inlineStr">
        <is>
          <t>22</t>
        </is>
      </c>
      <c r="B27" s="12" t="inlineStr">
        <is>
          <t>22 10 00</t>
        </is>
      </c>
      <c r="C27" s="13" t="inlineStr">
        <is>
          <t>Plumbing</t>
        </is>
      </c>
      <c r="D27" s="13" t="inlineStr">
        <is>
          <t>Plumbing Piping</t>
        </is>
      </c>
      <c r="E27" s="14" t="inlineStr">
        <is>
          <t>Plumbing</t>
        </is>
      </c>
      <c r="F27" s="15" t="n"/>
      <c r="G27" s="15" t="n"/>
      <c r="H27" s="15" t="n"/>
      <c r="I27" s="15">
        <f>IFERROR(F27-H27,0)</f>
        <v/>
      </c>
      <c r="J27" s="16" t="n"/>
      <c r="K27" s="15">
        <f>IFERROR(F27*J27,0)</f>
        <v/>
      </c>
      <c r="L27" s="13" t="n"/>
      <c r="M27" s="13" t="n"/>
    </row>
    <row r="28" ht="22" customHeight="1">
      <c r="A28" s="12" t="inlineStr">
        <is>
          <t>22</t>
        </is>
      </c>
      <c r="B28" s="12" t="inlineStr">
        <is>
          <t>22 30 00</t>
        </is>
      </c>
      <c r="C28" s="13" t="inlineStr">
        <is>
          <t>Plumbing</t>
        </is>
      </c>
      <c r="D28" s="13" t="inlineStr">
        <is>
          <t>Plumbing Equipment</t>
        </is>
      </c>
      <c r="E28" s="14" t="inlineStr">
        <is>
          <t>Plumbing</t>
        </is>
      </c>
      <c r="F28" s="15" t="n"/>
      <c r="G28" s="15" t="n"/>
      <c r="H28" s="15" t="n"/>
      <c r="I28" s="15">
        <f>IFERROR(F28-H28,0)</f>
        <v/>
      </c>
      <c r="J28" s="16" t="n"/>
      <c r="K28" s="15">
        <f>IFERROR(F28*J28,0)</f>
        <v/>
      </c>
      <c r="L28" s="13" t="n"/>
      <c r="M28" s="13" t="n"/>
    </row>
    <row r="29" ht="22" customHeight="1">
      <c r="A29" s="12" t="inlineStr">
        <is>
          <t>22</t>
        </is>
      </c>
      <c r="B29" s="12" t="inlineStr">
        <is>
          <t>22 40 00</t>
        </is>
      </c>
      <c r="C29" s="13" t="inlineStr">
        <is>
          <t>Plumbing</t>
        </is>
      </c>
      <c r="D29" s="13" t="inlineStr">
        <is>
          <t>Plumbing Fixtures</t>
        </is>
      </c>
      <c r="E29" s="14" t="inlineStr">
        <is>
          <t>Plumbing</t>
        </is>
      </c>
      <c r="F29" s="15" t="n"/>
      <c r="G29" s="15" t="n"/>
      <c r="H29" s="15" t="n"/>
      <c r="I29" s="15">
        <f>IFERROR(F29-H29,0)</f>
        <v/>
      </c>
      <c r="J29" s="16" t="n"/>
      <c r="K29" s="15">
        <f>IFERROR(F29*J29,0)</f>
        <v/>
      </c>
      <c r="L29" s="13" t="n"/>
      <c r="M29" s="13" t="n"/>
    </row>
    <row r="30" ht="22" customHeight="1">
      <c r="A30" s="12" t="inlineStr">
        <is>
          <t>23</t>
        </is>
      </c>
      <c r="B30" s="12" t="inlineStr">
        <is>
          <t>23 20 00</t>
        </is>
      </c>
      <c r="C30" s="13" t="inlineStr">
        <is>
          <t>HVAC</t>
        </is>
      </c>
      <c r="D30" s="13" t="inlineStr">
        <is>
          <t>HVAC Piping and Pumps</t>
        </is>
      </c>
      <c r="E30" s="14" t="inlineStr">
        <is>
          <t>Mechanical</t>
        </is>
      </c>
      <c r="F30" s="15" t="n"/>
      <c r="G30" s="15" t="n"/>
      <c r="H30" s="15" t="n"/>
      <c r="I30" s="15">
        <f>IFERROR(F30-H30,0)</f>
        <v/>
      </c>
      <c r="J30" s="16" t="n"/>
      <c r="K30" s="15">
        <f>IFERROR(F30*J30,0)</f>
        <v/>
      </c>
      <c r="L30" s="13" t="n"/>
      <c r="M30" s="13" t="n"/>
    </row>
    <row r="31" ht="22" customHeight="1">
      <c r="A31" s="12" t="inlineStr">
        <is>
          <t>23</t>
        </is>
      </c>
      <c r="B31" s="12" t="inlineStr">
        <is>
          <t>23 30 00</t>
        </is>
      </c>
      <c r="C31" s="13" t="inlineStr">
        <is>
          <t>HVAC</t>
        </is>
      </c>
      <c r="D31" s="13" t="inlineStr">
        <is>
          <t>HVAC Air Distribution</t>
        </is>
      </c>
      <c r="E31" s="14" t="inlineStr">
        <is>
          <t>Mechanical</t>
        </is>
      </c>
      <c r="F31" s="15" t="n"/>
      <c r="G31" s="15" t="n"/>
      <c r="H31" s="15" t="n"/>
      <c r="I31" s="15">
        <f>IFERROR(F31-H31,0)</f>
        <v/>
      </c>
      <c r="J31" s="16" t="n"/>
      <c r="K31" s="15">
        <f>IFERROR(F31*J31,0)</f>
        <v/>
      </c>
      <c r="L31" s="13" t="n"/>
      <c r="M31" s="13" t="n"/>
    </row>
    <row r="32" ht="22" customHeight="1">
      <c r="A32" s="12" t="inlineStr">
        <is>
          <t>23</t>
        </is>
      </c>
      <c r="B32" s="12" t="inlineStr">
        <is>
          <t>23 70 00</t>
        </is>
      </c>
      <c r="C32" s="13" t="inlineStr">
        <is>
          <t>HVAC</t>
        </is>
      </c>
      <c r="D32" s="13" t="inlineStr">
        <is>
          <t>Central HVAC Equipment</t>
        </is>
      </c>
      <c r="E32" s="14" t="inlineStr">
        <is>
          <t>Mechanical</t>
        </is>
      </c>
      <c r="F32" s="15" t="n"/>
      <c r="G32" s="15" t="n"/>
      <c r="H32" s="15" t="n"/>
      <c r="I32" s="15">
        <f>IFERROR(F32-H32,0)</f>
        <v/>
      </c>
      <c r="J32" s="16" t="n"/>
      <c r="K32" s="15">
        <f>IFERROR(F32*J32,0)</f>
        <v/>
      </c>
      <c r="L32" s="13" t="n"/>
      <c r="M32" s="13" t="n"/>
    </row>
    <row r="33" ht="22" customHeight="1">
      <c r="A33" s="12" t="inlineStr">
        <is>
          <t>23</t>
        </is>
      </c>
      <c r="B33" s="12" t="inlineStr">
        <is>
          <t>23 80 00</t>
        </is>
      </c>
      <c r="C33" s="13" t="inlineStr">
        <is>
          <t>HVAC</t>
        </is>
      </c>
      <c r="D33" s="13" t="inlineStr">
        <is>
          <t>Decentralized HVAC Equipment</t>
        </is>
      </c>
      <c r="E33" s="14" t="inlineStr">
        <is>
          <t>Mechanical</t>
        </is>
      </c>
      <c r="F33" s="15" t="n"/>
      <c r="G33" s="15" t="n"/>
      <c r="H33" s="15" t="n"/>
      <c r="I33" s="15">
        <f>IFERROR(F33-H33,0)</f>
        <v/>
      </c>
      <c r="J33" s="16" t="n"/>
      <c r="K33" s="15">
        <f>IFERROR(F33*J33,0)</f>
        <v/>
      </c>
      <c r="L33" s="13" t="n"/>
      <c r="M33" s="13" t="n"/>
    </row>
    <row r="34" ht="22" customHeight="1">
      <c r="A34" s="12" t="inlineStr">
        <is>
          <t>26</t>
        </is>
      </c>
      <c r="B34" s="12" t="inlineStr">
        <is>
          <t>26 20 00</t>
        </is>
      </c>
      <c r="C34" s="13" t="inlineStr">
        <is>
          <t>Electrical</t>
        </is>
      </c>
      <c r="D34" s="13" t="inlineStr">
        <is>
          <t>Low-Voltage Electrical Distribution</t>
        </is>
      </c>
      <c r="E34" s="14" t="inlineStr">
        <is>
          <t>Electrical</t>
        </is>
      </c>
      <c r="F34" s="15" t="n"/>
      <c r="G34" s="15" t="n"/>
      <c r="H34" s="15" t="n"/>
      <c r="I34" s="15">
        <f>IFERROR(F34-H34,0)</f>
        <v/>
      </c>
      <c r="J34" s="16" t="n"/>
      <c r="K34" s="15">
        <f>IFERROR(F34*J34,0)</f>
        <v/>
      </c>
      <c r="L34" s="13" t="n"/>
      <c r="M34" s="13" t="n"/>
    </row>
    <row r="35" ht="22" customHeight="1">
      <c r="A35" s="12" t="inlineStr">
        <is>
          <t>26</t>
        </is>
      </c>
      <c r="B35" s="12" t="inlineStr">
        <is>
          <t>26 50 00</t>
        </is>
      </c>
      <c r="C35" s="13" t="inlineStr">
        <is>
          <t>Electrical</t>
        </is>
      </c>
      <c r="D35" s="13" t="inlineStr">
        <is>
          <t>Lighting</t>
        </is>
      </c>
      <c r="E35" s="14" t="inlineStr">
        <is>
          <t>Electrical</t>
        </is>
      </c>
      <c r="F35" s="15" t="n"/>
      <c r="G35" s="15" t="n"/>
      <c r="H35" s="15" t="n"/>
      <c r="I35" s="15">
        <f>IFERROR(F35-H35,0)</f>
        <v/>
      </c>
      <c r="J35" s="16" t="n"/>
      <c r="K35" s="15">
        <f>IFERROR(F35*J35,0)</f>
        <v/>
      </c>
      <c r="L35" s="13" t="n"/>
      <c r="M35" s="13" t="n"/>
    </row>
    <row r="36" ht="22" customHeight="1">
      <c r="A36" s="12" t="inlineStr">
        <is>
          <t>31</t>
        </is>
      </c>
      <c r="B36" s="12" t="inlineStr">
        <is>
          <t>31 20 00</t>
        </is>
      </c>
      <c r="C36" s="13" t="inlineStr">
        <is>
          <t>Earthwork</t>
        </is>
      </c>
      <c r="D36" s="13" t="inlineStr">
        <is>
          <t>Earth Moving</t>
        </is>
      </c>
      <c r="E36" s="14" t="inlineStr">
        <is>
          <t>General</t>
        </is>
      </c>
      <c r="F36" s="15" t="n"/>
      <c r="G36" s="15" t="n"/>
      <c r="H36" s="15" t="n"/>
      <c r="I36" s="15">
        <f>IFERROR(F36-H36,0)</f>
        <v/>
      </c>
      <c r="J36" s="16" t="n"/>
      <c r="K36" s="15">
        <f>IFERROR(F36*J36,0)</f>
        <v/>
      </c>
      <c r="L36" s="13" t="n"/>
      <c r="M36" s="13" t="n"/>
    </row>
    <row r="37" ht="22" customHeight="1">
      <c r="A37" s="12" t="inlineStr">
        <is>
          <t>31</t>
        </is>
      </c>
      <c r="B37" s="12" t="inlineStr">
        <is>
          <t>31 60 00</t>
        </is>
      </c>
      <c r="C37" s="13" t="inlineStr">
        <is>
          <t>Earthwork</t>
        </is>
      </c>
      <c r="D37" s="13" t="inlineStr">
        <is>
          <t>Special Foundations</t>
        </is>
      </c>
      <c r="E37" s="14" t="inlineStr">
        <is>
          <t>General</t>
        </is>
      </c>
      <c r="F37" s="15" t="n"/>
      <c r="G37" s="15" t="n"/>
      <c r="H37" s="15" t="n"/>
      <c r="I37" s="15">
        <f>IFERROR(F37-H37,0)</f>
        <v/>
      </c>
      <c r="J37" s="16" t="n"/>
      <c r="K37" s="15">
        <f>IFERROR(F37*J37,0)</f>
        <v/>
      </c>
      <c r="L37" s="13" t="n"/>
      <c r="M37" s="13" t="n"/>
    </row>
    <row r="38" ht="22" customHeight="1">
      <c r="A38" s="12" t="inlineStr">
        <is>
          <t>32</t>
        </is>
      </c>
      <c r="B38" s="12" t="inlineStr">
        <is>
          <t>32 12 00</t>
        </is>
      </c>
      <c r="C38" s="13" t="inlineStr">
        <is>
          <t>Exterior Improvements</t>
        </is>
      </c>
      <c r="D38" s="13" t="inlineStr">
        <is>
          <t>Flexible Paving</t>
        </is>
      </c>
      <c r="E38" s="14" t="inlineStr">
        <is>
          <t>General</t>
        </is>
      </c>
      <c r="F38" s="15" t="n"/>
      <c r="G38" s="15" t="n"/>
      <c r="H38" s="15" t="n"/>
      <c r="I38" s="15">
        <f>IFERROR(F38-H38,0)</f>
        <v/>
      </c>
      <c r="J38" s="16" t="n"/>
      <c r="K38" s="15">
        <f>IFERROR(F38*J38,0)</f>
        <v/>
      </c>
      <c r="L38" s="13" t="n"/>
      <c r="M38" s="13" t="n"/>
    </row>
    <row r="39" ht="22" customHeight="1">
      <c r="A39" s="12" t="inlineStr">
        <is>
          <t>32</t>
        </is>
      </c>
      <c r="B39" s="12" t="inlineStr">
        <is>
          <t>32 31 00</t>
        </is>
      </c>
      <c r="C39" s="13" t="inlineStr">
        <is>
          <t>Exterior Improvements</t>
        </is>
      </c>
      <c r="D39" s="13" t="inlineStr">
        <is>
          <t>Fences and Gates</t>
        </is>
      </c>
      <c r="E39" s="14" t="inlineStr">
        <is>
          <t>General</t>
        </is>
      </c>
      <c r="F39" s="15" t="n"/>
      <c r="G39" s="15" t="n"/>
      <c r="H39" s="15" t="n"/>
      <c r="I39" s="15">
        <f>IFERROR(F39-H39,0)</f>
        <v/>
      </c>
      <c r="J39" s="16" t="n"/>
      <c r="K39" s="15">
        <f>IFERROR(F39*J39,0)</f>
        <v/>
      </c>
      <c r="L39" s="13" t="n"/>
      <c r="M39" s="13" t="n"/>
    </row>
    <row r="40" ht="22" customHeight="1">
      <c r="A40" s="12" t="inlineStr">
        <is>
          <t>33</t>
        </is>
      </c>
      <c r="B40" s="12" t="inlineStr">
        <is>
          <t>33 10 00</t>
        </is>
      </c>
      <c r="C40" s="13" t="inlineStr">
        <is>
          <t>Utilities</t>
        </is>
      </c>
      <c r="D40" s="13" t="inlineStr">
        <is>
          <t>Water Utilities</t>
        </is>
      </c>
      <c r="E40" s="14" t="inlineStr">
        <is>
          <t>General</t>
        </is>
      </c>
      <c r="F40" s="15" t="n"/>
      <c r="G40" s="15" t="n"/>
      <c r="H40" s="15" t="n"/>
      <c r="I40" s="15">
        <f>IFERROR(F40-H40,0)</f>
        <v/>
      </c>
      <c r="J40" s="16" t="n"/>
      <c r="K40" s="15">
        <f>IFERROR(F40*J40,0)</f>
        <v/>
      </c>
      <c r="L40" s="13" t="n"/>
      <c r="M40" s="13" t="n"/>
    </row>
    <row r="41" ht="22" customHeight="1">
      <c r="A41" s="12" t="n"/>
      <c r="B41" s="12" t="n"/>
      <c r="C41" s="13" t="n"/>
      <c r="D41" s="13" t="n"/>
      <c r="E41" s="14" t="n"/>
      <c r="F41" s="15" t="n"/>
      <c r="G41" s="15" t="n"/>
      <c r="H41" s="15" t="n"/>
      <c r="I41" s="15">
        <f>IFERROR(F41-H41,0)</f>
        <v/>
      </c>
      <c r="J41" s="16" t="n"/>
      <c r="K41" s="15">
        <f>IFERROR(F41*J41,0)</f>
        <v/>
      </c>
      <c r="L41" s="13" t="n"/>
      <c r="M41" s="13" t="n"/>
    </row>
    <row r="42" ht="22" customHeight="1">
      <c r="A42" s="12" t="n"/>
      <c r="B42" s="12" t="n"/>
      <c r="C42" s="13" t="n"/>
      <c r="D42" s="13" t="n"/>
      <c r="E42" s="14" t="n"/>
      <c r="F42" s="15" t="n"/>
      <c r="G42" s="15" t="n"/>
      <c r="H42" s="15" t="n"/>
      <c r="I42" s="15">
        <f>IFERROR(F42-H42,0)</f>
        <v/>
      </c>
      <c r="J42" s="16" t="n"/>
      <c r="K42" s="15">
        <f>IFERROR(F42*J42,0)</f>
        <v/>
      </c>
      <c r="L42" s="13" t="n"/>
      <c r="M42" s="13" t="n"/>
    </row>
    <row r="43" ht="22" customHeight="1">
      <c r="A43" s="12" t="n"/>
      <c r="B43" s="12" t="n"/>
      <c r="C43" s="13" t="n"/>
      <c r="D43" s="13" t="n"/>
      <c r="E43" s="14" t="n"/>
      <c r="F43" s="15" t="n"/>
      <c r="G43" s="15" t="n"/>
      <c r="H43" s="15" t="n"/>
      <c r="I43" s="15">
        <f>IFERROR(F43-H43,0)</f>
        <v/>
      </c>
      <c r="J43" s="16" t="n"/>
      <c r="K43" s="15">
        <f>IFERROR(F43*J43,0)</f>
        <v/>
      </c>
      <c r="L43" s="13" t="n"/>
      <c r="M43" s="13" t="n"/>
    </row>
    <row r="44" ht="22" customHeight="1">
      <c r="A44" s="12" t="n"/>
      <c r="B44" s="12" t="n"/>
      <c r="C44" s="13" t="n"/>
      <c r="D44" s="13" t="n"/>
      <c r="E44" s="14" t="n"/>
      <c r="F44" s="15" t="n"/>
      <c r="G44" s="15" t="n"/>
      <c r="H44" s="15" t="n"/>
      <c r="I44" s="15">
        <f>IFERROR(F44-H44,0)</f>
        <v/>
      </c>
      <c r="J44" s="16" t="n"/>
      <c r="K44" s="15">
        <f>IFERROR(F44*J44,0)</f>
        <v/>
      </c>
      <c r="L44" s="13" t="n"/>
      <c r="M44" s="13" t="n"/>
    </row>
    <row r="45" ht="22" customHeight="1">
      <c r="A45" s="12" t="n"/>
      <c r="B45" s="12" t="n"/>
      <c r="C45" s="13" t="n"/>
      <c r="D45" s="13" t="n"/>
      <c r="E45" s="14" t="n"/>
      <c r="F45" s="15" t="n"/>
      <c r="G45" s="15" t="n"/>
      <c r="H45" s="15" t="n"/>
      <c r="I45" s="15">
        <f>IFERROR(F45-H45,0)</f>
        <v/>
      </c>
      <c r="J45" s="16" t="n"/>
      <c r="K45" s="15">
        <f>IFERROR(F45*J45,0)</f>
        <v/>
      </c>
      <c r="L45" s="13" t="n"/>
      <c r="M45" s="13" t="n"/>
    </row>
    <row r="46" ht="22" customHeight="1">
      <c r="A46" s="12" t="n"/>
      <c r="B46" s="12" t="n"/>
      <c r="C46" s="13" t="n"/>
      <c r="D46" s="13" t="n"/>
      <c r="E46" s="14" t="n"/>
      <c r="F46" s="15" t="n"/>
      <c r="G46" s="15" t="n"/>
      <c r="H46" s="15" t="n"/>
      <c r="I46" s="15">
        <f>IFERROR(F46-H46,0)</f>
        <v/>
      </c>
      <c r="J46" s="16" t="n"/>
      <c r="K46" s="15">
        <f>IFERROR(F46*J46,0)</f>
        <v/>
      </c>
      <c r="L46" s="13" t="n"/>
      <c r="M46" s="13" t="n"/>
    </row>
    <row r="47" ht="22" customHeight="1">
      <c r="A47" s="12" t="n"/>
      <c r="B47" s="12" t="n"/>
      <c r="C47" s="13" t="n"/>
      <c r="D47" s="13" t="n"/>
      <c r="E47" s="14" t="n"/>
      <c r="F47" s="15" t="n"/>
      <c r="G47" s="15" t="n"/>
      <c r="H47" s="15" t="n"/>
      <c r="I47" s="15">
        <f>IFERROR(F47-H47,0)</f>
        <v/>
      </c>
      <c r="J47" s="16" t="n"/>
      <c r="K47" s="15">
        <f>IFERROR(F47*J47,0)</f>
        <v/>
      </c>
      <c r="L47" s="13" t="n"/>
      <c r="M47" s="13" t="n"/>
    </row>
    <row r="48" ht="22" customHeight="1">
      <c r="A48" s="12" t="n"/>
      <c r="B48" s="12" t="n"/>
      <c r="C48" s="13" t="n"/>
      <c r="D48" s="13" t="n"/>
      <c r="E48" s="14" t="n"/>
      <c r="F48" s="15" t="n"/>
      <c r="G48" s="15" t="n"/>
      <c r="H48" s="15" t="n"/>
      <c r="I48" s="15">
        <f>IFERROR(F48-H48,0)</f>
        <v/>
      </c>
      <c r="J48" s="16" t="n"/>
      <c r="K48" s="15">
        <f>IFERROR(F48*J48,0)</f>
        <v/>
      </c>
      <c r="L48" s="13" t="n"/>
      <c r="M48" s="13" t="n"/>
    </row>
    <row r="49" ht="22" customHeight="1">
      <c r="A49" s="12" t="n"/>
      <c r="B49" s="12" t="n"/>
      <c r="C49" s="13" t="n"/>
      <c r="D49" s="13" t="n"/>
      <c r="E49" s="14" t="n"/>
      <c r="F49" s="15" t="n"/>
      <c r="G49" s="15" t="n"/>
      <c r="H49" s="15" t="n"/>
      <c r="I49" s="15">
        <f>IFERROR(F49-H49,0)</f>
        <v/>
      </c>
      <c r="J49" s="16" t="n"/>
      <c r="K49" s="15">
        <f>IFERROR(F49*J49,0)</f>
        <v/>
      </c>
      <c r="L49" s="13" t="n"/>
      <c r="M49" s="13" t="n"/>
    </row>
    <row r="50" ht="22" customHeight="1">
      <c r="A50" s="12" t="n"/>
      <c r="B50" s="12" t="n"/>
      <c r="C50" s="13" t="n"/>
      <c r="D50" s="13" t="n"/>
      <c r="E50" s="14" t="n"/>
      <c r="F50" s="15" t="n"/>
      <c r="G50" s="15" t="n"/>
      <c r="H50" s="15" t="n"/>
      <c r="I50" s="15">
        <f>IFERROR(F50-H50,0)</f>
        <v/>
      </c>
      <c r="J50" s="16" t="n"/>
      <c r="K50" s="15">
        <f>IFERROR(F50*J50,0)</f>
        <v/>
      </c>
      <c r="L50" s="13" t="n"/>
      <c r="M50" s="13" t="n"/>
    </row>
    <row r="52">
      <c r="E52" s="17" t="inlineStr">
        <is>
          <t>TOTALS</t>
        </is>
      </c>
      <c r="F52" s="18">
        <f>SUM(F4:F50)</f>
        <v/>
      </c>
      <c r="G52" s="18">
        <f>SUM(G4:G50)</f>
        <v/>
      </c>
      <c r="H52" s="18">
        <f>SUM(H4:H50)</f>
        <v/>
      </c>
      <c r="I52" s="18">
        <f>SUM(I4:I50)</f>
        <v/>
      </c>
      <c r="J52" s="19">
        <f>IFERROR(SUMPRODUCT(F4:F50,J4:J50)/SUM(F4:F50),0)</f>
        <v/>
      </c>
      <c r="K52" s="18">
        <f>SUM(K4:K50)</f>
        <v/>
      </c>
    </row>
  </sheetData>
  <mergeCells count="1">
    <mergeCell ref="A1:M1"/>
  </mergeCells>
  <conditionalFormatting sqref="I4:I50">
    <cfRule type="cellIs" priority="1" operator="greaterThanOrEqual" dxfId="0" stopIfTrue="0">
      <formula>0</formula>
    </cfRule>
    <cfRule type="cellIs" priority="2" operator="lessThan" dxfId="1" stopIfTrue="0">
      <formula>0</formula>
    </cfRule>
  </conditionalFormatting>
  <dataValidations count="2">
    <dataValidation sqref="E4:E50" showDropDown="0" showInputMessage="0" showErrorMessage="0" allowBlank="1" errorTitle="Invalid trade" error="Pick a trade from the dropdown." type="list">
      <formula1>"General,Mechanical,Electrical,Plumbing,Structural Steel,Other"</formula1>
    </dataValidation>
    <dataValidation sqref="J4:J50" showDropDown="0" showInputMessage="0" showErrorMessage="0" allowBlank="1" errorTitle="Out of range" error="Enter a value between 0 and 100% (e.g. 0.25 for 25%).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</cols>
  <sheetData>
    <row r="1" ht="28" customHeight="1">
      <c r="A1" s="1" t="inlineStr">
        <is>
          <t>Division Summary (auto roll-up)</t>
        </is>
      </c>
    </row>
    <row r="2">
      <c r="A2" s="5" t="inlineStr">
        <is>
          <t>Reads from Cost Tracking via SUMIF - do not edit this tab directly.</t>
        </is>
      </c>
    </row>
    <row r="3" ht="28" customHeight="1">
      <c r="A3" s="6" t="inlineStr">
        <is>
          <t>CSI Division</t>
        </is>
      </c>
      <c r="B3" s="6" t="inlineStr">
        <is>
          <t>Division Name</t>
        </is>
      </c>
      <c r="C3" s="6" t="inlineStr">
        <is>
          <t>Total Budget</t>
        </is>
      </c>
      <c r="D3" s="6" t="inlineStr">
        <is>
          <t>Total Committed</t>
        </is>
      </c>
      <c r="E3" s="6" t="inlineStr">
        <is>
          <t>Total Actual</t>
        </is>
      </c>
      <c r="F3" s="6" t="inlineStr">
        <is>
          <t>Total Variance</t>
        </is>
      </c>
      <c r="G3" s="6" t="inlineStr">
        <is>
          <t>Weighted % Complete</t>
        </is>
      </c>
      <c r="H3" s="6" t="inlineStr">
        <is>
          <t>Total Earned Value</t>
        </is>
      </c>
    </row>
    <row r="4" ht="22" customHeight="1">
      <c r="A4" s="20" t="inlineStr">
        <is>
          <t>01</t>
        </is>
      </c>
      <c r="B4" s="9" t="inlineStr">
        <is>
          <t>General Requirements</t>
        </is>
      </c>
      <c r="C4" s="10">
        <f>SUMIF('Cost Tracking'!$A$4:$A$50,A4,'Cost Tracking'!$F$4:$F$50)</f>
        <v/>
      </c>
      <c r="D4" s="10">
        <f>SUMIF('Cost Tracking'!$A$4:$A$50,A4,'Cost Tracking'!$G$4:$G$50)</f>
        <v/>
      </c>
      <c r="E4" s="10">
        <f>SUMIF('Cost Tracking'!$A$4:$A$50,A4,'Cost Tracking'!$H$4:$H$50)</f>
        <v/>
      </c>
      <c r="F4" s="10">
        <f>SUMIF('Cost Tracking'!$A$4:$A$50,A4,'Cost Tracking'!$I$4:$I$50)</f>
        <v/>
      </c>
      <c r="G4" s="21">
        <f>IFERROR(SUMPRODUCT(('Cost Tracking'!$A$4:$A$50=A4)*'Cost Tracking'!$F$4:$F$50*'Cost Tracking'!$J$4:$J$50)/SUMIF('Cost Tracking'!$A$4:$A$50,A4,'Cost Tracking'!$F$4:$F$50),0)</f>
        <v/>
      </c>
      <c r="H4" s="10">
        <f>SUMIF('Cost Tracking'!$A$4:$A$50,A4,'Cost Tracking'!$K$4:$K$50)</f>
        <v/>
      </c>
    </row>
    <row r="5" ht="22" customHeight="1">
      <c r="A5" s="20" t="inlineStr">
        <is>
          <t>02</t>
        </is>
      </c>
      <c r="B5" s="9" t="inlineStr">
        <is>
          <t>Existing Conditions</t>
        </is>
      </c>
      <c r="C5" s="10">
        <f>SUMIF('Cost Tracking'!$A$4:$A$50,A5,'Cost Tracking'!$F$4:$F$50)</f>
        <v/>
      </c>
      <c r="D5" s="10">
        <f>SUMIF('Cost Tracking'!$A$4:$A$50,A5,'Cost Tracking'!$G$4:$G$50)</f>
        <v/>
      </c>
      <c r="E5" s="10">
        <f>SUMIF('Cost Tracking'!$A$4:$A$50,A5,'Cost Tracking'!$H$4:$H$50)</f>
        <v/>
      </c>
      <c r="F5" s="10">
        <f>SUMIF('Cost Tracking'!$A$4:$A$50,A5,'Cost Tracking'!$I$4:$I$50)</f>
        <v/>
      </c>
      <c r="G5" s="21">
        <f>IFERROR(SUMPRODUCT(('Cost Tracking'!$A$4:$A$50=A5)*'Cost Tracking'!$F$4:$F$50*'Cost Tracking'!$J$4:$J$50)/SUMIF('Cost Tracking'!$A$4:$A$50,A5,'Cost Tracking'!$F$4:$F$50),0)</f>
        <v/>
      </c>
      <c r="H5" s="10">
        <f>SUMIF('Cost Tracking'!$A$4:$A$50,A5,'Cost Tracking'!$K$4:$K$50)</f>
        <v/>
      </c>
    </row>
    <row r="6" ht="22" customHeight="1">
      <c r="A6" s="20" t="inlineStr">
        <is>
          <t>03</t>
        </is>
      </c>
      <c r="B6" s="9" t="inlineStr">
        <is>
          <t>Concrete</t>
        </is>
      </c>
      <c r="C6" s="10">
        <f>SUMIF('Cost Tracking'!$A$4:$A$50,A6,'Cost Tracking'!$F$4:$F$50)</f>
        <v/>
      </c>
      <c r="D6" s="10">
        <f>SUMIF('Cost Tracking'!$A$4:$A$50,A6,'Cost Tracking'!$G$4:$G$50)</f>
        <v/>
      </c>
      <c r="E6" s="10">
        <f>SUMIF('Cost Tracking'!$A$4:$A$50,A6,'Cost Tracking'!$H$4:$H$50)</f>
        <v/>
      </c>
      <c r="F6" s="10">
        <f>SUMIF('Cost Tracking'!$A$4:$A$50,A6,'Cost Tracking'!$I$4:$I$50)</f>
        <v/>
      </c>
      <c r="G6" s="21">
        <f>IFERROR(SUMPRODUCT(('Cost Tracking'!$A$4:$A$50=A6)*'Cost Tracking'!$F$4:$F$50*'Cost Tracking'!$J$4:$J$50)/SUMIF('Cost Tracking'!$A$4:$A$50,A6,'Cost Tracking'!$F$4:$F$50),0)</f>
        <v/>
      </c>
      <c r="H6" s="10">
        <f>SUMIF('Cost Tracking'!$A$4:$A$50,A6,'Cost Tracking'!$K$4:$K$50)</f>
        <v/>
      </c>
    </row>
    <row r="7" ht="22" customHeight="1">
      <c r="A7" s="20" t="inlineStr">
        <is>
          <t>04</t>
        </is>
      </c>
      <c r="B7" s="9" t="inlineStr">
        <is>
          <t>Masonry</t>
        </is>
      </c>
      <c r="C7" s="10">
        <f>SUMIF('Cost Tracking'!$A$4:$A$50,A7,'Cost Tracking'!$F$4:$F$50)</f>
        <v/>
      </c>
      <c r="D7" s="10">
        <f>SUMIF('Cost Tracking'!$A$4:$A$50,A7,'Cost Tracking'!$G$4:$G$50)</f>
        <v/>
      </c>
      <c r="E7" s="10">
        <f>SUMIF('Cost Tracking'!$A$4:$A$50,A7,'Cost Tracking'!$H$4:$H$50)</f>
        <v/>
      </c>
      <c r="F7" s="10">
        <f>SUMIF('Cost Tracking'!$A$4:$A$50,A7,'Cost Tracking'!$I$4:$I$50)</f>
        <v/>
      </c>
      <c r="G7" s="21">
        <f>IFERROR(SUMPRODUCT(('Cost Tracking'!$A$4:$A$50=A7)*'Cost Tracking'!$F$4:$F$50*'Cost Tracking'!$J$4:$J$50)/SUMIF('Cost Tracking'!$A$4:$A$50,A7,'Cost Tracking'!$F$4:$F$50),0)</f>
        <v/>
      </c>
      <c r="H7" s="10">
        <f>SUMIF('Cost Tracking'!$A$4:$A$50,A7,'Cost Tracking'!$K$4:$K$50)</f>
        <v/>
      </c>
    </row>
    <row r="8" ht="22" customHeight="1">
      <c r="A8" s="20" t="inlineStr">
        <is>
          <t>05</t>
        </is>
      </c>
      <c r="B8" s="9" t="inlineStr">
        <is>
          <t>Metals</t>
        </is>
      </c>
      <c r="C8" s="10">
        <f>SUMIF('Cost Tracking'!$A$4:$A$50,A8,'Cost Tracking'!$F$4:$F$50)</f>
        <v/>
      </c>
      <c r="D8" s="10">
        <f>SUMIF('Cost Tracking'!$A$4:$A$50,A8,'Cost Tracking'!$G$4:$G$50)</f>
        <v/>
      </c>
      <c r="E8" s="10">
        <f>SUMIF('Cost Tracking'!$A$4:$A$50,A8,'Cost Tracking'!$H$4:$H$50)</f>
        <v/>
      </c>
      <c r="F8" s="10">
        <f>SUMIF('Cost Tracking'!$A$4:$A$50,A8,'Cost Tracking'!$I$4:$I$50)</f>
        <v/>
      </c>
      <c r="G8" s="21">
        <f>IFERROR(SUMPRODUCT(('Cost Tracking'!$A$4:$A$50=A8)*'Cost Tracking'!$F$4:$F$50*'Cost Tracking'!$J$4:$J$50)/SUMIF('Cost Tracking'!$A$4:$A$50,A8,'Cost Tracking'!$F$4:$F$50),0)</f>
        <v/>
      </c>
      <c r="H8" s="10">
        <f>SUMIF('Cost Tracking'!$A$4:$A$50,A8,'Cost Tracking'!$K$4:$K$50)</f>
        <v/>
      </c>
    </row>
    <row r="9" ht="22" customHeight="1">
      <c r="A9" s="20" t="inlineStr">
        <is>
          <t>06</t>
        </is>
      </c>
      <c r="B9" s="9" t="inlineStr">
        <is>
          <t>Wood, Plastics, and Composites</t>
        </is>
      </c>
      <c r="C9" s="10">
        <f>SUMIF('Cost Tracking'!$A$4:$A$50,A9,'Cost Tracking'!$F$4:$F$50)</f>
        <v/>
      </c>
      <c r="D9" s="10">
        <f>SUMIF('Cost Tracking'!$A$4:$A$50,A9,'Cost Tracking'!$G$4:$G$50)</f>
        <v/>
      </c>
      <c r="E9" s="10">
        <f>SUMIF('Cost Tracking'!$A$4:$A$50,A9,'Cost Tracking'!$H$4:$H$50)</f>
        <v/>
      </c>
      <c r="F9" s="10">
        <f>SUMIF('Cost Tracking'!$A$4:$A$50,A9,'Cost Tracking'!$I$4:$I$50)</f>
        <v/>
      </c>
      <c r="G9" s="21">
        <f>IFERROR(SUMPRODUCT(('Cost Tracking'!$A$4:$A$50=A9)*'Cost Tracking'!$F$4:$F$50*'Cost Tracking'!$J$4:$J$50)/SUMIF('Cost Tracking'!$A$4:$A$50,A9,'Cost Tracking'!$F$4:$F$50),0)</f>
        <v/>
      </c>
      <c r="H9" s="10">
        <f>SUMIF('Cost Tracking'!$A$4:$A$50,A9,'Cost Tracking'!$K$4:$K$50)</f>
        <v/>
      </c>
    </row>
    <row r="10" ht="22" customHeight="1">
      <c r="A10" s="20" t="inlineStr">
        <is>
          <t>07</t>
        </is>
      </c>
      <c r="B10" s="9" t="inlineStr">
        <is>
          <t>Thermal and Moisture Protection</t>
        </is>
      </c>
      <c r="C10" s="10">
        <f>SUMIF('Cost Tracking'!$A$4:$A$50,A10,'Cost Tracking'!$F$4:$F$50)</f>
        <v/>
      </c>
      <c r="D10" s="10">
        <f>SUMIF('Cost Tracking'!$A$4:$A$50,A10,'Cost Tracking'!$G$4:$G$50)</f>
        <v/>
      </c>
      <c r="E10" s="10">
        <f>SUMIF('Cost Tracking'!$A$4:$A$50,A10,'Cost Tracking'!$H$4:$H$50)</f>
        <v/>
      </c>
      <c r="F10" s="10">
        <f>SUMIF('Cost Tracking'!$A$4:$A$50,A10,'Cost Tracking'!$I$4:$I$50)</f>
        <v/>
      </c>
      <c r="G10" s="21">
        <f>IFERROR(SUMPRODUCT(('Cost Tracking'!$A$4:$A$50=A10)*'Cost Tracking'!$F$4:$F$50*'Cost Tracking'!$J$4:$J$50)/SUMIF('Cost Tracking'!$A$4:$A$50,A10,'Cost Tracking'!$F$4:$F$50),0)</f>
        <v/>
      </c>
      <c r="H10" s="10">
        <f>SUMIF('Cost Tracking'!$A$4:$A$50,A10,'Cost Tracking'!$K$4:$K$50)</f>
        <v/>
      </c>
    </row>
    <row r="11" ht="22" customHeight="1">
      <c r="A11" s="20" t="inlineStr">
        <is>
          <t>08</t>
        </is>
      </c>
      <c r="B11" s="9" t="inlineStr">
        <is>
          <t>Openings</t>
        </is>
      </c>
      <c r="C11" s="10">
        <f>SUMIF('Cost Tracking'!$A$4:$A$50,A11,'Cost Tracking'!$F$4:$F$50)</f>
        <v/>
      </c>
      <c r="D11" s="10">
        <f>SUMIF('Cost Tracking'!$A$4:$A$50,A11,'Cost Tracking'!$G$4:$G$50)</f>
        <v/>
      </c>
      <c r="E11" s="10">
        <f>SUMIF('Cost Tracking'!$A$4:$A$50,A11,'Cost Tracking'!$H$4:$H$50)</f>
        <v/>
      </c>
      <c r="F11" s="10">
        <f>SUMIF('Cost Tracking'!$A$4:$A$50,A11,'Cost Tracking'!$I$4:$I$50)</f>
        <v/>
      </c>
      <c r="G11" s="21">
        <f>IFERROR(SUMPRODUCT(('Cost Tracking'!$A$4:$A$50=A11)*'Cost Tracking'!$F$4:$F$50*'Cost Tracking'!$J$4:$J$50)/SUMIF('Cost Tracking'!$A$4:$A$50,A11,'Cost Tracking'!$F$4:$F$50),0)</f>
        <v/>
      </c>
      <c r="H11" s="10">
        <f>SUMIF('Cost Tracking'!$A$4:$A$50,A11,'Cost Tracking'!$K$4:$K$50)</f>
        <v/>
      </c>
    </row>
    <row r="12" ht="22" customHeight="1">
      <c r="A12" s="20" t="inlineStr">
        <is>
          <t>09</t>
        </is>
      </c>
      <c r="B12" s="9" t="inlineStr">
        <is>
          <t>Finishes</t>
        </is>
      </c>
      <c r="C12" s="10">
        <f>SUMIF('Cost Tracking'!$A$4:$A$50,A12,'Cost Tracking'!$F$4:$F$50)</f>
        <v/>
      </c>
      <c r="D12" s="10">
        <f>SUMIF('Cost Tracking'!$A$4:$A$50,A12,'Cost Tracking'!$G$4:$G$50)</f>
        <v/>
      </c>
      <c r="E12" s="10">
        <f>SUMIF('Cost Tracking'!$A$4:$A$50,A12,'Cost Tracking'!$H$4:$H$50)</f>
        <v/>
      </c>
      <c r="F12" s="10">
        <f>SUMIF('Cost Tracking'!$A$4:$A$50,A12,'Cost Tracking'!$I$4:$I$50)</f>
        <v/>
      </c>
      <c r="G12" s="21">
        <f>IFERROR(SUMPRODUCT(('Cost Tracking'!$A$4:$A$50=A12)*'Cost Tracking'!$F$4:$F$50*'Cost Tracking'!$J$4:$J$50)/SUMIF('Cost Tracking'!$A$4:$A$50,A12,'Cost Tracking'!$F$4:$F$50),0)</f>
        <v/>
      </c>
      <c r="H12" s="10">
        <f>SUMIF('Cost Tracking'!$A$4:$A$50,A12,'Cost Tracking'!$K$4:$K$50)</f>
        <v/>
      </c>
    </row>
    <row r="13" ht="22" customHeight="1">
      <c r="A13" s="20" t="inlineStr">
        <is>
          <t>10</t>
        </is>
      </c>
      <c r="B13" s="9" t="inlineStr">
        <is>
          <t>Specialties</t>
        </is>
      </c>
      <c r="C13" s="10">
        <f>SUMIF('Cost Tracking'!$A$4:$A$50,A13,'Cost Tracking'!$F$4:$F$50)</f>
        <v/>
      </c>
      <c r="D13" s="10">
        <f>SUMIF('Cost Tracking'!$A$4:$A$50,A13,'Cost Tracking'!$G$4:$G$50)</f>
        <v/>
      </c>
      <c r="E13" s="10">
        <f>SUMIF('Cost Tracking'!$A$4:$A$50,A13,'Cost Tracking'!$H$4:$H$50)</f>
        <v/>
      </c>
      <c r="F13" s="10">
        <f>SUMIF('Cost Tracking'!$A$4:$A$50,A13,'Cost Tracking'!$I$4:$I$50)</f>
        <v/>
      </c>
      <c r="G13" s="21">
        <f>IFERROR(SUMPRODUCT(('Cost Tracking'!$A$4:$A$50=A13)*'Cost Tracking'!$F$4:$F$50*'Cost Tracking'!$J$4:$J$50)/SUMIF('Cost Tracking'!$A$4:$A$50,A13,'Cost Tracking'!$F$4:$F$50),0)</f>
        <v/>
      </c>
      <c r="H13" s="10">
        <f>SUMIF('Cost Tracking'!$A$4:$A$50,A13,'Cost Tracking'!$K$4:$K$50)</f>
        <v/>
      </c>
    </row>
    <row r="14" ht="22" customHeight="1">
      <c r="A14" s="20" t="inlineStr">
        <is>
          <t>21</t>
        </is>
      </c>
      <c r="B14" s="9" t="inlineStr">
        <is>
          <t>Fire Suppression</t>
        </is>
      </c>
      <c r="C14" s="10">
        <f>SUMIF('Cost Tracking'!$A$4:$A$50,A14,'Cost Tracking'!$F$4:$F$50)</f>
        <v/>
      </c>
      <c r="D14" s="10">
        <f>SUMIF('Cost Tracking'!$A$4:$A$50,A14,'Cost Tracking'!$G$4:$G$50)</f>
        <v/>
      </c>
      <c r="E14" s="10">
        <f>SUMIF('Cost Tracking'!$A$4:$A$50,A14,'Cost Tracking'!$H$4:$H$50)</f>
        <v/>
      </c>
      <c r="F14" s="10">
        <f>SUMIF('Cost Tracking'!$A$4:$A$50,A14,'Cost Tracking'!$I$4:$I$50)</f>
        <v/>
      </c>
      <c r="G14" s="21">
        <f>IFERROR(SUMPRODUCT(('Cost Tracking'!$A$4:$A$50=A14)*'Cost Tracking'!$F$4:$F$50*'Cost Tracking'!$J$4:$J$50)/SUMIF('Cost Tracking'!$A$4:$A$50,A14,'Cost Tracking'!$F$4:$F$50),0)</f>
        <v/>
      </c>
      <c r="H14" s="10">
        <f>SUMIF('Cost Tracking'!$A$4:$A$50,A14,'Cost Tracking'!$K$4:$K$50)</f>
        <v/>
      </c>
    </row>
    <row r="15" ht="22" customHeight="1">
      <c r="A15" s="20" t="inlineStr">
        <is>
          <t>22</t>
        </is>
      </c>
      <c r="B15" s="9" t="inlineStr">
        <is>
          <t>Plumbing</t>
        </is>
      </c>
      <c r="C15" s="10">
        <f>SUMIF('Cost Tracking'!$A$4:$A$50,A15,'Cost Tracking'!$F$4:$F$50)</f>
        <v/>
      </c>
      <c r="D15" s="10">
        <f>SUMIF('Cost Tracking'!$A$4:$A$50,A15,'Cost Tracking'!$G$4:$G$50)</f>
        <v/>
      </c>
      <c r="E15" s="10">
        <f>SUMIF('Cost Tracking'!$A$4:$A$50,A15,'Cost Tracking'!$H$4:$H$50)</f>
        <v/>
      </c>
      <c r="F15" s="10">
        <f>SUMIF('Cost Tracking'!$A$4:$A$50,A15,'Cost Tracking'!$I$4:$I$50)</f>
        <v/>
      </c>
      <c r="G15" s="21">
        <f>IFERROR(SUMPRODUCT(('Cost Tracking'!$A$4:$A$50=A15)*'Cost Tracking'!$F$4:$F$50*'Cost Tracking'!$J$4:$J$50)/SUMIF('Cost Tracking'!$A$4:$A$50,A15,'Cost Tracking'!$F$4:$F$50),0)</f>
        <v/>
      </c>
      <c r="H15" s="10">
        <f>SUMIF('Cost Tracking'!$A$4:$A$50,A15,'Cost Tracking'!$K$4:$K$50)</f>
        <v/>
      </c>
    </row>
    <row r="16" ht="22" customHeight="1">
      <c r="A16" s="20" t="inlineStr">
        <is>
          <t>23</t>
        </is>
      </c>
      <c r="B16" s="9" t="inlineStr">
        <is>
          <t>HVAC</t>
        </is>
      </c>
      <c r="C16" s="10">
        <f>SUMIF('Cost Tracking'!$A$4:$A$50,A16,'Cost Tracking'!$F$4:$F$50)</f>
        <v/>
      </c>
      <c r="D16" s="10">
        <f>SUMIF('Cost Tracking'!$A$4:$A$50,A16,'Cost Tracking'!$G$4:$G$50)</f>
        <v/>
      </c>
      <c r="E16" s="10">
        <f>SUMIF('Cost Tracking'!$A$4:$A$50,A16,'Cost Tracking'!$H$4:$H$50)</f>
        <v/>
      </c>
      <c r="F16" s="10">
        <f>SUMIF('Cost Tracking'!$A$4:$A$50,A16,'Cost Tracking'!$I$4:$I$50)</f>
        <v/>
      </c>
      <c r="G16" s="21">
        <f>IFERROR(SUMPRODUCT(('Cost Tracking'!$A$4:$A$50=A16)*'Cost Tracking'!$F$4:$F$50*'Cost Tracking'!$J$4:$J$50)/SUMIF('Cost Tracking'!$A$4:$A$50,A16,'Cost Tracking'!$F$4:$F$50),0)</f>
        <v/>
      </c>
      <c r="H16" s="10">
        <f>SUMIF('Cost Tracking'!$A$4:$A$50,A16,'Cost Tracking'!$K$4:$K$50)</f>
        <v/>
      </c>
    </row>
    <row r="17" ht="22" customHeight="1">
      <c r="A17" s="20" t="inlineStr">
        <is>
          <t>26</t>
        </is>
      </c>
      <c r="B17" s="9" t="inlineStr">
        <is>
          <t>Electrical</t>
        </is>
      </c>
      <c r="C17" s="10">
        <f>SUMIF('Cost Tracking'!$A$4:$A$50,A17,'Cost Tracking'!$F$4:$F$50)</f>
        <v/>
      </c>
      <c r="D17" s="10">
        <f>SUMIF('Cost Tracking'!$A$4:$A$50,A17,'Cost Tracking'!$G$4:$G$50)</f>
        <v/>
      </c>
      <c r="E17" s="10">
        <f>SUMIF('Cost Tracking'!$A$4:$A$50,A17,'Cost Tracking'!$H$4:$H$50)</f>
        <v/>
      </c>
      <c r="F17" s="10">
        <f>SUMIF('Cost Tracking'!$A$4:$A$50,A17,'Cost Tracking'!$I$4:$I$50)</f>
        <v/>
      </c>
      <c r="G17" s="21">
        <f>IFERROR(SUMPRODUCT(('Cost Tracking'!$A$4:$A$50=A17)*'Cost Tracking'!$F$4:$F$50*'Cost Tracking'!$J$4:$J$50)/SUMIF('Cost Tracking'!$A$4:$A$50,A17,'Cost Tracking'!$F$4:$F$50),0)</f>
        <v/>
      </c>
      <c r="H17" s="10">
        <f>SUMIF('Cost Tracking'!$A$4:$A$50,A17,'Cost Tracking'!$K$4:$K$50)</f>
        <v/>
      </c>
    </row>
    <row r="18" ht="22" customHeight="1">
      <c r="A18" s="20" t="inlineStr">
        <is>
          <t>31</t>
        </is>
      </c>
      <c r="B18" s="9" t="inlineStr">
        <is>
          <t>Earthwork</t>
        </is>
      </c>
      <c r="C18" s="10">
        <f>SUMIF('Cost Tracking'!$A$4:$A$50,A18,'Cost Tracking'!$F$4:$F$50)</f>
        <v/>
      </c>
      <c r="D18" s="10">
        <f>SUMIF('Cost Tracking'!$A$4:$A$50,A18,'Cost Tracking'!$G$4:$G$50)</f>
        <v/>
      </c>
      <c r="E18" s="10">
        <f>SUMIF('Cost Tracking'!$A$4:$A$50,A18,'Cost Tracking'!$H$4:$H$50)</f>
        <v/>
      </c>
      <c r="F18" s="10">
        <f>SUMIF('Cost Tracking'!$A$4:$A$50,A18,'Cost Tracking'!$I$4:$I$50)</f>
        <v/>
      </c>
      <c r="G18" s="21">
        <f>IFERROR(SUMPRODUCT(('Cost Tracking'!$A$4:$A$50=A18)*'Cost Tracking'!$F$4:$F$50*'Cost Tracking'!$J$4:$J$50)/SUMIF('Cost Tracking'!$A$4:$A$50,A18,'Cost Tracking'!$F$4:$F$50),0)</f>
        <v/>
      </c>
      <c r="H18" s="10">
        <f>SUMIF('Cost Tracking'!$A$4:$A$50,A18,'Cost Tracking'!$K$4:$K$50)</f>
        <v/>
      </c>
    </row>
    <row r="19" ht="22" customHeight="1">
      <c r="A19" s="20" t="inlineStr">
        <is>
          <t>32</t>
        </is>
      </c>
      <c r="B19" s="9" t="inlineStr">
        <is>
          <t>Exterior Improvements</t>
        </is>
      </c>
      <c r="C19" s="10">
        <f>SUMIF('Cost Tracking'!$A$4:$A$50,A19,'Cost Tracking'!$F$4:$F$50)</f>
        <v/>
      </c>
      <c r="D19" s="10">
        <f>SUMIF('Cost Tracking'!$A$4:$A$50,A19,'Cost Tracking'!$G$4:$G$50)</f>
        <v/>
      </c>
      <c r="E19" s="10">
        <f>SUMIF('Cost Tracking'!$A$4:$A$50,A19,'Cost Tracking'!$H$4:$H$50)</f>
        <v/>
      </c>
      <c r="F19" s="10">
        <f>SUMIF('Cost Tracking'!$A$4:$A$50,A19,'Cost Tracking'!$I$4:$I$50)</f>
        <v/>
      </c>
      <c r="G19" s="21">
        <f>IFERROR(SUMPRODUCT(('Cost Tracking'!$A$4:$A$50=A19)*'Cost Tracking'!$F$4:$F$50*'Cost Tracking'!$J$4:$J$50)/SUMIF('Cost Tracking'!$A$4:$A$50,A19,'Cost Tracking'!$F$4:$F$50),0)</f>
        <v/>
      </c>
      <c r="H19" s="10">
        <f>SUMIF('Cost Tracking'!$A$4:$A$50,A19,'Cost Tracking'!$K$4:$K$50)</f>
        <v/>
      </c>
    </row>
    <row r="20" ht="22" customHeight="1">
      <c r="A20" s="20" t="inlineStr">
        <is>
          <t>33</t>
        </is>
      </c>
      <c r="B20" s="9" t="inlineStr">
        <is>
          <t>Utilities</t>
        </is>
      </c>
      <c r="C20" s="10">
        <f>SUMIF('Cost Tracking'!$A$4:$A$50,A20,'Cost Tracking'!$F$4:$F$50)</f>
        <v/>
      </c>
      <c r="D20" s="10">
        <f>SUMIF('Cost Tracking'!$A$4:$A$50,A20,'Cost Tracking'!$G$4:$G$50)</f>
        <v/>
      </c>
      <c r="E20" s="10">
        <f>SUMIF('Cost Tracking'!$A$4:$A$50,A20,'Cost Tracking'!$H$4:$H$50)</f>
        <v/>
      </c>
      <c r="F20" s="10">
        <f>SUMIF('Cost Tracking'!$A$4:$A$50,A20,'Cost Tracking'!$I$4:$I$50)</f>
        <v/>
      </c>
      <c r="G20" s="21">
        <f>IFERROR(SUMPRODUCT(('Cost Tracking'!$A$4:$A$50=A20)*'Cost Tracking'!$F$4:$F$50*'Cost Tracking'!$J$4:$J$50)/SUMIF('Cost Tracking'!$A$4:$A$50,A20,'Cost Tracking'!$F$4:$F$50),0)</f>
        <v/>
      </c>
      <c r="H20" s="10">
        <f>SUMIF('Cost Tracking'!$A$4:$A$50,A20,'Cost Tracking'!$K$4:$K$50)</f>
        <v/>
      </c>
    </row>
    <row r="22">
      <c r="B22" s="17" t="inlineStr">
        <is>
          <t>TOTALS</t>
        </is>
      </c>
      <c r="C22" s="18">
        <f>SUM(C4:C20)</f>
        <v/>
      </c>
      <c r="D22" s="18">
        <f>SUM(D4:D20)</f>
        <v/>
      </c>
      <c r="E22" s="18">
        <f>SUM(E4:E20)</f>
        <v/>
      </c>
      <c r="F22" s="18">
        <f>SUM(F4:F20)</f>
        <v/>
      </c>
      <c r="G22" s="19">
        <f>IFERROR(SUMPRODUCT(C4:C20,G4:G20)/SUM(C4:C20),0)</f>
        <v/>
      </c>
      <c r="H22" s="18">
        <f>SUM(H4:H20)</f>
        <v/>
      </c>
    </row>
  </sheetData>
  <mergeCells count="1">
    <mergeCell ref="A1:H1"/>
  </mergeCells>
  <conditionalFormatting sqref="F4:F20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18" customWidth="1" min="4" max="4"/>
    <col width="18" customWidth="1" min="5" max="5"/>
    <col width="16" customWidth="1" min="6" max="6"/>
  </cols>
  <sheetData>
    <row r="1" ht="32" customHeight="1">
      <c r="A1" s="1" t="inlineStr">
        <is>
          <t>Job Dashboard</t>
        </is>
      </c>
    </row>
    <row r="2">
      <c r="A2" s="5" t="inlineStr">
        <is>
          <t>Auto-calculated from Job Info and Cost Tracking. Update those tabs - this one stays in sync.</t>
        </is>
      </c>
    </row>
    <row r="4" ht="26" customHeight="1">
      <c r="A4" s="22" t="inlineStr">
        <is>
          <t>Job Summary</t>
        </is>
      </c>
    </row>
    <row r="5" ht="26" customHeight="1">
      <c r="A5" s="23" t="inlineStr">
        <is>
          <t>Contract Amount</t>
        </is>
      </c>
      <c r="B5" s="24" t="n"/>
      <c r="C5" s="25" t="n"/>
      <c r="D5" s="26">
        <f>'Job Info'!D4</f>
        <v/>
      </c>
      <c r="E5" s="24" t="n"/>
      <c r="F5" s="25" t="n"/>
    </row>
    <row r="6" ht="26" customHeight="1">
      <c r="A6" s="23" t="inlineStr">
        <is>
          <t>Total Budget</t>
        </is>
      </c>
      <c r="B6" s="24" t="n"/>
      <c r="C6" s="25" t="n"/>
      <c r="D6" s="26">
        <f>SUM('Cost Tracking'!F4:F50)</f>
        <v/>
      </c>
      <c r="E6" s="24" t="n"/>
      <c r="F6" s="25" t="n"/>
    </row>
    <row r="7" ht="26" customHeight="1">
      <c r="A7" s="23" t="inlineStr">
        <is>
          <t>Total Committed</t>
        </is>
      </c>
      <c r="B7" s="24" t="n"/>
      <c r="C7" s="25" t="n"/>
      <c r="D7" s="26">
        <f>SUM('Cost Tracking'!G4:G50)</f>
        <v/>
      </c>
      <c r="E7" s="24" t="n"/>
      <c r="F7" s="25" t="n"/>
    </row>
    <row r="8" ht="26" customHeight="1">
      <c r="A8" s="23" t="inlineStr">
        <is>
          <t>Total Actual to Date</t>
        </is>
      </c>
      <c r="B8" s="24" t="n"/>
      <c r="C8" s="25" t="n"/>
      <c r="D8" s="26">
        <f>SUM('Cost Tracking'!H4:H50)</f>
        <v/>
      </c>
      <c r="E8" s="24" t="n"/>
      <c r="F8" s="25" t="n"/>
    </row>
    <row r="9" ht="26" customHeight="1">
      <c r="A9" s="23" t="inlineStr">
        <is>
          <t>Total Variance (Budget - Actual)</t>
        </is>
      </c>
      <c r="B9" s="24" t="n"/>
      <c r="C9" s="25" t="n"/>
      <c r="D9" s="26">
        <f>SUM('Cost Tracking'!F4:F50)-SUM('Cost Tracking'!H4:H50)</f>
        <v/>
      </c>
      <c r="E9" s="24" t="n"/>
      <c r="F9" s="25" t="n"/>
    </row>
    <row r="10" ht="26" customHeight="1">
      <c r="A10" s="23" t="inlineStr">
        <is>
          <t>Weighted % Complete</t>
        </is>
      </c>
      <c r="B10" s="24" t="n"/>
      <c r="C10" s="25" t="n"/>
      <c r="D10" s="27">
        <f>IFERROR(SUMPRODUCT('Cost Tracking'!F4:F50,'Cost Tracking'!J4:J50)/SUM('Cost Tracking'!F4:F50),0)</f>
        <v/>
      </c>
      <c r="E10" s="24" t="n"/>
      <c r="F10" s="25" t="n"/>
    </row>
    <row r="11" ht="26" customHeight="1">
      <c r="A11" s="23" t="inlineStr">
        <is>
          <t>Projected Cost at Completion</t>
        </is>
      </c>
      <c r="B11" s="24" t="n"/>
      <c r="C11" s="25" t="n"/>
      <c r="D11" s="26">
        <f>IFERROR(SUM('Cost Tracking'!H4:H50)/IFERROR(SUMPRODUCT('Cost Tracking'!F4:F50,'Cost Tracking'!J4:J50)/SUM('Cost Tracking'!F4:F50),0),SUM('Cost Tracking'!F4:F50))</f>
        <v/>
      </c>
      <c r="E11" s="24" t="n"/>
      <c r="F11" s="25" t="n"/>
    </row>
    <row r="12" ht="26" customHeight="1">
      <c r="A12" s="23" t="inlineStr">
        <is>
          <t>Projected Profit</t>
        </is>
      </c>
      <c r="B12" s="24" t="n"/>
      <c r="C12" s="25" t="n"/>
      <c r="D12" s="26">
        <f>'Job Info'!D4-IFERROR(SUM('Cost Tracking'!H4:H50)/IFERROR(SUMPRODUCT('Cost Tracking'!F4:F50,'Cost Tracking'!J4:J50)/SUM('Cost Tracking'!F4:F50),0),SUM('Cost Tracking'!F4:F50))</f>
        <v/>
      </c>
      <c r="E12" s="24" t="n"/>
      <c r="F12" s="25" t="n"/>
    </row>
    <row r="13" ht="26" customHeight="1">
      <c r="A13" s="23" t="inlineStr">
        <is>
          <t>Profit Margin %</t>
        </is>
      </c>
      <c r="B13" s="24" t="n"/>
      <c r="C13" s="25" t="n"/>
      <c r="D13" s="27">
        <f>IFERROR(('Job Info'!D4-IFERROR(SUM('Cost Tracking'!H4:H50)/IFERROR(SUMPRODUCT('Cost Tracking'!F4:F50,'Cost Tracking'!J4:J50)/SUM('Cost Tracking'!F4:F50),0),SUM('Cost Tracking'!F4:F50)))/'Job Info'!D4,0)</f>
        <v/>
      </c>
      <c r="E13" s="24" t="n"/>
      <c r="F13" s="25" t="n"/>
    </row>
    <row r="16" ht="26" customHeight="1">
      <c r="A16" s="22" t="inlineStr">
        <is>
          <t>Per-Division Breakdown</t>
        </is>
      </c>
    </row>
    <row r="17" ht="28" customHeight="1">
      <c r="A17" s="6" t="inlineStr">
        <is>
          <t>Div</t>
        </is>
      </c>
      <c r="B17" s="6" t="inlineStr">
        <is>
          <t>Division Name</t>
        </is>
      </c>
      <c r="C17" s="6" t="inlineStr">
        <is>
          <t>Budget</t>
        </is>
      </c>
      <c r="D17" s="6" t="inlineStr">
        <is>
          <t>Actual</t>
        </is>
      </c>
      <c r="E17" s="6" t="inlineStr">
        <is>
          <t>Variance</t>
        </is>
      </c>
      <c r="F17" s="6" t="inlineStr">
        <is>
          <t>% Complete</t>
        </is>
      </c>
    </row>
    <row r="18" ht="20" customHeight="1">
      <c r="A18" s="20" t="inlineStr">
        <is>
          <t>01</t>
        </is>
      </c>
      <c r="B18" s="9" t="inlineStr">
        <is>
          <t>General Requirements</t>
        </is>
      </c>
      <c r="C18" s="10">
        <f>SUMIF('Cost Tracking'!$A$4:$A$50,A18,'Cost Tracking'!$F$4:$F$50)</f>
        <v/>
      </c>
      <c r="D18" s="10">
        <f>SUMIF('Cost Tracking'!$A$4:$A$50,A18,'Cost Tracking'!$H$4:$H$50)</f>
        <v/>
      </c>
      <c r="E18" s="10">
        <f>SUMIF('Cost Tracking'!$A$4:$A$50,A18,'Cost Tracking'!$I$4:$I$50)</f>
        <v/>
      </c>
      <c r="F18" s="21">
        <f>IFERROR(SUMPRODUCT(('Cost Tracking'!$A$4:$A$50=A18)*'Cost Tracking'!$F$4:$F$50*'Cost Tracking'!$J$4:$J$50)/SUMIF('Cost Tracking'!$A$4:$A$50,A18,'Cost Tracking'!$F$4:$F$50),0)</f>
        <v/>
      </c>
    </row>
    <row r="19" ht="20" customHeight="1">
      <c r="A19" s="20" t="inlineStr">
        <is>
          <t>02</t>
        </is>
      </c>
      <c r="B19" s="9" t="inlineStr">
        <is>
          <t>Existing Conditions</t>
        </is>
      </c>
      <c r="C19" s="10">
        <f>SUMIF('Cost Tracking'!$A$4:$A$50,A19,'Cost Tracking'!$F$4:$F$50)</f>
        <v/>
      </c>
      <c r="D19" s="10">
        <f>SUMIF('Cost Tracking'!$A$4:$A$50,A19,'Cost Tracking'!$H$4:$H$50)</f>
        <v/>
      </c>
      <c r="E19" s="10">
        <f>SUMIF('Cost Tracking'!$A$4:$A$50,A19,'Cost Tracking'!$I$4:$I$50)</f>
        <v/>
      </c>
      <c r="F19" s="21">
        <f>IFERROR(SUMPRODUCT(('Cost Tracking'!$A$4:$A$50=A19)*'Cost Tracking'!$F$4:$F$50*'Cost Tracking'!$J$4:$J$50)/SUMIF('Cost Tracking'!$A$4:$A$50,A19,'Cost Tracking'!$F$4:$F$50),0)</f>
        <v/>
      </c>
    </row>
    <row r="20" ht="20" customHeight="1">
      <c r="A20" s="20" t="inlineStr">
        <is>
          <t>03</t>
        </is>
      </c>
      <c r="B20" s="9" t="inlineStr">
        <is>
          <t>Concrete</t>
        </is>
      </c>
      <c r="C20" s="10">
        <f>SUMIF('Cost Tracking'!$A$4:$A$50,A20,'Cost Tracking'!$F$4:$F$50)</f>
        <v/>
      </c>
      <c r="D20" s="10">
        <f>SUMIF('Cost Tracking'!$A$4:$A$50,A20,'Cost Tracking'!$H$4:$H$50)</f>
        <v/>
      </c>
      <c r="E20" s="10">
        <f>SUMIF('Cost Tracking'!$A$4:$A$50,A20,'Cost Tracking'!$I$4:$I$50)</f>
        <v/>
      </c>
      <c r="F20" s="21">
        <f>IFERROR(SUMPRODUCT(('Cost Tracking'!$A$4:$A$50=A20)*'Cost Tracking'!$F$4:$F$50*'Cost Tracking'!$J$4:$J$50)/SUMIF('Cost Tracking'!$A$4:$A$50,A20,'Cost Tracking'!$F$4:$F$50),0)</f>
        <v/>
      </c>
    </row>
    <row r="21" ht="20" customHeight="1">
      <c r="A21" s="20" t="inlineStr">
        <is>
          <t>04</t>
        </is>
      </c>
      <c r="B21" s="9" t="inlineStr">
        <is>
          <t>Masonry</t>
        </is>
      </c>
      <c r="C21" s="10">
        <f>SUMIF('Cost Tracking'!$A$4:$A$50,A21,'Cost Tracking'!$F$4:$F$50)</f>
        <v/>
      </c>
      <c r="D21" s="10">
        <f>SUMIF('Cost Tracking'!$A$4:$A$50,A21,'Cost Tracking'!$H$4:$H$50)</f>
        <v/>
      </c>
      <c r="E21" s="10">
        <f>SUMIF('Cost Tracking'!$A$4:$A$50,A21,'Cost Tracking'!$I$4:$I$50)</f>
        <v/>
      </c>
      <c r="F21" s="21">
        <f>IFERROR(SUMPRODUCT(('Cost Tracking'!$A$4:$A$50=A21)*'Cost Tracking'!$F$4:$F$50*'Cost Tracking'!$J$4:$J$50)/SUMIF('Cost Tracking'!$A$4:$A$50,A21,'Cost Tracking'!$F$4:$F$50),0)</f>
        <v/>
      </c>
    </row>
    <row r="22" ht="20" customHeight="1">
      <c r="A22" s="20" t="inlineStr">
        <is>
          <t>05</t>
        </is>
      </c>
      <c r="B22" s="9" t="inlineStr">
        <is>
          <t>Metals</t>
        </is>
      </c>
      <c r="C22" s="10">
        <f>SUMIF('Cost Tracking'!$A$4:$A$50,A22,'Cost Tracking'!$F$4:$F$50)</f>
        <v/>
      </c>
      <c r="D22" s="10">
        <f>SUMIF('Cost Tracking'!$A$4:$A$50,A22,'Cost Tracking'!$H$4:$H$50)</f>
        <v/>
      </c>
      <c r="E22" s="10">
        <f>SUMIF('Cost Tracking'!$A$4:$A$50,A22,'Cost Tracking'!$I$4:$I$50)</f>
        <v/>
      </c>
      <c r="F22" s="21">
        <f>IFERROR(SUMPRODUCT(('Cost Tracking'!$A$4:$A$50=A22)*'Cost Tracking'!$F$4:$F$50*'Cost Tracking'!$J$4:$J$50)/SUMIF('Cost Tracking'!$A$4:$A$50,A22,'Cost Tracking'!$F$4:$F$50),0)</f>
        <v/>
      </c>
    </row>
    <row r="23" ht="20" customHeight="1">
      <c r="A23" s="20" t="inlineStr">
        <is>
          <t>06</t>
        </is>
      </c>
      <c r="B23" s="9" t="inlineStr">
        <is>
          <t>Wood, Plastics, and Composites</t>
        </is>
      </c>
      <c r="C23" s="10">
        <f>SUMIF('Cost Tracking'!$A$4:$A$50,A23,'Cost Tracking'!$F$4:$F$50)</f>
        <v/>
      </c>
      <c r="D23" s="10">
        <f>SUMIF('Cost Tracking'!$A$4:$A$50,A23,'Cost Tracking'!$H$4:$H$50)</f>
        <v/>
      </c>
      <c r="E23" s="10">
        <f>SUMIF('Cost Tracking'!$A$4:$A$50,A23,'Cost Tracking'!$I$4:$I$50)</f>
        <v/>
      </c>
      <c r="F23" s="21">
        <f>IFERROR(SUMPRODUCT(('Cost Tracking'!$A$4:$A$50=A23)*'Cost Tracking'!$F$4:$F$50*'Cost Tracking'!$J$4:$J$50)/SUMIF('Cost Tracking'!$A$4:$A$50,A23,'Cost Tracking'!$F$4:$F$50),0)</f>
        <v/>
      </c>
    </row>
    <row r="24" ht="20" customHeight="1">
      <c r="A24" s="20" t="inlineStr">
        <is>
          <t>07</t>
        </is>
      </c>
      <c r="B24" s="9" t="inlineStr">
        <is>
          <t>Thermal and Moisture Protection</t>
        </is>
      </c>
      <c r="C24" s="10">
        <f>SUMIF('Cost Tracking'!$A$4:$A$50,A24,'Cost Tracking'!$F$4:$F$50)</f>
        <v/>
      </c>
      <c r="D24" s="10">
        <f>SUMIF('Cost Tracking'!$A$4:$A$50,A24,'Cost Tracking'!$H$4:$H$50)</f>
        <v/>
      </c>
      <c r="E24" s="10">
        <f>SUMIF('Cost Tracking'!$A$4:$A$50,A24,'Cost Tracking'!$I$4:$I$50)</f>
        <v/>
      </c>
      <c r="F24" s="21">
        <f>IFERROR(SUMPRODUCT(('Cost Tracking'!$A$4:$A$50=A24)*'Cost Tracking'!$F$4:$F$50*'Cost Tracking'!$J$4:$J$50)/SUMIF('Cost Tracking'!$A$4:$A$50,A24,'Cost Tracking'!$F$4:$F$50),0)</f>
        <v/>
      </c>
    </row>
    <row r="25" ht="20" customHeight="1">
      <c r="A25" s="20" t="inlineStr">
        <is>
          <t>08</t>
        </is>
      </c>
      <c r="B25" s="9" t="inlineStr">
        <is>
          <t>Openings</t>
        </is>
      </c>
      <c r="C25" s="10">
        <f>SUMIF('Cost Tracking'!$A$4:$A$50,A25,'Cost Tracking'!$F$4:$F$50)</f>
        <v/>
      </c>
      <c r="D25" s="10">
        <f>SUMIF('Cost Tracking'!$A$4:$A$50,A25,'Cost Tracking'!$H$4:$H$50)</f>
        <v/>
      </c>
      <c r="E25" s="10">
        <f>SUMIF('Cost Tracking'!$A$4:$A$50,A25,'Cost Tracking'!$I$4:$I$50)</f>
        <v/>
      </c>
      <c r="F25" s="21">
        <f>IFERROR(SUMPRODUCT(('Cost Tracking'!$A$4:$A$50=A25)*'Cost Tracking'!$F$4:$F$50*'Cost Tracking'!$J$4:$J$50)/SUMIF('Cost Tracking'!$A$4:$A$50,A25,'Cost Tracking'!$F$4:$F$50),0)</f>
        <v/>
      </c>
    </row>
    <row r="26" ht="20" customHeight="1">
      <c r="A26" s="20" t="inlineStr">
        <is>
          <t>09</t>
        </is>
      </c>
      <c r="B26" s="9" t="inlineStr">
        <is>
          <t>Finishes</t>
        </is>
      </c>
      <c r="C26" s="10">
        <f>SUMIF('Cost Tracking'!$A$4:$A$50,A26,'Cost Tracking'!$F$4:$F$50)</f>
        <v/>
      </c>
      <c r="D26" s="10">
        <f>SUMIF('Cost Tracking'!$A$4:$A$50,A26,'Cost Tracking'!$H$4:$H$50)</f>
        <v/>
      </c>
      <c r="E26" s="10">
        <f>SUMIF('Cost Tracking'!$A$4:$A$50,A26,'Cost Tracking'!$I$4:$I$50)</f>
        <v/>
      </c>
      <c r="F26" s="21">
        <f>IFERROR(SUMPRODUCT(('Cost Tracking'!$A$4:$A$50=A26)*'Cost Tracking'!$F$4:$F$50*'Cost Tracking'!$J$4:$J$50)/SUMIF('Cost Tracking'!$A$4:$A$50,A26,'Cost Tracking'!$F$4:$F$50),0)</f>
        <v/>
      </c>
    </row>
    <row r="27" ht="20" customHeight="1">
      <c r="A27" s="20" t="inlineStr">
        <is>
          <t>10</t>
        </is>
      </c>
      <c r="B27" s="9" t="inlineStr">
        <is>
          <t>Specialties</t>
        </is>
      </c>
      <c r="C27" s="10">
        <f>SUMIF('Cost Tracking'!$A$4:$A$50,A27,'Cost Tracking'!$F$4:$F$50)</f>
        <v/>
      </c>
      <c r="D27" s="10">
        <f>SUMIF('Cost Tracking'!$A$4:$A$50,A27,'Cost Tracking'!$H$4:$H$50)</f>
        <v/>
      </c>
      <c r="E27" s="10">
        <f>SUMIF('Cost Tracking'!$A$4:$A$50,A27,'Cost Tracking'!$I$4:$I$50)</f>
        <v/>
      </c>
      <c r="F27" s="21">
        <f>IFERROR(SUMPRODUCT(('Cost Tracking'!$A$4:$A$50=A27)*'Cost Tracking'!$F$4:$F$50*'Cost Tracking'!$J$4:$J$50)/SUMIF('Cost Tracking'!$A$4:$A$50,A27,'Cost Tracking'!$F$4:$F$50),0)</f>
        <v/>
      </c>
    </row>
    <row r="28" ht="20" customHeight="1">
      <c r="A28" s="20" t="inlineStr">
        <is>
          <t>21</t>
        </is>
      </c>
      <c r="B28" s="9" t="inlineStr">
        <is>
          <t>Fire Suppression</t>
        </is>
      </c>
      <c r="C28" s="10">
        <f>SUMIF('Cost Tracking'!$A$4:$A$50,A28,'Cost Tracking'!$F$4:$F$50)</f>
        <v/>
      </c>
      <c r="D28" s="10">
        <f>SUMIF('Cost Tracking'!$A$4:$A$50,A28,'Cost Tracking'!$H$4:$H$50)</f>
        <v/>
      </c>
      <c r="E28" s="10">
        <f>SUMIF('Cost Tracking'!$A$4:$A$50,A28,'Cost Tracking'!$I$4:$I$50)</f>
        <v/>
      </c>
      <c r="F28" s="21">
        <f>IFERROR(SUMPRODUCT(('Cost Tracking'!$A$4:$A$50=A28)*'Cost Tracking'!$F$4:$F$50*'Cost Tracking'!$J$4:$J$50)/SUMIF('Cost Tracking'!$A$4:$A$50,A28,'Cost Tracking'!$F$4:$F$50),0)</f>
        <v/>
      </c>
    </row>
    <row r="29" ht="20" customHeight="1">
      <c r="A29" s="20" t="inlineStr">
        <is>
          <t>22</t>
        </is>
      </c>
      <c r="B29" s="9" t="inlineStr">
        <is>
          <t>Plumbing</t>
        </is>
      </c>
      <c r="C29" s="10">
        <f>SUMIF('Cost Tracking'!$A$4:$A$50,A29,'Cost Tracking'!$F$4:$F$50)</f>
        <v/>
      </c>
      <c r="D29" s="10">
        <f>SUMIF('Cost Tracking'!$A$4:$A$50,A29,'Cost Tracking'!$H$4:$H$50)</f>
        <v/>
      </c>
      <c r="E29" s="10">
        <f>SUMIF('Cost Tracking'!$A$4:$A$50,A29,'Cost Tracking'!$I$4:$I$50)</f>
        <v/>
      </c>
      <c r="F29" s="21">
        <f>IFERROR(SUMPRODUCT(('Cost Tracking'!$A$4:$A$50=A29)*'Cost Tracking'!$F$4:$F$50*'Cost Tracking'!$J$4:$J$50)/SUMIF('Cost Tracking'!$A$4:$A$50,A29,'Cost Tracking'!$F$4:$F$50),0)</f>
        <v/>
      </c>
    </row>
    <row r="30" ht="20" customHeight="1">
      <c r="A30" s="20" t="inlineStr">
        <is>
          <t>23</t>
        </is>
      </c>
      <c r="B30" s="9" t="inlineStr">
        <is>
          <t>HVAC</t>
        </is>
      </c>
      <c r="C30" s="10">
        <f>SUMIF('Cost Tracking'!$A$4:$A$50,A30,'Cost Tracking'!$F$4:$F$50)</f>
        <v/>
      </c>
      <c r="D30" s="10">
        <f>SUMIF('Cost Tracking'!$A$4:$A$50,A30,'Cost Tracking'!$H$4:$H$50)</f>
        <v/>
      </c>
      <c r="E30" s="10">
        <f>SUMIF('Cost Tracking'!$A$4:$A$50,A30,'Cost Tracking'!$I$4:$I$50)</f>
        <v/>
      </c>
      <c r="F30" s="21">
        <f>IFERROR(SUMPRODUCT(('Cost Tracking'!$A$4:$A$50=A30)*'Cost Tracking'!$F$4:$F$50*'Cost Tracking'!$J$4:$J$50)/SUMIF('Cost Tracking'!$A$4:$A$50,A30,'Cost Tracking'!$F$4:$F$50),0)</f>
        <v/>
      </c>
    </row>
    <row r="31" ht="20" customHeight="1">
      <c r="A31" s="20" t="inlineStr">
        <is>
          <t>26</t>
        </is>
      </c>
      <c r="B31" s="9" t="inlineStr">
        <is>
          <t>Electrical</t>
        </is>
      </c>
      <c r="C31" s="10">
        <f>SUMIF('Cost Tracking'!$A$4:$A$50,A31,'Cost Tracking'!$F$4:$F$50)</f>
        <v/>
      </c>
      <c r="D31" s="10">
        <f>SUMIF('Cost Tracking'!$A$4:$A$50,A31,'Cost Tracking'!$H$4:$H$50)</f>
        <v/>
      </c>
      <c r="E31" s="10">
        <f>SUMIF('Cost Tracking'!$A$4:$A$50,A31,'Cost Tracking'!$I$4:$I$50)</f>
        <v/>
      </c>
      <c r="F31" s="21">
        <f>IFERROR(SUMPRODUCT(('Cost Tracking'!$A$4:$A$50=A31)*'Cost Tracking'!$F$4:$F$50*'Cost Tracking'!$J$4:$J$50)/SUMIF('Cost Tracking'!$A$4:$A$50,A31,'Cost Tracking'!$F$4:$F$50),0)</f>
        <v/>
      </c>
    </row>
    <row r="32" ht="20" customHeight="1">
      <c r="A32" s="20" t="inlineStr">
        <is>
          <t>31</t>
        </is>
      </c>
      <c r="B32" s="9" t="inlineStr">
        <is>
          <t>Earthwork</t>
        </is>
      </c>
      <c r="C32" s="10">
        <f>SUMIF('Cost Tracking'!$A$4:$A$50,A32,'Cost Tracking'!$F$4:$F$50)</f>
        <v/>
      </c>
      <c r="D32" s="10">
        <f>SUMIF('Cost Tracking'!$A$4:$A$50,A32,'Cost Tracking'!$H$4:$H$50)</f>
        <v/>
      </c>
      <c r="E32" s="10">
        <f>SUMIF('Cost Tracking'!$A$4:$A$50,A32,'Cost Tracking'!$I$4:$I$50)</f>
        <v/>
      </c>
      <c r="F32" s="21">
        <f>IFERROR(SUMPRODUCT(('Cost Tracking'!$A$4:$A$50=A32)*'Cost Tracking'!$F$4:$F$50*'Cost Tracking'!$J$4:$J$50)/SUMIF('Cost Tracking'!$A$4:$A$50,A32,'Cost Tracking'!$F$4:$F$50),0)</f>
        <v/>
      </c>
    </row>
    <row r="33" ht="20" customHeight="1">
      <c r="A33" s="20" t="inlineStr">
        <is>
          <t>32</t>
        </is>
      </c>
      <c r="B33" s="9" t="inlineStr">
        <is>
          <t>Exterior Improvements</t>
        </is>
      </c>
      <c r="C33" s="10">
        <f>SUMIF('Cost Tracking'!$A$4:$A$50,A33,'Cost Tracking'!$F$4:$F$50)</f>
        <v/>
      </c>
      <c r="D33" s="10">
        <f>SUMIF('Cost Tracking'!$A$4:$A$50,A33,'Cost Tracking'!$H$4:$H$50)</f>
        <v/>
      </c>
      <c r="E33" s="10">
        <f>SUMIF('Cost Tracking'!$A$4:$A$50,A33,'Cost Tracking'!$I$4:$I$50)</f>
        <v/>
      </c>
      <c r="F33" s="21">
        <f>IFERROR(SUMPRODUCT(('Cost Tracking'!$A$4:$A$50=A33)*'Cost Tracking'!$F$4:$F$50*'Cost Tracking'!$J$4:$J$50)/SUMIF('Cost Tracking'!$A$4:$A$50,A33,'Cost Tracking'!$F$4:$F$50),0)</f>
        <v/>
      </c>
    </row>
    <row r="34" ht="20" customHeight="1">
      <c r="A34" s="20" t="inlineStr">
        <is>
          <t>33</t>
        </is>
      </c>
      <c r="B34" s="9" t="inlineStr">
        <is>
          <t>Utilities</t>
        </is>
      </c>
      <c r="C34" s="10">
        <f>SUMIF('Cost Tracking'!$A$4:$A$50,A34,'Cost Tracking'!$F$4:$F$50)</f>
        <v/>
      </c>
      <c r="D34" s="10">
        <f>SUMIF('Cost Tracking'!$A$4:$A$50,A34,'Cost Tracking'!$H$4:$H$50)</f>
        <v/>
      </c>
      <c r="E34" s="10">
        <f>SUMIF('Cost Tracking'!$A$4:$A$50,A34,'Cost Tracking'!$I$4:$I$50)</f>
        <v/>
      </c>
      <c r="F34" s="21">
        <f>IFERROR(SUMPRODUCT(('Cost Tracking'!$A$4:$A$50=A34)*'Cost Tracking'!$F$4:$F$50*'Cost Tracking'!$J$4:$J$50)/SUMIF('Cost Tracking'!$A$4:$A$50,A34,'Cost Tracking'!$F$4:$F$50),0)</f>
        <v/>
      </c>
    </row>
  </sheetData>
  <mergeCells count="22">
    <mergeCell ref="A16:F16"/>
    <mergeCell ref="D11:F11"/>
    <mergeCell ref="D13:F13"/>
    <mergeCell ref="A12:C12"/>
    <mergeCell ref="D7:F7"/>
    <mergeCell ref="A2:F2"/>
    <mergeCell ref="A5:C5"/>
    <mergeCell ref="A8:C8"/>
    <mergeCell ref="D12:F12"/>
    <mergeCell ref="D9:F9"/>
    <mergeCell ref="A4:F4"/>
    <mergeCell ref="D8:F8"/>
    <mergeCell ref="A10:C10"/>
    <mergeCell ref="A13:C13"/>
    <mergeCell ref="D5:F5"/>
    <mergeCell ref="A9:C9"/>
    <mergeCell ref="D10:F10"/>
    <mergeCell ref="A11:C11"/>
    <mergeCell ref="A1:F1"/>
    <mergeCell ref="A6:C6"/>
    <mergeCell ref="A7:C7"/>
    <mergeCell ref="D6:F6"/>
  </mergeCells>
  <conditionalFormatting sqref="D9">
    <cfRule type="cellIs" priority="1" operator="greaterThanOrEqual" dxfId="2">
      <formula>0</formula>
    </cfRule>
    <cfRule type="cellIs" priority="2" operator="lessThan" dxfId="3">
      <formula>0</formula>
    </cfRule>
  </conditionalFormatting>
  <conditionalFormatting sqref="D12">
    <cfRule type="cellIs" priority="3" operator="greaterThanOrEqual" dxfId="2">
      <formula>0</formula>
    </cfRule>
    <cfRule type="cellIs" priority="4" operator="lessThan" dxfId="3">
      <formula>0</formula>
    </cfRule>
  </conditionalFormatting>
  <conditionalFormatting sqref="D13">
    <cfRule type="cellIs" priority="5" operator="greaterThanOrEqual" dxfId="2">
      <formula>0</formula>
    </cfRule>
    <cfRule type="cellIs" priority="6" operator="lessThan" dxfId="3">
      <formula>0</formula>
    </cfRule>
  </conditionalFormatting>
  <conditionalFormatting sqref="E18:E34">
    <cfRule type="cellIs" priority="7" operator="greaterThanOrEqual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2026-05-14T10:01:03Z</dcterms:created>
  <dcterms:modified xmlns:dcterms="http://purl.org/dc/terms/" xmlns:xsi="http://www.w3.org/2001/XMLSchema-instance" xsi:type="dcterms:W3CDTF">2026-05-14T10:01:03Z</dcterms:modified>
</cp:coreProperties>
</file>