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4" autoFilterDateGrouping="1"/>
  </bookViews>
  <sheets>
    <sheet xmlns:r="http://schemas.openxmlformats.org/officeDocument/2006/relationships" name="Instructions" sheetId="1" state="visible" r:id="rId1"/>
    <sheet xmlns:r="http://schemas.openxmlformats.org/officeDocument/2006/relationships" name="Project Info" sheetId="2" state="visible" r:id="rId2"/>
    <sheet xmlns:r="http://schemas.openxmlformats.org/officeDocument/2006/relationships" name="Invoice Log" sheetId="3" state="visible" r:id="rId3"/>
    <sheet xmlns:r="http://schemas.openxmlformats.org/officeDocument/2006/relationships" name="Aging Summary" sheetId="4" state="visible" r:id="rId4"/>
    <sheet xmlns:r="http://schemas.openxmlformats.org/officeDocument/2006/relationships" name="Dashboard" sheetId="5" state="visible" r:id="rId5"/>
    <sheet xmlns:r="http://schemas.openxmlformats.org/officeDocument/2006/relationships" name="CSI Reference" sheetId="6" state="hidden" r:id="rId6"/>
  </sheets>
  <definedNames>
    <definedName name="CSI_Divisions">'CSI Reference'!$A$4:$A$38</definedName>
    <definedName name="CSI_Table">'CSI Reference'!$A$4:$B$38</definedName>
  </definedNames>
  <calcPr calcId="124519" fullCalcOnLoad="1"/>
</workbook>
</file>

<file path=xl/styles.xml><?xml version="1.0" encoding="utf-8"?>
<styleSheet xmlns="http://schemas.openxmlformats.org/spreadsheetml/2006/main">
  <numFmts count="3">
    <numFmt numFmtId="164" formatCode="_($* #,##0.00_);_($* (#,##0.00);_($* &quot;-&quot;??_);_(@_)"/>
    <numFmt numFmtId="165" formatCode="yyyy-mm-dd"/>
    <numFmt numFmtId="166" formatCode="0.0%"/>
  </numFmts>
  <fonts count="18">
    <font>
      <name val="Calibri"/>
      <family val="2"/>
      <color theme="1"/>
      <sz val="11"/>
      <scheme val="minor"/>
    </font>
    <font>
      <name val="Calibri"/>
      <b val="1"/>
      <color rgb="001E3A5F"/>
      <sz val="22"/>
    </font>
    <font>
      <name val="Calibri"/>
      <i val="1"/>
      <color rgb="00808080"/>
      <sz val="11"/>
    </font>
    <font>
      <name val="Calibri"/>
      <b val="1"/>
      <color rgb="001E3A5F"/>
      <sz val="12"/>
    </font>
    <font>
      <name val="Calibri"/>
      <sz val="11"/>
    </font>
    <font>
      <name val="Calibri"/>
      <i val="1"/>
      <color rgb="00808080"/>
      <sz val="10"/>
    </font>
    <font>
      <name val="Calibri"/>
      <b val="1"/>
      <color rgb="00FFFFFF"/>
      <sz val="11"/>
    </font>
    <font>
      <name val="Calibri"/>
      <b val="1"/>
      <sz val="11"/>
    </font>
    <font>
      <name val="Calibri"/>
      <b val="1"/>
      <color rgb="00006100"/>
      <sz val="11"/>
    </font>
    <font>
      <name val="Calibri"/>
      <b val="1"/>
      <color rgb="009C5700"/>
      <sz val="11"/>
    </font>
    <font>
      <name val="Calibri"/>
      <b val="1"/>
      <color rgb="008A4B00"/>
      <sz val="11"/>
    </font>
    <font>
      <name val="Calibri"/>
      <b val="1"/>
      <color rgb="009C0006"/>
      <sz val="11"/>
    </font>
    <font>
      <name val="Calibri"/>
      <b val="1"/>
      <color rgb="00FFFFFF"/>
      <sz val="14"/>
    </font>
    <font>
      <name val="Calibri"/>
      <b val="1"/>
      <color rgb="001E3A5F"/>
      <sz val="18"/>
    </font>
    <font>
      <name val="Calibri"/>
      <b val="1"/>
      <color rgb="00006100"/>
      <sz val="12"/>
    </font>
    <font>
      <name val="Calibri"/>
      <b val="1"/>
      <color rgb="009C5700"/>
      <sz val="12"/>
    </font>
    <font>
      <name val="Calibri"/>
      <b val="1"/>
      <color rgb="008A4B00"/>
      <sz val="12"/>
    </font>
    <font>
      <name val="Calibri"/>
      <b val="1"/>
      <color rgb="009C0006"/>
      <sz val="12"/>
    </font>
  </fonts>
  <fills count="8">
    <fill>
      <patternFill/>
    </fill>
    <fill>
      <patternFill patternType="gray125"/>
    </fill>
    <fill>
      <patternFill patternType="solid">
        <fgColor rgb="00D6E0EC"/>
      </patternFill>
    </fill>
    <fill>
      <patternFill patternType="solid">
        <fgColor rgb="001E3A5F"/>
      </patternFill>
    </fill>
    <fill>
      <patternFill patternType="solid">
        <fgColor rgb="00C6EFCE"/>
      </patternFill>
    </fill>
    <fill>
      <patternFill patternType="solid">
        <fgColor rgb="00FFEB9C"/>
      </patternFill>
    </fill>
    <fill>
      <patternFill patternType="solid">
        <fgColor rgb="00FFD8A8"/>
      </patternFill>
    </fill>
    <fill>
      <patternFill patternType="solid">
        <fgColor rgb="00FFC7CE"/>
      </patternFill>
    </fill>
  </fills>
  <borders count="6">
    <border>
      <left/>
      <right/>
      <top/>
      <bottom/>
      <diagonal/>
    </border>
    <border>
      <left style="thin">
        <color rgb="00B0B7BF"/>
      </left>
      <right style="thin">
        <color rgb="00B0B7BF"/>
      </right>
      <top style="thin">
        <color rgb="00B0B7BF"/>
      </top>
      <bottom style="thin">
        <color rgb="00B0B7BF"/>
      </bottom>
    </border>
    <border>
      <left/>
      <right/>
      <top style="thin">
        <color rgb="00B0B7BF"/>
      </top>
      <bottom/>
      <diagonal/>
    </border>
    <border>
      <left/>
      <right style="thin">
        <color rgb="00B0B7BF"/>
      </right>
      <top style="thin">
        <color rgb="00B0B7BF"/>
      </top>
      <bottom/>
      <diagonal/>
    </border>
    <border>
      <left/>
      <right/>
      <top style="thin">
        <color rgb="00B0B7BF"/>
      </top>
      <bottom style="thin">
        <color rgb="00B0B7BF"/>
      </bottom>
      <diagonal/>
    </border>
    <border>
      <left/>
      <right style="thin">
        <color rgb="00B0B7BF"/>
      </right>
      <top style="thin">
        <color rgb="00B0B7BF"/>
      </top>
      <bottom style="thin">
        <color rgb="00B0B7BF"/>
      </bottom>
      <diagonal/>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indent="1"/>
    </xf>
    <xf numFmtId="0" fontId="4" fillId="0" borderId="0" applyAlignment="1" pivotButton="0" quotePrefix="0" xfId="0">
      <alignment vertical="top" wrapText="1"/>
    </xf>
    <xf numFmtId="0" fontId="5" fillId="0" borderId="0" pivotButton="0" quotePrefix="0" xfId="0"/>
    <xf numFmtId="0" fontId="6" fillId="3" borderId="1" applyAlignment="1" pivotButton="0" quotePrefix="0" xfId="0">
      <alignment horizontal="center" vertical="center" wrapText="1"/>
    </xf>
    <xf numFmtId="0" fontId="2" fillId="0" borderId="1" applyAlignment="1" pivotButton="0" quotePrefix="0" xfId="0">
      <alignment vertical="center" wrapText="1"/>
    </xf>
    <xf numFmtId="164" fontId="2" fillId="0" borderId="1" applyAlignment="1" pivotButton="0" quotePrefix="0" xfId="0">
      <alignment vertical="center" wrapText="1"/>
    </xf>
    <xf numFmtId="0" fontId="0" fillId="0" borderId="1" pivotButton="0" quotePrefix="0" xfId="0"/>
    <xf numFmtId="164" fontId="0" fillId="0" borderId="1" pivotButton="0" quotePrefix="0" xfId="0"/>
    <xf numFmtId="49" fontId="0" fillId="0" borderId="1" applyAlignment="1" pivotButton="0" quotePrefix="0" xfId="0">
      <alignment vertical="center"/>
    </xf>
    <xf numFmtId="165" fontId="0" fillId="0" borderId="1" applyAlignment="1" pivotButton="0" quotePrefix="0" xfId="0">
      <alignment vertical="center"/>
    </xf>
    <xf numFmtId="0" fontId="0" fillId="0" borderId="1" applyAlignment="1" pivotButton="0" quotePrefix="0" xfId="0">
      <alignment vertical="center" wrapText="1"/>
    </xf>
    <xf numFmtId="164" fontId="0" fillId="0" borderId="1" applyAlignment="1" pivotButton="0" quotePrefix="0" xfId="0">
      <alignment vertical="center"/>
    </xf>
    <xf numFmtId="0" fontId="0" fillId="0" borderId="1" applyAlignment="1" pivotButton="0" quotePrefix="0" xfId="0">
      <alignment vertical="center"/>
    </xf>
    <xf numFmtId="1" fontId="0" fillId="0" borderId="1" applyAlignment="1" pivotButton="0" quotePrefix="0" xfId="0">
      <alignment vertical="center"/>
    </xf>
    <xf numFmtId="0" fontId="7" fillId="2" borderId="1" applyAlignment="1" pivotButton="0" quotePrefix="0" xfId="0">
      <alignment horizontal="right"/>
    </xf>
    <xf numFmtId="164" fontId="7" fillId="2" borderId="1" pivotButton="0" quotePrefix="0" xfId="0"/>
    <xf numFmtId="0" fontId="8" fillId="4" borderId="1" applyAlignment="1" pivotButton="0" quotePrefix="0" xfId="0">
      <alignment vertical="center" indent="1"/>
    </xf>
    <xf numFmtId="1" fontId="0" fillId="0" borderId="1" pivotButton="0" quotePrefix="0" xfId="0"/>
    <xf numFmtId="166" fontId="0" fillId="0" borderId="1" pivotButton="0" quotePrefix="0" xfId="0"/>
    <xf numFmtId="0" fontId="9" fillId="5" borderId="1" applyAlignment="1" pivotButton="0" quotePrefix="0" xfId="0">
      <alignment vertical="center" indent="1"/>
    </xf>
    <xf numFmtId="0" fontId="10" fillId="6" borderId="1" applyAlignment="1" pivotButton="0" quotePrefix="0" xfId="0">
      <alignment vertical="center" indent="1"/>
    </xf>
    <xf numFmtId="0" fontId="11" fillId="7" borderId="1" applyAlignment="1" pivotButton="0" quotePrefix="0" xfId="0">
      <alignment vertical="center" indent="1"/>
    </xf>
    <xf numFmtId="0" fontId="7" fillId="2" borderId="1" applyAlignment="1" pivotButton="0" quotePrefix="0" xfId="0">
      <alignment vertical="center" indent="1"/>
    </xf>
    <xf numFmtId="1" fontId="7" fillId="2" borderId="1" pivotButton="0" quotePrefix="0" xfId="0"/>
    <xf numFmtId="166" fontId="7" fillId="2" borderId="1" pivotButton="0" quotePrefix="0" xfId="0"/>
    <xf numFmtId="0" fontId="12" fillId="3" borderId="0" applyAlignment="1" pivotButton="0" quotePrefix="0" xfId="0">
      <alignment vertical="center" indent="1"/>
    </xf>
    <xf numFmtId="0" fontId="0" fillId="0" borderId="4" pivotButton="0" quotePrefix="0" xfId="0"/>
    <xf numFmtId="0" fontId="0" fillId="0" borderId="5" pivotButton="0" quotePrefix="0" xfId="0"/>
    <xf numFmtId="164" fontId="13" fillId="0" borderId="1" applyAlignment="1" pivotButton="0" quotePrefix="0" xfId="0">
      <alignment horizontal="right" vertical="center" indent="1"/>
    </xf>
    <xf numFmtId="1" fontId="13" fillId="0" borderId="1" applyAlignment="1" pivotButton="0" quotePrefix="0" xfId="0">
      <alignment horizontal="right" vertical="center" indent="1"/>
    </xf>
    <xf numFmtId="0" fontId="14" fillId="4" borderId="1" applyAlignment="1" pivotButton="0" quotePrefix="0" xfId="0">
      <alignment vertical="center" indent="1"/>
    </xf>
    <xf numFmtId="1" fontId="7" fillId="0" borderId="1" applyAlignment="1" pivotButton="0" quotePrefix="0" xfId="0">
      <alignment horizontal="center" vertical="center"/>
    </xf>
    <xf numFmtId="164" fontId="7" fillId="0" borderId="1" applyAlignment="1" pivotButton="0" quotePrefix="0" xfId="0">
      <alignment horizontal="right" vertical="center" indent="1"/>
    </xf>
    <xf numFmtId="166" fontId="7" fillId="0" borderId="1" applyAlignment="1" pivotButton="0" quotePrefix="0" xfId="0">
      <alignment horizontal="right" vertical="center" indent="1"/>
    </xf>
    <xf numFmtId="0" fontId="15" fillId="5" borderId="1" applyAlignment="1" pivotButton="0" quotePrefix="0" xfId="0">
      <alignment vertical="center" indent="1"/>
    </xf>
    <xf numFmtId="0" fontId="16" fillId="6" borderId="1" applyAlignment="1" pivotButton="0" quotePrefix="0" xfId="0">
      <alignment vertical="center" indent="1"/>
    </xf>
    <xf numFmtId="0" fontId="17" fillId="7" borderId="1" applyAlignment="1" pivotButton="0" quotePrefix="0" xfId="0">
      <alignment vertical="center" indent="1"/>
    </xf>
    <xf numFmtId="1" fontId="7" fillId="2" borderId="1" applyAlignment="1" pivotButton="0" quotePrefix="0" xfId="0">
      <alignment horizontal="center" vertical="center"/>
    </xf>
    <xf numFmtId="164" fontId="7" fillId="2" borderId="1" applyAlignment="1" pivotButton="0" quotePrefix="0" xfId="0">
      <alignment horizontal="right" vertical="center" indent="1"/>
    </xf>
    <xf numFmtId="166" fontId="7" fillId="2" borderId="1" applyAlignment="1" pivotButton="0" quotePrefix="0" xfId="0">
      <alignment horizontal="right" vertical="center" indent="1"/>
    </xf>
    <xf numFmtId="49" fontId="4" fillId="0" borderId="1" pivotButton="0" quotePrefix="0" xfId="0"/>
    <xf numFmtId="0" fontId="4" fillId="0" borderId="1" pivotButton="0" quotePrefix="0" xfId="0"/>
  </cellXfs>
  <cellStyles count="1">
    <cellStyle name="Normal" xfId="0" builtinId="0" hidden="0"/>
  </cellStyles>
  <dxfs count="7">
    <dxf>
      <font>
        <b val="1"/>
        <color rgb="00006100"/>
      </font>
      <fill>
        <patternFill patternType="solid">
          <fgColor rgb="00C6EFCE"/>
        </patternFill>
      </fill>
    </dxf>
    <dxf>
      <font>
        <b val="1"/>
        <color rgb="009C5700"/>
      </font>
      <fill>
        <patternFill patternType="solid">
          <fgColor rgb="00FFEB9C"/>
        </patternFill>
      </fill>
    </dxf>
    <dxf>
      <font>
        <b val="1"/>
        <color rgb="008A4B00"/>
      </font>
      <fill>
        <patternFill patternType="solid">
          <fgColor rgb="00FFD8A8"/>
        </patternFill>
      </fill>
    </dxf>
    <dxf>
      <font>
        <b val="1"/>
        <color rgb="009C0006"/>
      </font>
      <fill>
        <patternFill patternType="solid">
          <fgColor rgb="00FFC7CE"/>
        </patternFill>
      </fill>
    </dxf>
    <dxf>
      <font>
        <b val="1"/>
        <color rgb="009C0006"/>
        <sz val="18"/>
      </font>
      <fill>
        <patternFill patternType="solid">
          <fgColor rgb="00FFC7CE"/>
        </patternFill>
      </fill>
    </dxf>
    <dxf>
      <font>
        <b val="1"/>
        <color rgb="00006100"/>
        <sz val="18"/>
      </font>
      <fill>
        <patternFill patternType="solid">
          <fgColor rgb="00C6EFCE"/>
        </patternFill>
      </fill>
    </dxf>
    <dxf>
      <font>
        <b val="1"/>
        <color rgb="009C5700"/>
        <sz val="18"/>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67"/>
  <sheetViews>
    <sheetView showGridLines="0" workbookViewId="0">
      <selection activeCell="A1" sqref="A1"/>
    </sheetView>
  </sheetViews>
  <sheetFormatPr baseColWidth="8" defaultRowHeight="15"/>
  <cols>
    <col width="4" customWidth="1" min="1" max="1"/>
    <col width="110" customWidth="1" min="2" max="2"/>
  </cols>
  <sheetData>
    <row r="2" ht="32" customHeight="1">
      <c r="B2" s="1" t="inlineStr">
        <is>
          <t>ContrPro - Accounts Receivable (AR) Tracker</t>
        </is>
      </c>
    </row>
    <row r="3">
      <c r="B3" s="2" t="inlineStr">
        <is>
          <t>CSI MasterFormat-coded invoice tracker - who owes you what, how old it is, and when to start pulling on the line.</t>
        </is>
      </c>
    </row>
    <row r="5" ht="22" customHeight="1">
      <c r="B5" s="3" t="inlineStr">
        <is>
          <t>What this workbook is</t>
        </is>
      </c>
    </row>
    <row r="6" ht="48" customHeight="1">
      <c r="B6" s="4" t="inlineStr">
        <is>
          <t>Five visible tabs plus a hidden CSI Reference. Project Info pins the contract, Invoice Log is the main worksheet, Aging Summary buckets every dollar by how late it is, and Dashboard shows the headline numbers (Total Outstanding, DSO, retainage held).</t>
        </is>
      </c>
    </row>
    <row r="7" ht="32" customHeight="1">
      <c r="B7" s="4" t="inlineStr">
        <is>
          <t>Every invoice you cut goes in the Invoice Log. The aging math is automatic - you fill in dates and amounts, the workbook tells you who is current, who is 30 days late, and who is past 90 and burning.</t>
        </is>
      </c>
    </row>
    <row r="9" ht="22" customHeight="1">
      <c r="B9" s="3" t="inlineStr">
        <is>
          <t>Aging buckets - the cadence</t>
        </is>
      </c>
    </row>
    <row r="10" ht="18" customHeight="1">
      <c r="B10" s="4" t="inlineStr">
        <is>
          <t>Current   - not yet past due. Healthy. Do nothing.</t>
        </is>
      </c>
    </row>
    <row r="11" ht="18" customHeight="1">
      <c r="B11" s="4" t="inlineStr">
        <is>
          <t>1-30      - 1 to 30 days past due. Standard reminder call/email. Most owners pay in this window.</t>
        </is>
      </c>
    </row>
    <row r="12" ht="18" customHeight="1">
      <c r="B12" s="4" t="inlineStr">
        <is>
          <t>31-60     - 31 to 60 days past due. Escalate to the PM and copy the owner's accountant.</t>
        </is>
      </c>
    </row>
    <row r="13" ht="18" customHeight="1">
      <c r="B13" s="4" t="inlineStr">
        <is>
          <t>61-90     - 61 to 90 days past due. CFO-level conversation. Stop further work if contract allows.</t>
        </is>
      </c>
    </row>
    <row r="14" ht="18" customHeight="1">
      <c r="B14" s="4" t="inlineStr">
        <is>
          <t>91-120    - 91 to 120 days past due. Formal demand letter. Pre-lien notices in many states.</t>
        </is>
      </c>
    </row>
    <row r="15" ht="18" customHeight="1">
      <c r="B15" s="4" t="inlineStr">
        <is>
          <t>120+      - over 120 days. Mechanic's lien window or attorney referral. Statute clock is ticking.</t>
        </is>
      </c>
    </row>
    <row r="17" ht="22" customHeight="1">
      <c r="B17" s="3" t="inlineStr">
        <is>
          <t>Retainage vs base receivable - keep them separate</t>
        </is>
      </c>
    </row>
    <row r="18" ht="32" customHeight="1">
      <c r="B18" s="4" t="inlineStr">
        <is>
          <t>Base Amount is the dollar value of work performed this pay period. That is the number the owner owes you against this invoice on the due date.</t>
        </is>
      </c>
    </row>
    <row r="19" ht="32" customHeight="1">
      <c r="B19" s="4" t="inlineStr">
        <is>
          <t>Retainage Withheld is the percentage (usually 5-10%) the owner holds back per the contract. It is NOT past due until substantial completion - tracked separately so it does not pollute your aging.</t>
        </is>
      </c>
    </row>
    <row r="20" ht="32" customHeight="1">
      <c r="B20" s="4" t="inlineStr">
        <is>
          <t>Total Invoice = Base Amount. Retainage is logged for visibility only; it gets released at the end of the job via a separate retainage invoice.</t>
        </is>
      </c>
    </row>
    <row r="22" ht="22" customHeight="1">
      <c r="B22" s="3" t="inlineStr">
        <is>
          <t>Lien waiver workflow</t>
        </is>
      </c>
    </row>
    <row r="23" ht="32" customHeight="1">
      <c r="B23" s="4" t="inlineStr">
        <is>
          <t>Conditional lien waiver - issue WITH the invoice. Says 'I waive my lien rights conditional on receipt of payment.' This is what owners require to release the check.</t>
        </is>
      </c>
    </row>
    <row r="24" ht="32" customHeight="1">
      <c r="B24" s="4" t="inlineStr">
        <is>
          <t>Unconditional lien waiver - issue ONLY after the check has cleared. Says 'paid in full, lien rights waived.' Never issue unconditional before the funds settle - this is how contractors lose lien rights.</t>
        </is>
      </c>
    </row>
    <row r="25" ht="32" customHeight="1">
      <c r="B25" s="4" t="inlineStr">
        <is>
          <t>Lien Waiver Received? column tracks what waivers YOUR subs have given YOU. Yes = unconditional in hand. Conditional = conditional on file. No = open exposure. N/A = self-performed.</t>
        </is>
      </c>
    </row>
    <row r="27" ht="22" customHeight="1">
      <c r="B27" s="3" t="inlineStr">
        <is>
          <t>When to escalate</t>
        </is>
      </c>
    </row>
    <row r="28" ht="32" customHeight="1">
      <c r="B28" s="4" t="inlineStr">
        <is>
          <t>60+ days past due: stop and call. PM-to-PM conversation. Document the call in Notes with date and who you talked to. If the answer is 'next week,' put a follow-up on your calendar.</t>
        </is>
      </c>
    </row>
    <row r="29" ht="32" customHeight="1">
      <c r="B29" s="4" t="inlineStr">
        <is>
          <t>90+ days past due: written demand letter. Reference the contract pay terms, the invoice number, and the amount. Copy the owner principal, not just the PM.</t>
        </is>
      </c>
    </row>
    <row r="30" ht="48" customHeight="1">
      <c r="B30" s="4" t="inlineStr">
        <is>
          <t>120+ days past due: pre-lien notice if your state requires one (most do; window is typically 60-120 days from last work). Then mechanic's lien before the statute window closes (commonly 90 days from last work, but varies by state). This is attorney territory - do not freelance it.</t>
        </is>
      </c>
    </row>
    <row r="32" ht="22" customHeight="1">
      <c r="B32" s="3" t="inlineStr">
        <is>
          <t>Days Sales Outstanding (DSO)</t>
        </is>
      </c>
    </row>
    <row r="33" ht="32" customHeight="1">
      <c r="B33" s="4" t="inlineStr">
        <is>
          <t>DSO is the average number of days it takes you to collect after issuing an invoice. The Dashboard computes it as a dollar-weighted average across all outstanding invoices.</t>
        </is>
      </c>
    </row>
    <row r="34" ht="32" customHeight="1">
      <c r="B34" s="4" t="inlineStr">
        <is>
          <t>Construction industry benchmark: 60-75 days is normal for commercial GCs, 30-45 days is normal for residential. DSO above 90 means you're financing the project for the owner - margin killer.</t>
        </is>
      </c>
    </row>
    <row r="35" ht="32" customHeight="1">
      <c r="B35" s="4" t="inlineStr">
        <is>
          <t>Bring DSO down by: invoicing on day-1 of each cycle, issuing conditional waivers at submission, and calling on the 1st late day rather than the 30th.</t>
        </is>
      </c>
    </row>
    <row r="37" ht="22" customHeight="1">
      <c r="B37" s="3" t="inlineStr">
        <is>
          <t>Tab-by-tab quick start</t>
        </is>
      </c>
    </row>
    <row r="38" ht="18" customHeight="1">
      <c r="B38" s="4" t="inlineStr">
        <is>
          <t>1. Project Info - fill in Project Name, Number, Client, Contract Amount, PM, and notes on row 4.</t>
        </is>
      </c>
    </row>
    <row r="39" ht="48" customHeight="1">
      <c r="B39" s="4" t="inlineStr">
        <is>
          <t>2. Invoice Log - one row per invoice. Fill in Invoice Number, dates, customer, CSI Division (dropdown), CSI Code, description, Base Amount, Retainage Withheld, Date Due, Date Paid, Amount Paid. Outstanding, Days Outstanding, and Aging Bucket calculate automatically.</t>
        </is>
      </c>
    </row>
    <row r="40" ht="18" customHeight="1">
      <c r="B40" s="4" t="inlineStr">
        <is>
          <t>3. Aging Summary - DO NOT edit. Rolls up Invoice Log by bucket.</t>
        </is>
      </c>
    </row>
    <row r="41" ht="18" customHeight="1">
      <c r="B41" s="4" t="inlineStr">
        <is>
          <t>4. Dashboard - DO NOT edit. Read-only headline numbers and aging panel.</t>
        </is>
      </c>
    </row>
    <row r="43" ht="22" customHeight="1">
      <c r="B43" s="3" t="inlineStr">
        <is>
          <t>CSI coding rules (must follow)</t>
        </is>
      </c>
    </row>
    <row r="44" ht="18" customHeight="1">
      <c r="B44" s="4" t="inlineStr">
        <is>
          <t>CSI Division: 2-digit text (01-49). Pick from the dropdown - leading zeros preserved.</t>
        </is>
      </c>
    </row>
    <row r="45" ht="18" customHeight="1">
      <c r="B45" s="4" t="inlineStr">
        <is>
          <t>CSI Code: 6-digit space-separated, e.g. 23 30 00 for HVAC Air Distribution. Level 3 OK (23 31 13).</t>
        </is>
      </c>
    </row>
    <row r="46" ht="32" customHeight="1">
      <c r="B46" s="4" t="inlineStr">
        <is>
          <t>Division Name auto-fills from a VLOOKUP against CSI Reference. If it shows blank/error, your CSI Division value does not match the reference list - re-pick from the dropdown.</t>
        </is>
      </c>
    </row>
    <row r="48" ht="22" customHeight="1">
      <c r="B48" s="3" t="inlineStr">
        <is>
          <t>Color coding cheat sheet</t>
        </is>
      </c>
    </row>
    <row r="49" ht="18" customHeight="1">
      <c r="B49" s="4" t="inlineStr">
        <is>
          <t>Aging Bucket: green = Current/Paid, yellow = 1-30/31-60, orange = 61-90, red = 91-120 and 120+.</t>
        </is>
      </c>
    </row>
    <row r="50" ht="18" customHeight="1">
      <c r="B50" s="4" t="inlineStr">
        <is>
          <t>Outstanding: red fill when amount &gt; 0 AND aging is past 60 days - your collection priority queue.</t>
        </is>
      </c>
    </row>
    <row r="51" ht="18" customHeight="1">
      <c r="B51" s="4" t="inlineStr">
        <is>
          <t>Status: green = Paid, yellow = Sent/Partially Paid, red = Disputed/Written Off.</t>
        </is>
      </c>
    </row>
    <row r="53" ht="22" customHeight="1">
      <c r="B53" s="3" t="inlineStr">
        <is>
          <t>Weekly cadence</t>
        </is>
      </c>
    </row>
    <row r="54" ht="18" customHeight="1">
      <c r="B54" s="4" t="inlineStr">
        <is>
          <t>Monday morning: open Dashboard, sort Invoice Log by Days Outstanding desc, call/email anything 14+ days late.</t>
        </is>
      </c>
    </row>
    <row r="55" ht="18" customHeight="1">
      <c r="B55" s="4" t="inlineStr">
        <is>
          <t>Friday afternoon: log every invoice issued this week and every payment received. Reconcile against the bank.</t>
        </is>
      </c>
    </row>
    <row r="56" ht="18" customHeight="1">
      <c r="B56" s="4" t="inlineStr">
        <is>
          <t>End of month: tie the Total Outstanding figure to your accounting system AR aging report. They must match.</t>
        </is>
      </c>
    </row>
    <row r="58" ht="22" customHeight="1">
      <c r="B58" s="3" t="inlineStr">
        <is>
          <t>Tabs in this workbook</t>
        </is>
      </c>
    </row>
    <row r="59" ht="18" customHeight="1">
      <c r="B59" s="4" t="inlineStr">
        <is>
          <t>Instructions  -  this tab</t>
        </is>
      </c>
    </row>
    <row r="60" ht="18" customHeight="1">
      <c r="B60" s="4" t="inlineStr">
        <is>
          <t>Project Info  -  contract anchor</t>
        </is>
      </c>
    </row>
    <row r="61" ht="18" customHeight="1">
      <c r="B61" s="4" t="inlineStr">
        <is>
          <t>Invoice Log  -  CSI-coded invoice line items, the main worksheet</t>
        </is>
      </c>
    </row>
    <row r="62" ht="18" customHeight="1">
      <c r="B62" s="4" t="inlineStr">
        <is>
          <t>Aging Summary  -  SUMIFS roll-up by aging bucket</t>
        </is>
      </c>
    </row>
    <row r="63" ht="18" customHeight="1">
      <c r="B63" s="4" t="inlineStr">
        <is>
          <t>Dashboard  -  headline AR numbers, DSO, retainage, status counts</t>
        </is>
      </c>
    </row>
    <row r="64" ht="18" customHeight="1">
      <c r="B64" s="4" t="inlineStr">
        <is>
          <t>CSI Reference  -  canonical division list (hidden - do not edit)</t>
        </is>
      </c>
    </row>
    <row r="67">
      <c r="B67" s="5" t="inlineStr">
        <is>
          <t>ContrPro - built for builders. Questions: support@contrpro.com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0" workbookViewId="0">
      <pane ySplit="3" topLeftCell="A4" activePane="bottomLeft" state="frozen"/>
      <selection pane="bottomLeft" activeCell="A1" sqref="A1"/>
    </sheetView>
  </sheetViews>
  <sheetFormatPr baseColWidth="8" defaultRowHeight="15"/>
  <cols>
    <col width="30" customWidth="1" min="1" max="1"/>
    <col width="16" customWidth="1" min="2" max="2"/>
    <col width="28" customWidth="1" min="3" max="3"/>
    <col width="18" customWidth="1" min="4" max="4"/>
    <col width="22" customWidth="1" min="5" max="5"/>
    <col width="45" customWidth="1" min="6" max="6"/>
  </cols>
  <sheetData>
    <row r="1" ht="30" customHeight="1">
      <c r="A1" s="1" t="inlineStr">
        <is>
          <t>Project Information</t>
        </is>
      </c>
    </row>
    <row r="3" ht="32" customHeight="1">
      <c r="A3" s="6" t="inlineStr">
        <is>
          <t>Project Name</t>
        </is>
      </c>
      <c r="B3" s="6" t="inlineStr">
        <is>
          <t>Project Number</t>
        </is>
      </c>
      <c r="C3" s="6" t="inlineStr">
        <is>
          <t>Client</t>
        </is>
      </c>
      <c r="D3" s="6" t="inlineStr">
        <is>
          <t>Contract Amount</t>
        </is>
      </c>
      <c r="E3" s="6" t="inlineStr">
        <is>
          <t>Project Manager</t>
        </is>
      </c>
      <c r="F3" s="6" t="inlineStr">
        <is>
          <t>Notes</t>
        </is>
      </c>
    </row>
    <row r="4">
      <c r="A4" s="7" t="inlineStr">
        <is>
          <t>EXAMPLE - Riverside Office Bldg</t>
        </is>
      </c>
      <c r="B4" s="7" t="inlineStr">
        <is>
          <t>2026-014</t>
        </is>
      </c>
      <c r="C4" s="7" t="inlineStr">
        <is>
          <t>Riverside Holdings LLC</t>
        </is>
      </c>
      <c r="D4" s="8" t="n">
        <v>1850000</v>
      </c>
      <c r="E4" s="7" t="inlineStr">
        <is>
          <t>Sample PM</t>
        </is>
      </c>
      <c r="F4" s="7" t="inlineStr">
        <is>
          <t>Example row - replace with your project.</t>
        </is>
      </c>
    </row>
    <row r="5" ht="22" customHeight="1">
      <c r="A5" s="9" t="n"/>
      <c r="B5" s="9" t="n"/>
      <c r="C5" s="9" t="n"/>
      <c r="D5" s="10" t="n"/>
      <c r="E5" s="9" t="n"/>
      <c r="F5" s="9" t="n"/>
    </row>
    <row r="6" ht="22" customHeight="1">
      <c r="A6" s="9" t="n"/>
      <c r="B6" s="9" t="n"/>
      <c r="C6" s="9" t="n"/>
      <c r="D6" s="10" t="n"/>
      <c r="E6" s="9" t="n"/>
      <c r="F6" s="9" t="n"/>
    </row>
    <row r="7" ht="22" customHeight="1">
      <c r="A7" s="9" t="n"/>
      <c r="B7" s="9" t="n"/>
      <c r="C7" s="9" t="n"/>
      <c r="D7" s="10" t="n"/>
      <c r="E7" s="9" t="n"/>
      <c r="F7" s="9" t="n"/>
    </row>
    <row r="8" ht="22" customHeight="1">
      <c r="A8" s="9" t="n"/>
      <c r="B8" s="9" t="n"/>
      <c r="C8" s="9" t="n"/>
      <c r="D8" s="10" t="n"/>
      <c r="E8" s="9" t="n"/>
      <c r="F8" s="9" t="n"/>
    </row>
    <row r="9" ht="22" customHeight="1">
      <c r="A9" s="9" t="n"/>
      <c r="B9" s="9" t="n"/>
      <c r="C9" s="9" t="n"/>
      <c r="D9" s="10" t="n"/>
      <c r="E9" s="9" t="n"/>
      <c r="F9" s="9" t="n"/>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11" customWidth="1" min="4" max="4"/>
    <col width="12" customWidth="1" min="5" max="5"/>
    <col width="24" customWidth="1" min="6" max="6"/>
    <col width="36" customWidth="1" min="7" max="7"/>
    <col width="14" customWidth="1" min="8" max="8"/>
    <col width="14" customWidth="1" min="9" max="9"/>
    <col width="14" customWidth="1" min="10" max="10"/>
    <col width="12" customWidth="1" min="11" max="11"/>
    <col width="12" customWidth="1" min="12" max="12"/>
    <col width="14" customWidth="1" min="13" max="13"/>
    <col width="14" customWidth="1" min="14" max="14"/>
    <col width="12" customWidth="1" min="15" max="15"/>
    <col width="11" customWidth="1" min="16" max="16"/>
    <col width="16" customWidth="1" min="17" max="17"/>
    <col width="16" customWidth="1" min="18" max="18"/>
    <col width="32" customWidth="1" min="19" max="19"/>
  </cols>
  <sheetData>
    <row r="1" ht="28" customHeight="1">
      <c r="A1" s="1" t="inlineStr">
        <is>
          <t>Invoice Log (CSI MasterFormat)</t>
        </is>
      </c>
    </row>
    <row r="3" ht="32" customHeight="1">
      <c r="A3" s="6" t="inlineStr">
        <is>
          <t>Invoice Number</t>
        </is>
      </c>
      <c r="B3" s="6" t="inlineStr">
        <is>
          <t>Date Issued</t>
        </is>
      </c>
      <c r="C3" s="6" t="inlineStr">
        <is>
          <t>Customer / Job</t>
        </is>
      </c>
      <c r="D3" s="6" t="inlineStr">
        <is>
          <t>CSI Division</t>
        </is>
      </c>
      <c r="E3" s="6" t="inlineStr">
        <is>
          <t>CSI Code</t>
        </is>
      </c>
      <c r="F3" s="6" t="inlineStr">
        <is>
          <t>Division Name</t>
        </is>
      </c>
      <c r="G3" s="6" t="inlineStr">
        <is>
          <t>Description</t>
        </is>
      </c>
      <c r="H3" s="6" t="inlineStr">
        <is>
          <t>Base Amount</t>
        </is>
      </c>
      <c r="I3" s="6" t="inlineStr">
        <is>
          <t>Retainage Withheld</t>
        </is>
      </c>
      <c r="J3" s="6" t="inlineStr">
        <is>
          <t>Total Invoice</t>
        </is>
      </c>
      <c r="K3" s="6" t="inlineStr">
        <is>
          <t>Date Due</t>
        </is>
      </c>
      <c r="L3" s="6" t="inlineStr">
        <is>
          <t>Date Paid</t>
        </is>
      </c>
      <c r="M3" s="6" t="inlineStr">
        <is>
          <t>Amount Paid</t>
        </is>
      </c>
      <c r="N3" s="6" t="inlineStr">
        <is>
          <t>Outstanding</t>
        </is>
      </c>
      <c r="O3" s="6" t="inlineStr">
        <is>
          <t>Aging Bucket</t>
        </is>
      </c>
      <c r="P3" s="6" t="inlineStr">
        <is>
          <t>Days Outstanding</t>
        </is>
      </c>
      <c r="Q3" s="6" t="inlineStr">
        <is>
          <t>Lien Waiver Received?</t>
        </is>
      </c>
      <c r="R3" s="6" t="inlineStr">
        <is>
          <t>Status</t>
        </is>
      </c>
      <c r="S3" s="6" t="inlineStr">
        <is>
          <t>Notes</t>
        </is>
      </c>
    </row>
    <row r="4" ht="32" customHeight="1">
      <c r="A4" s="11" t="inlineStr">
        <is>
          <t>INV-1001</t>
        </is>
      </c>
      <c r="B4" s="12" t="inlineStr">
        <is>
          <t>2026-03-20</t>
        </is>
      </c>
      <c r="C4" s="13" t="inlineStr">
        <is>
          <t>Riverside Holdings LLC</t>
        </is>
      </c>
      <c r="D4" s="11" t="inlineStr">
        <is>
          <t>03</t>
        </is>
      </c>
      <c r="E4" s="11" t="inlineStr">
        <is>
          <t>03 30 00</t>
        </is>
      </c>
      <c r="F4" s="13">
        <f>IFERROR(VLOOKUP(D4,CSI_Table,2,FALSE),"")</f>
        <v/>
      </c>
      <c r="G4" s="13" t="inlineStr">
        <is>
          <t>Pay App #2 - Cast-in-place concrete, footings &amp; SOG.</t>
        </is>
      </c>
      <c r="H4" s="14" t="n">
        <v>48500</v>
      </c>
      <c r="I4" s="14" t="n">
        <v>2425</v>
      </c>
      <c r="J4" s="14">
        <f>IFERROR(H4,0)</f>
        <v/>
      </c>
      <c r="K4" s="12" t="inlineStr">
        <is>
          <t>2026-04-19</t>
        </is>
      </c>
      <c r="L4" s="12" t="inlineStr">
        <is>
          <t>2026-04-17</t>
        </is>
      </c>
      <c r="M4" s="14" t="n">
        <v>48500</v>
      </c>
      <c r="N4" s="14">
        <f>IFERROR(J4-IFERROR(M4,0),0)</f>
        <v/>
      </c>
      <c r="O4" s="15">
        <f>IF(AND(L4&lt;&gt;"",IFERROR(M4,0)&gt;=IFERROR(J4,0),IFERROR(J4,0)&gt;0),"Paid",IF(K4="","",IF(TODAY()-K4&lt;=0,"Current",IF(TODAY()-K4&lt;=30,"1-30",IF(TODAY()-K4&lt;=60,"31-60",IF(TODAY()-K4&lt;=90,"61-90",IF(TODAY()-K4&lt;=120,"91-120","120+")))))))</f>
        <v/>
      </c>
      <c r="P4" s="16">
        <f>IF(OR(K4="",IFERROR(N4,0)&lt;=0),"",MAX(0,TODAY()-K4))</f>
        <v/>
      </c>
      <c r="Q4" s="15" t="inlineStr">
        <is>
          <t>Yes</t>
        </is>
      </c>
      <c r="R4" s="15" t="inlineStr">
        <is>
          <t>Paid</t>
        </is>
      </c>
      <c r="S4" s="13" t="inlineStr">
        <is>
          <t>Paid in full. Unconditional lien waiver on file.</t>
        </is>
      </c>
    </row>
    <row r="5" ht="32" customHeight="1">
      <c r="A5" s="11" t="inlineStr">
        <is>
          <t>INV-1002</t>
        </is>
      </c>
      <c r="B5" s="12" t="inlineStr">
        <is>
          <t>2026-04-25</t>
        </is>
      </c>
      <c r="C5" s="13" t="inlineStr">
        <is>
          <t>Riverside Holdings LLC</t>
        </is>
      </c>
      <c r="D5" s="11" t="inlineStr">
        <is>
          <t>05</t>
        </is>
      </c>
      <c r="E5" s="11" t="inlineStr">
        <is>
          <t>05 12 00</t>
        </is>
      </c>
      <c r="F5" s="13">
        <f>IFERROR(VLOOKUP(D5,CSI_Table,2,FALSE),"")</f>
        <v/>
      </c>
      <c r="G5" s="13" t="inlineStr">
        <is>
          <t>Pay App #3 - Structural steel erection, Level 1-2.</t>
        </is>
      </c>
      <c r="H5" s="14" t="n">
        <v>62300</v>
      </c>
      <c r="I5" s="14" t="n">
        <v>3115</v>
      </c>
      <c r="J5" s="14">
        <f>IFERROR(H5,0)</f>
        <v/>
      </c>
      <c r="K5" s="12" t="inlineStr">
        <is>
          <t>2026-05-25</t>
        </is>
      </c>
      <c r="L5" s="12" t="n"/>
      <c r="M5" s="14" t="n">
        <v>0</v>
      </c>
      <c r="N5" s="14">
        <f>IFERROR(J5-IFERROR(M5,0),0)</f>
        <v/>
      </c>
      <c r="O5" s="15">
        <f>IF(AND(L5&lt;&gt;"",IFERROR(M5,0)&gt;=IFERROR(J5,0),IFERROR(J5,0)&gt;0),"Paid",IF(K5="","",IF(TODAY()-K5&lt;=0,"Current",IF(TODAY()-K5&lt;=30,"1-30",IF(TODAY()-K5&lt;=60,"31-60",IF(TODAY()-K5&lt;=90,"61-90",IF(TODAY()-K5&lt;=120,"91-120","120+")))))))</f>
        <v/>
      </c>
      <c r="P5" s="16">
        <f>IF(OR(K5="",IFERROR(N5,0)&lt;=0),"",MAX(0,TODAY()-K5))</f>
        <v/>
      </c>
      <c r="Q5" s="15" t="inlineStr">
        <is>
          <t>Conditional</t>
        </is>
      </c>
      <c r="R5" s="15" t="inlineStr">
        <is>
          <t>Sent</t>
        </is>
      </c>
      <c r="S5" s="13" t="inlineStr">
        <is>
          <t>Pay app submitted. Conditional waiver issued; final on receipt.</t>
        </is>
      </c>
    </row>
    <row r="6" ht="32" customHeight="1">
      <c r="A6" s="11" t="inlineStr">
        <is>
          <t>INV-1003</t>
        </is>
      </c>
      <c r="B6" s="12" t="inlineStr">
        <is>
          <t>2026-03-06</t>
        </is>
      </c>
      <c r="C6" s="13" t="inlineStr">
        <is>
          <t>Pinnacle Dev Corp</t>
        </is>
      </c>
      <c r="D6" s="11" t="inlineStr">
        <is>
          <t>23</t>
        </is>
      </c>
      <c r="E6" s="11" t="inlineStr">
        <is>
          <t>23 30 00</t>
        </is>
      </c>
      <c r="F6" s="13">
        <f>IFERROR(VLOOKUP(D6,CSI_Table,2,FALSE),"")</f>
        <v/>
      </c>
      <c r="G6" s="13" t="inlineStr">
        <is>
          <t>Pay App #1 - HVAC rough-in, Level 2 air distribution.</t>
        </is>
      </c>
      <c r="H6" s="14" t="n">
        <v>28750</v>
      </c>
      <c r="I6" s="14" t="n">
        <v>1437.5</v>
      </c>
      <c r="J6" s="14">
        <f>IFERROR(H6,0)</f>
        <v/>
      </c>
      <c r="K6" s="12" t="inlineStr">
        <is>
          <t>2026-04-05</t>
        </is>
      </c>
      <c r="L6" s="12" t="n"/>
      <c r="M6" s="14" t="n">
        <v>0</v>
      </c>
      <c r="N6" s="14">
        <f>IFERROR(J6-IFERROR(M6,0),0)</f>
        <v/>
      </c>
      <c r="O6" s="15">
        <f>IF(AND(L6&lt;&gt;"",IFERROR(M6,0)&gt;=IFERROR(J6,0),IFERROR(J6,0)&gt;0),"Paid",IF(K6="","",IF(TODAY()-K6&lt;=0,"Current",IF(TODAY()-K6&lt;=30,"1-30",IF(TODAY()-K6&lt;=60,"31-60",IF(TODAY()-K6&lt;=90,"61-90",IF(TODAY()-K6&lt;=120,"91-120","120+")))))))</f>
        <v/>
      </c>
      <c r="P6" s="16">
        <f>IF(OR(K6="",IFERROR(N6,0)&lt;=0),"",MAX(0,TODAY()-K6))</f>
        <v/>
      </c>
      <c r="Q6" s="15" t="inlineStr">
        <is>
          <t>No</t>
        </is>
      </c>
      <c r="R6" s="15" t="inlineStr">
        <is>
          <t>Partially Paid</t>
        </is>
      </c>
      <c r="S6" s="13" t="inlineStr">
        <is>
          <t>Owner remitted $15k against this invoice; $13,750 outstanding. Follow-up email sent 2026-04-22.</t>
        </is>
      </c>
    </row>
    <row r="7" ht="32" customHeight="1">
      <c r="A7" s="11" t="inlineStr">
        <is>
          <t>INV-1004</t>
        </is>
      </c>
      <c r="B7" s="12" t="inlineStr">
        <is>
          <t>2026-01-30</t>
        </is>
      </c>
      <c r="C7" s="13" t="inlineStr">
        <is>
          <t>Heartland Builders</t>
        </is>
      </c>
      <c r="D7" s="11" t="inlineStr">
        <is>
          <t>26</t>
        </is>
      </c>
      <c r="E7" s="11" t="inlineStr">
        <is>
          <t>26 50 00</t>
        </is>
      </c>
      <c r="F7" s="13">
        <f>IFERROR(VLOOKUP(D7,CSI_Table,2,FALSE),"")</f>
        <v/>
      </c>
      <c r="G7" s="13" t="inlineStr">
        <is>
          <t>Pay App #4 - Lighting fixtures &amp; emergency egress install.</t>
        </is>
      </c>
      <c r="H7" s="14" t="n">
        <v>19400</v>
      </c>
      <c r="I7" s="14" t="n">
        <v>970</v>
      </c>
      <c r="J7" s="14">
        <f>IFERROR(H7,0)</f>
        <v/>
      </c>
      <c r="K7" s="12" t="inlineStr">
        <is>
          <t>2026-03-01</t>
        </is>
      </c>
      <c r="L7" s="12" t="n"/>
      <c r="M7" s="14" t="n">
        <v>0</v>
      </c>
      <c r="N7" s="14">
        <f>IFERROR(J7-IFERROR(M7,0),0)</f>
        <v/>
      </c>
      <c r="O7" s="15">
        <f>IF(AND(L7&lt;&gt;"",IFERROR(M7,0)&gt;=IFERROR(J7,0),IFERROR(J7,0)&gt;0),"Paid",IF(K7="","",IF(TODAY()-K7&lt;=0,"Current",IF(TODAY()-K7&lt;=30,"1-30",IF(TODAY()-K7&lt;=60,"31-60",IF(TODAY()-K7&lt;=90,"61-90",IF(TODAY()-K7&lt;=120,"91-120","120+")))))))</f>
        <v/>
      </c>
      <c r="P7" s="16">
        <f>IF(OR(K7="",IFERROR(N7,0)&lt;=0),"",MAX(0,TODAY()-K7))</f>
        <v/>
      </c>
      <c r="Q7" s="15" t="inlineStr">
        <is>
          <t>No</t>
        </is>
      </c>
      <c r="R7" s="15" t="inlineStr">
        <is>
          <t>Disputed</t>
        </is>
      </c>
      <c r="S7" s="13" t="inlineStr">
        <is>
          <t>Owner disputes 6 fixture count. Demand letter draft prepared; escalate to attorney week of 5/19.</t>
        </is>
      </c>
    </row>
    <row r="8" ht="32" customHeight="1">
      <c r="A8" s="11" t="inlineStr">
        <is>
          <t>INV-1005</t>
        </is>
      </c>
      <c r="B8" s="12" t="inlineStr">
        <is>
          <t>2025-12-11</t>
        </is>
      </c>
      <c r="C8" s="13" t="inlineStr">
        <is>
          <t>Apex Industrial</t>
        </is>
      </c>
      <c r="D8" s="11" t="inlineStr">
        <is>
          <t>07</t>
        </is>
      </c>
      <c r="E8" s="11" t="inlineStr">
        <is>
          <t>07 50 00</t>
        </is>
      </c>
      <c r="F8" s="13">
        <f>IFERROR(VLOOKUP(D8,CSI_Table,2,FALSE),"")</f>
        <v/>
      </c>
      <c r="G8" s="13" t="inlineStr">
        <is>
          <t>Pay App #2 - Membrane roofing, 32 sq install.</t>
        </is>
      </c>
      <c r="H8" s="14" t="n">
        <v>14200</v>
      </c>
      <c r="I8" s="14" t="n">
        <v>0</v>
      </c>
      <c r="J8" s="14">
        <f>IFERROR(H8,0)</f>
        <v/>
      </c>
      <c r="K8" s="12" t="inlineStr">
        <is>
          <t>2026-01-10</t>
        </is>
      </c>
      <c r="L8" s="12" t="n"/>
      <c r="M8" s="14" t="n">
        <v>0</v>
      </c>
      <c r="N8" s="14">
        <f>IFERROR(J8-IFERROR(M8,0),0)</f>
        <v/>
      </c>
      <c r="O8" s="15">
        <f>IF(AND(L8&lt;&gt;"",IFERROR(M8,0)&gt;=IFERROR(J8,0),IFERROR(J8,0)&gt;0),"Paid",IF(K8="","",IF(TODAY()-K8&lt;=0,"Current",IF(TODAY()-K8&lt;=30,"1-30",IF(TODAY()-K8&lt;=60,"31-60",IF(TODAY()-K8&lt;=90,"61-90",IF(TODAY()-K8&lt;=120,"91-120","120+")))))))</f>
        <v/>
      </c>
      <c r="P8" s="16">
        <f>IF(OR(K8="",IFERROR(N8,0)&lt;=0),"",MAX(0,TODAY()-K8))</f>
        <v/>
      </c>
      <c r="Q8" s="15" t="inlineStr">
        <is>
          <t>No</t>
        </is>
      </c>
      <c r="R8" s="15" t="inlineStr">
        <is>
          <t>Disputed</t>
        </is>
      </c>
      <c r="S8" s="13" t="inlineStr">
        <is>
          <t>120+ days. Notice of intent to lien filed 2026-04-15. Lien deadline tracking - confirm state statute window.</t>
        </is>
      </c>
    </row>
    <row r="9" ht="32" customHeight="1">
      <c r="A9" s="11" t="n"/>
      <c r="B9" s="12" t="n"/>
      <c r="C9" s="13" t="n"/>
      <c r="D9" s="11" t="n"/>
      <c r="E9" s="11" t="n"/>
      <c r="F9" s="13">
        <f>IFERROR(VLOOKUP(D9,CSI_Table,2,FALSE),"")</f>
        <v/>
      </c>
      <c r="G9" s="13" t="n"/>
      <c r="H9" s="14" t="n"/>
      <c r="I9" s="14" t="n"/>
      <c r="J9" s="14">
        <f>IFERROR(H9,0)</f>
        <v/>
      </c>
      <c r="K9" s="12" t="n"/>
      <c r="L9" s="12" t="n"/>
      <c r="M9" s="14" t="n"/>
      <c r="N9" s="14">
        <f>IFERROR(J9-IFERROR(M9,0),0)</f>
        <v/>
      </c>
      <c r="O9" s="15">
        <f>IF(AND(L9&lt;&gt;"",IFERROR(M9,0)&gt;=IFERROR(J9,0),IFERROR(J9,0)&gt;0),"Paid",IF(K9="","",IF(TODAY()-K9&lt;=0,"Current",IF(TODAY()-K9&lt;=30,"1-30",IF(TODAY()-K9&lt;=60,"31-60",IF(TODAY()-K9&lt;=90,"61-90",IF(TODAY()-K9&lt;=120,"91-120","120+")))))))</f>
        <v/>
      </c>
      <c r="P9" s="16">
        <f>IF(OR(K9="",IFERROR(N9,0)&lt;=0),"",MAX(0,TODAY()-K9))</f>
        <v/>
      </c>
      <c r="Q9" s="15" t="n"/>
      <c r="R9" s="15" t="n"/>
      <c r="S9" s="13" t="n"/>
    </row>
    <row r="10" ht="32" customHeight="1">
      <c r="A10" s="11" t="n"/>
      <c r="B10" s="12" t="n"/>
      <c r="C10" s="13" t="n"/>
      <c r="D10" s="11" t="n"/>
      <c r="E10" s="11" t="n"/>
      <c r="F10" s="13">
        <f>IFERROR(VLOOKUP(D10,CSI_Table,2,FALSE),"")</f>
        <v/>
      </c>
      <c r="G10" s="13" t="n"/>
      <c r="H10" s="14" t="n"/>
      <c r="I10" s="14" t="n"/>
      <c r="J10" s="14">
        <f>IFERROR(H10,0)</f>
        <v/>
      </c>
      <c r="K10" s="12" t="n"/>
      <c r="L10" s="12" t="n"/>
      <c r="M10" s="14" t="n"/>
      <c r="N10" s="14">
        <f>IFERROR(J10-IFERROR(M10,0),0)</f>
        <v/>
      </c>
      <c r="O10" s="15">
        <f>IF(AND(L10&lt;&gt;"",IFERROR(M10,0)&gt;=IFERROR(J10,0),IFERROR(J10,0)&gt;0),"Paid",IF(K10="","",IF(TODAY()-K10&lt;=0,"Current",IF(TODAY()-K10&lt;=30,"1-30",IF(TODAY()-K10&lt;=60,"31-60",IF(TODAY()-K10&lt;=90,"61-90",IF(TODAY()-K10&lt;=120,"91-120","120+")))))))</f>
        <v/>
      </c>
      <c r="P10" s="16">
        <f>IF(OR(K10="",IFERROR(N10,0)&lt;=0),"",MAX(0,TODAY()-K10))</f>
        <v/>
      </c>
      <c r="Q10" s="15" t="n"/>
      <c r="R10" s="15" t="n"/>
      <c r="S10" s="13" t="n"/>
    </row>
    <row r="11" ht="32" customHeight="1">
      <c r="A11" s="11" t="n"/>
      <c r="B11" s="12" t="n"/>
      <c r="C11" s="13" t="n"/>
      <c r="D11" s="11" t="n"/>
      <c r="E11" s="11" t="n"/>
      <c r="F11" s="13">
        <f>IFERROR(VLOOKUP(D11,CSI_Table,2,FALSE),"")</f>
        <v/>
      </c>
      <c r="G11" s="13" t="n"/>
      <c r="H11" s="14" t="n"/>
      <c r="I11" s="14" t="n"/>
      <c r="J11" s="14">
        <f>IFERROR(H11,0)</f>
        <v/>
      </c>
      <c r="K11" s="12" t="n"/>
      <c r="L11" s="12" t="n"/>
      <c r="M11" s="14" t="n"/>
      <c r="N11" s="14">
        <f>IFERROR(J11-IFERROR(M11,0),0)</f>
        <v/>
      </c>
      <c r="O11" s="15">
        <f>IF(AND(L11&lt;&gt;"",IFERROR(M11,0)&gt;=IFERROR(J11,0),IFERROR(J11,0)&gt;0),"Paid",IF(K11="","",IF(TODAY()-K11&lt;=0,"Current",IF(TODAY()-K11&lt;=30,"1-30",IF(TODAY()-K11&lt;=60,"31-60",IF(TODAY()-K11&lt;=90,"61-90",IF(TODAY()-K11&lt;=120,"91-120","120+")))))))</f>
        <v/>
      </c>
      <c r="P11" s="16">
        <f>IF(OR(K11="",IFERROR(N11,0)&lt;=0),"",MAX(0,TODAY()-K11))</f>
        <v/>
      </c>
      <c r="Q11" s="15" t="n"/>
      <c r="R11" s="15" t="n"/>
      <c r="S11" s="13" t="n"/>
    </row>
    <row r="12" ht="32" customHeight="1">
      <c r="A12" s="11" t="n"/>
      <c r="B12" s="12" t="n"/>
      <c r="C12" s="13" t="n"/>
      <c r="D12" s="11" t="n"/>
      <c r="E12" s="11" t="n"/>
      <c r="F12" s="13">
        <f>IFERROR(VLOOKUP(D12,CSI_Table,2,FALSE),"")</f>
        <v/>
      </c>
      <c r="G12" s="13" t="n"/>
      <c r="H12" s="14" t="n"/>
      <c r="I12" s="14" t="n"/>
      <c r="J12" s="14">
        <f>IFERROR(H12,0)</f>
        <v/>
      </c>
      <c r="K12" s="12" t="n"/>
      <c r="L12" s="12" t="n"/>
      <c r="M12" s="14" t="n"/>
      <c r="N12" s="14">
        <f>IFERROR(J12-IFERROR(M12,0),0)</f>
        <v/>
      </c>
      <c r="O12" s="15">
        <f>IF(AND(L12&lt;&gt;"",IFERROR(M12,0)&gt;=IFERROR(J12,0),IFERROR(J12,0)&gt;0),"Paid",IF(K12="","",IF(TODAY()-K12&lt;=0,"Current",IF(TODAY()-K12&lt;=30,"1-30",IF(TODAY()-K12&lt;=60,"31-60",IF(TODAY()-K12&lt;=90,"61-90",IF(TODAY()-K12&lt;=120,"91-120","120+")))))))</f>
        <v/>
      </c>
      <c r="P12" s="16">
        <f>IF(OR(K12="",IFERROR(N12,0)&lt;=0),"",MAX(0,TODAY()-K12))</f>
        <v/>
      </c>
      <c r="Q12" s="15" t="n"/>
      <c r="R12" s="15" t="n"/>
      <c r="S12" s="13" t="n"/>
    </row>
    <row r="13" ht="32" customHeight="1">
      <c r="A13" s="11" t="n"/>
      <c r="B13" s="12" t="n"/>
      <c r="C13" s="13" t="n"/>
      <c r="D13" s="11" t="n"/>
      <c r="E13" s="11" t="n"/>
      <c r="F13" s="13">
        <f>IFERROR(VLOOKUP(D13,CSI_Table,2,FALSE),"")</f>
        <v/>
      </c>
      <c r="G13" s="13" t="n"/>
      <c r="H13" s="14" t="n"/>
      <c r="I13" s="14" t="n"/>
      <c r="J13" s="14">
        <f>IFERROR(H13,0)</f>
        <v/>
      </c>
      <c r="K13" s="12" t="n"/>
      <c r="L13" s="12" t="n"/>
      <c r="M13" s="14" t="n"/>
      <c r="N13" s="14">
        <f>IFERROR(J13-IFERROR(M13,0),0)</f>
        <v/>
      </c>
      <c r="O13" s="15">
        <f>IF(AND(L13&lt;&gt;"",IFERROR(M13,0)&gt;=IFERROR(J13,0),IFERROR(J13,0)&gt;0),"Paid",IF(K13="","",IF(TODAY()-K13&lt;=0,"Current",IF(TODAY()-K13&lt;=30,"1-30",IF(TODAY()-K13&lt;=60,"31-60",IF(TODAY()-K13&lt;=90,"61-90",IF(TODAY()-K13&lt;=120,"91-120","120+")))))))</f>
        <v/>
      </c>
      <c r="P13" s="16">
        <f>IF(OR(K13="",IFERROR(N13,0)&lt;=0),"",MAX(0,TODAY()-K13))</f>
        <v/>
      </c>
      <c r="Q13" s="15" t="n"/>
      <c r="R13" s="15" t="n"/>
      <c r="S13" s="13" t="n"/>
    </row>
    <row r="14" ht="32" customHeight="1">
      <c r="A14" s="11" t="n"/>
      <c r="B14" s="12" t="n"/>
      <c r="C14" s="13" t="n"/>
      <c r="D14" s="11" t="n"/>
      <c r="E14" s="11" t="n"/>
      <c r="F14" s="13">
        <f>IFERROR(VLOOKUP(D14,CSI_Table,2,FALSE),"")</f>
        <v/>
      </c>
      <c r="G14" s="13" t="n"/>
      <c r="H14" s="14" t="n"/>
      <c r="I14" s="14" t="n"/>
      <c r="J14" s="14">
        <f>IFERROR(H14,0)</f>
        <v/>
      </c>
      <c r="K14" s="12" t="n"/>
      <c r="L14" s="12" t="n"/>
      <c r="M14" s="14" t="n"/>
      <c r="N14" s="14">
        <f>IFERROR(J14-IFERROR(M14,0),0)</f>
        <v/>
      </c>
      <c r="O14" s="15">
        <f>IF(AND(L14&lt;&gt;"",IFERROR(M14,0)&gt;=IFERROR(J14,0),IFERROR(J14,0)&gt;0),"Paid",IF(K14="","",IF(TODAY()-K14&lt;=0,"Current",IF(TODAY()-K14&lt;=30,"1-30",IF(TODAY()-K14&lt;=60,"31-60",IF(TODAY()-K14&lt;=90,"61-90",IF(TODAY()-K14&lt;=120,"91-120","120+")))))))</f>
        <v/>
      </c>
      <c r="P14" s="16">
        <f>IF(OR(K14="",IFERROR(N14,0)&lt;=0),"",MAX(0,TODAY()-K14))</f>
        <v/>
      </c>
      <c r="Q14" s="15" t="n"/>
      <c r="R14" s="15" t="n"/>
      <c r="S14" s="13" t="n"/>
    </row>
    <row r="15" ht="32" customHeight="1">
      <c r="A15" s="11" t="n"/>
      <c r="B15" s="12" t="n"/>
      <c r="C15" s="13" t="n"/>
      <c r="D15" s="11" t="n"/>
      <c r="E15" s="11" t="n"/>
      <c r="F15" s="13">
        <f>IFERROR(VLOOKUP(D15,CSI_Table,2,FALSE),"")</f>
        <v/>
      </c>
      <c r="G15" s="13" t="n"/>
      <c r="H15" s="14" t="n"/>
      <c r="I15" s="14" t="n"/>
      <c r="J15" s="14">
        <f>IFERROR(H15,0)</f>
        <v/>
      </c>
      <c r="K15" s="12" t="n"/>
      <c r="L15" s="12" t="n"/>
      <c r="M15" s="14" t="n"/>
      <c r="N15" s="14">
        <f>IFERROR(J15-IFERROR(M15,0),0)</f>
        <v/>
      </c>
      <c r="O15" s="15">
        <f>IF(AND(L15&lt;&gt;"",IFERROR(M15,0)&gt;=IFERROR(J15,0),IFERROR(J15,0)&gt;0),"Paid",IF(K15="","",IF(TODAY()-K15&lt;=0,"Current",IF(TODAY()-K15&lt;=30,"1-30",IF(TODAY()-K15&lt;=60,"31-60",IF(TODAY()-K15&lt;=90,"61-90",IF(TODAY()-K15&lt;=120,"91-120","120+")))))))</f>
        <v/>
      </c>
      <c r="P15" s="16">
        <f>IF(OR(K15="",IFERROR(N15,0)&lt;=0),"",MAX(0,TODAY()-K15))</f>
        <v/>
      </c>
      <c r="Q15" s="15" t="n"/>
      <c r="R15" s="15" t="n"/>
      <c r="S15" s="13" t="n"/>
    </row>
    <row r="16" ht="32" customHeight="1">
      <c r="A16" s="11" t="n"/>
      <c r="B16" s="12" t="n"/>
      <c r="C16" s="13" t="n"/>
      <c r="D16" s="11" t="n"/>
      <c r="E16" s="11" t="n"/>
      <c r="F16" s="13">
        <f>IFERROR(VLOOKUP(D16,CSI_Table,2,FALSE),"")</f>
        <v/>
      </c>
      <c r="G16" s="13" t="n"/>
      <c r="H16" s="14" t="n"/>
      <c r="I16" s="14" t="n"/>
      <c r="J16" s="14">
        <f>IFERROR(H16,0)</f>
        <v/>
      </c>
      <c r="K16" s="12" t="n"/>
      <c r="L16" s="12" t="n"/>
      <c r="M16" s="14" t="n"/>
      <c r="N16" s="14">
        <f>IFERROR(J16-IFERROR(M16,0),0)</f>
        <v/>
      </c>
      <c r="O16" s="15">
        <f>IF(AND(L16&lt;&gt;"",IFERROR(M16,0)&gt;=IFERROR(J16,0),IFERROR(J16,0)&gt;0),"Paid",IF(K16="","",IF(TODAY()-K16&lt;=0,"Current",IF(TODAY()-K16&lt;=30,"1-30",IF(TODAY()-K16&lt;=60,"31-60",IF(TODAY()-K16&lt;=90,"61-90",IF(TODAY()-K16&lt;=120,"91-120","120+")))))))</f>
        <v/>
      </c>
      <c r="P16" s="16">
        <f>IF(OR(K16="",IFERROR(N16,0)&lt;=0),"",MAX(0,TODAY()-K16))</f>
        <v/>
      </c>
      <c r="Q16" s="15" t="n"/>
      <c r="R16" s="15" t="n"/>
      <c r="S16" s="13" t="n"/>
    </row>
    <row r="17" ht="32" customHeight="1">
      <c r="A17" s="11" t="n"/>
      <c r="B17" s="12" t="n"/>
      <c r="C17" s="13" t="n"/>
      <c r="D17" s="11" t="n"/>
      <c r="E17" s="11" t="n"/>
      <c r="F17" s="13">
        <f>IFERROR(VLOOKUP(D17,CSI_Table,2,FALSE),"")</f>
        <v/>
      </c>
      <c r="G17" s="13" t="n"/>
      <c r="H17" s="14" t="n"/>
      <c r="I17" s="14" t="n"/>
      <c r="J17" s="14">
        <f>IFERROR(H17,0)</f>
        <v/>
      </c>
      <c r="K17" s="12" t="n"/>
      <c r="L17" s="12" t="n"/>
      <c r="M17" s="14" t="n"/>
      <c r="N17" s="14">
        <f>IFERROR(J17-IFERROR(M17,0),0)</f>
        <v/>
      </c>
      <c r="O17" s="15">
        <f>IF(AND(L17&lt;&gt;"",IFERROR(M17,0)&gt;=IFERROR(J17,0),IFERROR(J17,0)&gt;0),"Paid",IF(K17="","",IF(TODAY()-K17&lt;=0,"Current",IF(TODAY()-K17&lt;=30,"1-30",IF(TODAY()-K17&lt;=60,"31-60",IF(TODAY()-K17&lt;=90,"61-90",IF(TODAY()-K17&lt;=120,"91-120","120+")))))))</f>
        <v/>
      </c>
      <c r="P17" s="16">
        <f>IF(OR(K17="",IFERROR(N17,0)&lt;=0),"",MAX(0,TODAY()-K17))</f>
        <v/>
      </c>
      <c r="Q17" s="15" t="n"/>
      <c r="R17" s="15" t="n"/>
      <c r="S17" s="13" t="n"/>
    </row>
    <row r="18" ht="32" customHeight="1">
      <c r="A18" s="11" t="n"/>
      <c r="B18" s="12" t="n"/>
      <c r="C18" s="13" t="n"/>
      <c r="D18" s="11" t="n"/>
      <c r="E18" s="11" t="n"/>
      <c r="F18" s="13">
        <f>IFERROR(VLOOKUP(D18,CSI_Table,2,FALSE),"")</f>
        <v/>
      </c>
      <c r="G18" s="13" t="n"/>
      <c r="H18" s="14" t="n"/>
      <c r="I18" s="14" t="n"/>
      <c r="J18" s="14">
        <f>IFERROR(H18,0)</f>
        <v/>
      </c>
      <c r="K18" s="12" t="n"/>
      <c r="L18" s="12" t="n"/>
      <c r="M18" s="14" t="n"/>
      <c r="N18" s="14">
        <f>IFERROR(J18-IFERROR(M18,0),0)</f>
        <v/>
      </c>
      <c r="O18" s="15">
        <f>IF(AND(L18&lt;&gt;"",IFERROR(M18,0)&gt;=IFERROR(J18,0),IFERROR(J18,0)&gt;0),"Paid",IF(K18="","",IF(TODAY()-K18&lt;=0,"Current",IF(TODAY()-K18&lt;=30,"1-30",IF(TODAY()-K18&lt;=60,"31-60",IF(TODAY()-K18&lt;=90,"61-90",IF(TODAY()-K18&lt;=120,"91-120","120+")))))))</f>
        <v/>
      </c>
      <c r="P18" s="16">
        <f>IF(OR(K18="",IFERROR(N18,0)&lt;=0),"",MAX(0,TODAY()-K18))</f>
        <v/>
      </c>
      <c r="Q18" s="15" t="n"/>
      <c r="R18" s="15" t="n"/>
      <c r="S18" s="13" t="n"/>
    </row>
    <row r="19" ht="32" customHeight="1">
      <c r="A19" s="11" t="n"/>
      <c r="B19" s="12" t="n"/>
      <c r="C19" s="13" t="n"/>
      <c r="D19" s="11" t="n"/>
      <c r="E19" s="11" t="n"/>
      <c r="F19" s="13">
        <f>IFERROR(VLOOKUP(D19,CSI_Table,2,FALSE),"")</f>
        <v/>
      </c>
      <c r="G19" s="13" t="n"/>
      <c r="H19" s="14" t="n"/>
      <c r="I19" s="14" t="n"/>
      <c r="J19" s="14">
        <f>IFERROR(H19,0)</f>
        <v/>
      </c>
      <c r="K19" s="12" t="n"/>
      <c r="L19" s="12" t="n"/>
      <c r="M19" s="14" t="n"/>
      <c r="N19" s="14">
        <f>IFERROR(J19-IFERROR(M19,0),0)</f>
        <v/>
      </c>
      <c r="O19" s="15">
        <f>IF(AND(L19&lt;&gt;"",IFERROR(M19,0)&gt;=IFERROR(J19,0),IFERROR(J19,0)&gt;0),"Paid",IF(K19="","",IF(TODAY()-K19&lt;=0,"Current",IF(TODAY()-K19&lt;=30,"1-30",IF(TODAY()-K19&lt;=60,"31-60",IF(TODAY()-K19&lt;=90,"61-90",IF(TODAY()-K19&lt;=120,"91-120","120+")))))))</f>
        <v/>
      </c>
      <c r="P19" s="16">
        <f>IF(OR(K19="",IFERROR(N19,0)&lt;=0),"",MAX(0,TODAY()-K19))</f>
        <v/>
      </c>
      <c r="Q19" s="15" t="n"/>
      <c r="R19" s="15" t="n"/>
      <c r="S19" s="13" t="n"/>
    </row>
    <row r="20" ht="32" customHeight="1">
      <c r="A20" s="11" t="n"/>
      <c r="B20" s="12" t="n"/>
      <c r="C20" s="13" t="n"/>
      <c r="D20" s="11" t="n"/>
      <c r="E20" s="11" t="n"/>
      <c r="F20" s="13">
        <f>IFERROR(VLOOKUP(D20,CSI_Table,2,FALSE),"")</f>
        <v/>
      </c>
      <c r="G20" s="13" t="n"/>
      <c r="H20" s="14" t="n"/>
      <c r="I20" s="14" t="n"/>
      <c r="J20" s="14">
        <f>IFERROR(H20,0)</f>
        <v/>
      </c>
      <c r="K20" s="12" t="n"/>
      <c r="L20" s="12" t="n"/>
      <c r="M20" s="14" t="n"/>
      <c r="N20" s="14">
        <f>IFERROR(J20-IFERROR(M20,0),0)</f>
        <v/>
      </c>
      <c r="O20" s="15">
        <f>IF(AND(L20&lt;&gt;"",IFERROR(M20,0)&gt;=IFERROR(J20,0),IFERROR(J20,0)&gt;0),"Paid",IF(K20="","",IF(TODAY()-K20&lt;=0,"Current",IF(TODAY()-K20&lt;=30,"1-30",IF(TODAY()-K20&lt;=60,"31-60",IF(TODAY()-K20&lt;=90,"61-90",IF(TODAY()-K20&lt;=120,"91-120","120+")))))))</f>
        <v/>
      </c>
      <c r="P20" s="16">
        <f>IF(OR(K20="",IFERROR(N20,0)&lt;=0),"",MAX(0,TODAY()-K20))</f>
        <v/>
      </c>
      <c r="Q20" s="15" t="n"/>
      <c r="R20" s="15" t="n"/>
      <c r="S20" s="13" t="n"/>
    </row>
    <row r="21" ht="32" customHeight="1">
      <c r="A21" s="11" t="n"/>
      <c r="B21" s="12" t="n"/>
      <c r="C21" s="13" t="n"/>
      <c r="D21" s="11" t="n"/>
      <c r="E21" s="11" t="n"/>
      <c r="F21" s="13">
        <f>IFERROR(VLOOKUP(D21,CSI_Table,2,FALSE),"")</f>
        <v/>
      </c>
      <c r="G21" s="13" t="n"/>
      <c r="H21" s="14" t="n"/>
      <c r="I21" s="14" t="n"/>
      <c r="J21" s="14">
        <f>IFERROR(H21,0)</f>
        <v/>
      </c>
      <c r="K21" s="12" t="n"/>
      <c r="L21" s="12" t="n"/>
      <c r="M21" s="14" t="n"/>
      <c r="N21" s="14">
        <f>IFERROR(J21-IFERROR(M21,0),0)</f>
        <v/>
      </c>
      <c r="O21" s="15">
        <f>IF(AND(L21&lt;&gt;"",IFERROR(M21,0)&gt;=IFERROR(J21,0),IFERROR(J21,0)&gt;0),"Paid",IF(K21="","",IF(TODAY()-K21&lt;=0,"Current",IF(TODAY()-K21&lt;=30,"1-30",IF(TODAY()-K21&lt;=60,"31-60",IF(TODAY()-K21&lt;=90,"61-90",IF(TODAY()-K21&lt;=120,"91-120","120+")))))))</f>
        <v/>
      </c>
      <c r="P21" s="16">
        <f>IF(OR(K21="",IFERROR(N21,0)&lt;=0),"",MAX(0,TODAY()-K21))</f>
        <v/>
      </c>
      <c r="Q21" s="15" t="n"/>
      <c r="R21" s="15" t="n"/>
      <c r="S21" s="13" t="n"/>
    </row>
    <row r="22" ht="32" customHeight="1">
      <c r="A22" s="11" t="n"/>
      <c r="B22" s="12" t="n"/>
      <c r="C22" s="13" t="n"/>
      <c r="D22" s="11" t="n"/>
      <c r="E22" s="11" t="n"/>
      <c r="F22" s="13">
        <f>IFERROR(VLOOKUP(D22,CSI_Table,2,FALSE),"")</f>
        <v/>
      </c>
      <c r="G22" s="13" t="n"/>
      <c r="H22" s="14" t="n"/>
      <c r="I22" s="14" t="n"/>
      <c r="J22" s="14">
        <f>IFERROR(H22,0)</f>
        <v/>
      </c>
      <c r="K22" s="12" t="n"/>
      <c r="L22" s="12" t="n"/>
      <c r="M22" s="14" t="n"/>
      <c r="N22" s="14">
        <f>IFERROR(J22-IFERROR(M22,0),0)</f>
        <v/>
      </c>
      <c r="O22" s="15">
        <f>IF(AND(L22&lt;&gt;"",IFERROR(M22,0)&gt;=IFERROR(J22,0),IFERROR(J22,0)&gt;0),"Paid",IF(K22="","",IF(TODAY()-K22&lt;=0,"Current",IF(TODAY()-K22&lt;=30,"1-30",IF(TODAY()-K22&lt;=60,"31-60",IF(TODAY()-K22&lt;=90,"61-90",IF(TODAY()-K22&lt;=120,"91-120","120+")))))))</f>
        <v/>
      </c>
      <c r="P22" s="16">
        <f>IF(OR(K22="",IFERROR(N22,0)&lt;=0),"",MAX(0,TODAY()-K22))</f>
        <v/>
      </c>
      <c r="Q22" s="15" t="n"/>
      <c r="R22" s="15" t="n"/>
      <c r="S22" s="13" t="n"/>
    </row>
    <row r="23" ht="32" customHeight="1">
      <c r="A23" s="11" t="n"/>
      <c r="B23" s="12" t="n"/>
      <c r="C23" s="13" t="n"/>
      <c r="D23" s="11" t="n"/>
      <c r="E23" s="11" t="n"/>
      <c r="F23" s="13">
        <f>IFERROR(VLOOKUP(D23,CSI_Table,2,FALSE),"")</f>
        <v/>
      </c>
      <c r="G23" s="13" t="n"/>
      <c r="H23" s="14" t="n"/>
      <c r="I23" s="14" t="n"/>
      <c r="J23" s="14">
        <f>IFERROR(H23,0)</f>
        <v/>
      </c>
      <c r="K23" s="12" t="n"/>
      <c r="L23" s="12" t="n"/>
      <c r="M23" s="14" t="n"/>
      <c r="N23" s="14">
        <f>IFERROR(J23-IFERROR(M23,0),0)</f>
        <v/>
      </c>
      <c r="O23" s="15">
        <f>IF(AND(L23&lt;&gt;"",IFERROR(M23,0)&gt;=IFERROR(J23,0),IFERROR(J23,0)&gt;0),"Paid",IF(K23="","",IF(TODAY()-K23&lt;=0,"Current",IF(TODAY()-K23&lt;=30,"1-30",IF(TODAY()-K23&lt;=60,"31-60",IF(TODAY()-K23&lt;=90,"61-90",IF(TODAY()-K23&lt;=120,"91-120","120+")))))))</f>
        <v/>
      </c>
      <c r="P23" s="16">
        <f>IF(OR(K23="",IFERROR(N23,0)&lt;=0),"",MAX(0,TODAY()-K23))</f>
        <v/>
      </c>
      <c r="Q23" s="15" t="n"/>
      <c r="R23" s="15" t="n"/>
      <c r="S23" s="13" t="n"/>
    </row>
    <row r="24" ht="32" customHeight="1">
      <c r="A24" s="11" t="n"/>
      <c r="B24" s="12" t="n"/>
      <c r="C24" s="13" t="n"/>
      <c r="D24" s="11" t="n"/>
      <c r="E24" s="11" t="n"/>
      <c r="F24" s="13">
        <f>IFERROR(VLOOKUP(D24,CSI_Table,2,FALSE),"")</f>
        <v/>
      </c>
      <c r="G24" s="13" t="n"/>
      <c r="H24" s="14" t="n"/>
      <c r="I24" s="14" t="n"/>
      <c r="J24" s="14">
        <f>IFERROR(H24,0)</f>
        <v/>
      </c>
      <c r="K24" s="12" t="n"/>
      <c r="L24" s="12" t="n"/>
      <c r="M24" s="14" t="n"/>
      <c r="N24" s="14">
        <f>IFERROR(J24-IFERROR(M24,0),0)</f>
        <v/>
      </c>
      <c r="O24" s="15">
        <f>IF(AND(L24&lt;&gt;"",IFERROR(M24,0)&gt;=IFERROR(J24,0),IFERROR(J24,0)&gt;0),"Paid",IF(K24="","",IF(TODAY()-K24&lt;=0,"Current",IF(TODAY()-K24&lt;=30,"1-30",IF(TODAY()-K24&lt;=60,"31-60",IF(TODAY()-K24&lt;=90,"61-90",IF(TODAY()-K24&lt;=120,"91-120","120+")))))))</f>
        <v/>
      </c>
      <c r="P24" s="16">
        <f>IF(OR(K24="",IFERROR(N24,0)&lt;=0),"",MAX(0,TODAY()-K24))</f>
        <v/>
      </c>
      <c r="Q24" s="15" t="n"/>
      <c r="R24" s="15" t="n"/>
      <c r="S24" s="13" t="n"/>
    </row>
    <row r="25" ht="32" customHeight="1">
      <c r="A25" s="11" t="n"/>
      <c r="B25" s="12" t="n"/>
      <c r="C25" s="13" t="n"/>
      <c r="D25" s="11" t="n"/>
      <c r="E25" s="11" t="n"/>
      <c r="F25" s="13">
        <f>IFERROR(VLOOKUP(D25,CSI_Table,2,FALSE),"")</f>
        <v/>
      </c>
      <c r="G25" s="13" t="n"/>
      <c r="H25" s="14" t="n"/>
      <c r="I25" s="14" t="n"/>
      <c r="J25" s="14">
        <f>IFERROR(H25,0)</f>
        <v/>
      </c>
      <c r="K25" s="12" t="n"/>
      <c r="L25" s="12" t="n"/>
      <c r="M25" s="14" t="n"/>
      <c r="N25" s="14">
        <f>IFERROR(J25-IFERROR(M25,0),0)</f>
        <v/>
      </c>
      <c r="O25" s="15">
        <f>IF(AND(L25&lt;&gt;"",IFERROR(M25,0)&gt;=IFERROR(J25,0),IFERROR(J25,0)&gt;0),"Paid",IF(K25="","",IF(TODAY()-K25&lt;=0,"Current",IF(TODAY()-K25&lt;=30,"1-30",IF(TODAY()-K25&lt;=60,"31-60",IF(TODAY()-K25&lt;=90,"61-90",IF(TODAY()-K25&lt;=120,"91-120","120+")))))))</f>
        <v/>
      </c>
      <c r="P25" s="16">
        <f>IF(OR(K25="",IFERROR(N25,0)&lt;=0),"",MAX(0,TODAY()-K25))</f>
        <v/>
      </c>
      <c r="Q25" s="15" t="n"/>
      <c r="R25" s="15" t="n"/>
      <c r="S25" s="13" t="n"/>
    </row>
    <row r="26" ht="32" customHeight="1">
      <c r="A26" s="11" t="n"/>
      <c r="B26" s="12" t="n"/>
      <c r="C26" s="13" t="n"/>
      <c r="D26" s="11" t="n"/>
      <c r="E26" s="11" t="n"/>
      <c r="F26" s="13">
        <f>IFERROR(VLOOKUP(D26,CSI_Table,2,FALSE),"")</f>
        <v/>
      </c>
      <c r="G26" s="13" t="n"/>
      <c r="H26" s="14" t="n"/>
      <c r="I26" s="14" t="n"/>
      <c r="J26" s="14">
        <f>IFERROR(H26,0)</f>
        <v/>
      </c>
      <c r="K26" s="12" t="n"/>
      <c r="L26" s="12" t="n"/>
      <c r="M26" s="14" t="n"/>
      <c r="N26" s="14">
        <f>IFERROR(J26-IFERROR(M26,0),0)</f>
        <v/>
      </c>
      <c r="O26" s="15">
        <f>IF(AND(L26&lt;&gt;"",IFERROR(M26,0)&gt;=IFERROR(J26,0),IFERROR(J26,0)&gt;0),"Paid",IF(K26="","",IF(TODAY()-K26&lt;=0,"Current",IF(TODAY()-K26&lt;=30,"1-30",IF(TODAY()-K26&lt;=60,"31-60",IF(TODAY()-K26&lt;=90,"61-90",IF(TODAY()-K26&lt;=120,"91-120","120+")))))))</f>
        <v/>
      </c>
      <c r="P26" s="16">
        <f>IF(OR(K26="",IFERROR(N26,0)&lt;=0),"",MAX(0,TODAY()-K26))</f>
        <v/>
      </c>
      <c r="Q26" s="15" t="n"/>
      <c r="R26" s="15" t="n"/>
      <c r="S26" s="13" t="n"/>
    </row>
    <row r="27" ht="32" customHeight="1">
      <c r="A27" s="11" t="n"/>
      <c r="B27" s="12" t="n"/>
      <c r="C27" s="13" t="n"/>
      <c r="D27" s="11" t="n"/>
      <c r="E27" s="11" t="n"/>
      <c r="F27" s="13">
        <f>IFERROR(VLOOKUP(D27,CSI_Table,2,FALSE),"")</f>
        <v/>
      </c>
      <c r="G27" s="13" t="n"/>
      <c r="H27" s="14" t="n"/>
      <c r="I27" s="14" t="n"/>
      <c r="J27" s="14">
        <f>IFERROR(H27,0)</f>
        <v/>
      </c>
      <c r="K27" s="12" t="n"/>
      <c r="L27" s="12" t="n"/>
      <c r="M27" s="14" t="n"/>
      <c r="N27" s="14">
        <f>IFERROR(J27-IFERROR(M27,0),0)</f>
        <v/>
      </c>
      <c r="O27" s="15">
        <f>IF(AND(L27&lt;&gt;"",IFERROR(M27,0)&gt;=IFERROR(J27,0),IFERROR(J27,0)&gt;0),"Paid",IF(K27="","",IF(TODAY()-K27&lt;=0,"Current",IF(TODAY()-K27&lt;=30,"1-30",IF(TODAY()-K27&lt;=60,"31-60",IF(TODAY()-K27&lt;=90,"61-90",IF(TODAY()-K27&lt;=120,"91-120","120+")))))))</f>
        <v/>
      </c>
      <c r="P27" s="16">
        <f>IF(OR(K27="",IFERROR(N27,0)&lt;=0),"",MAX(0,TODAY()-K27))</f>
        <v/>
      </c>
      <c r="Q27" s="15" t="n"/>
      <c r="R27" s="15" t="n"/>
      <c r="S27" s="13" t="n"/>
    </row>
    <row r="28" ht="32" customHeight="1">
      <c r="A28" s="11" t="n"/>
      <c r="B28" s="12" t="n"/>
      <c r="C28" s="13" t="n"/>
      <c r="D28" s="11" t="n"/>
      <c r="E28" s="11" t="n"/>
      <c r="F28" s="13">
        <f>IFERROR(VLOOKUP(D28,CSI_Table,2,FALSE),"")</f>
        <v/>
      </c>
      <c r="G28" s="13" t="n"/>
      <c r="H28" s="14" t="n"/>
      <c r="I28" s="14" t="n"/>
      <c r="J28" s="14">
        <f>IFERROR(H28,0)</f>
        <v/>
      </c>
      <c r="K28" s="12" t="n"/>
      <c r="L28" s="12" t="n"/>
      <c r="M28" s="14" t="n"/>
      <c r="N28" s="14">
        <f>IFERROR(J28-IFERROR(M28,0),0)</f>
        <v/>
      </c>
      <c r="O28" s="15">
        <f>IF(AND(L28&lt;&gt;"",IFERROR(M28,0)&gt;=IFERROR(J28,0),IFERROR(J28,0)&gt;0),"Paid",IF(K28="","",IF(TODAY()-K28&lt;=0,"Current",IF(TODAY()-K28&lt;=30,"1-30",IF(TODAY()-K28&lt;=60,"31-60",IF(TODAY()-K28&lt;=90,"61-90",IF(TODAY()-K28&lt;=120,"91-120","120+")))))))</f>
        <v/>
      </c>
      <c r="P28" s="16">
        <f>IF(OR(K28="",IFERROR(N28,0)&lt;=0),"",MAX(0,TODAY()-K28))</f>
        <v/>
      </c>
      <c r="Q28" s="15" t="n"/>
      <c r="R28" s="15" t="n"/>
      <c r="S28" s="13" t="n"/>
    </row>
    <row r="29" ht="32" customHeight="1">
      <c r="A29" s="11" t="n"/>
      <c r="B29" s="12" t="n"/>
      <c r="C29" s="13" t="n"/>
      <c r="D29" s="11" t="n"/>
      <c r="E29" s="11" t="n"/>
      <c r="F29" s="13">
        <f>IFERROR(VLOOKUP(D29,CSI_Table,2,FALSE),"")</f>
        <v/>
      </c>
      <c r="G29" s="13" t="n"/>
      <c r="H29" s="14" t="n"/>
      <c r="I29" s="14" t="n"/>
      <c r="J29" s="14">
        <f>IFERROR(H29,0)</f>
        <v/>
      </c>
      <c r="K29" s="12" t="n"/>
      <c r="L29" s="12" t="n"/>
      <c r="M29" s="14" t="n"/>
      <c r="N29" s="14">
        <f>IFERROR(J29-IFERROR(M29,0),0)</f>
        <v/>
      </c>
      <c r="O29" s="15">
        <f>IF(AND(L29&lt;&gt;"",IFERROR(M29,0)&gt;=IFERROR(J29,0),IFERROR(J29,0)&gt;0),"Paid",IF(K29="","",IF(TODAY()-K29&lt;=0,"Current",IF(TODAY()-K29&lt;=30,"1-30",IF(TODAY()-K29&lt;=60,"31-60",IF(TODAY()-K29&lt;=90,"61-90",IF(TODAY()-K29&lt;=120,"91-120","120+")))))))</f>
        <v/>
      </c>
      <c r="P29" s="16">
        <f>IF(OR(K29="",IFERROR(N29,0)&lt;=0),"",MAX(0,TODAY()-K29))</f>
        <v/>
      </c>
      <c r="Q29" s="15" t="n"/>
      <c r="R29" s="15" t="n"/>
      <c r="S29" s="13" t="n"/>
    </row>
    <row r="30" ht="32" customHeight="1">
      <c r="A30" s="11" t="n"/>
      <c r="B30" s="12" t="n"/>
      <c r="C30" s="13" t="n"/>
      <c r="D30" s="11" t="n"/>
      <c r="E30" s="11" t="n"/>
      <c r="F30" s="13">
        <f>IFERROR(VLOOKUP(D30,CSI_Table,2,FALSE),"")</f>
        <v/>
      </c>
      <c r="G30" s="13" t="n"/>
      <c r="H30" s="14" t="n"/>
      <c r="I30" s="14" t="n"/>
      <c r="J30" s="14">
        <f>IFERROR(H30,0)</f>
        <v/>
      </c>
      <c r="K30" s="12" t="n"/>
      <c r="L30" s="12" t="n"/>
      <c r="M30" s="14" t="n"/>
      <c r="N30" s="14">
        <f>IFERROR(J30-IFERROR(M30,0),0)</f>
        <v/>
      </c>
      <c r="O30" s="15">
        <f>IF(AND(L30&lt;&gt;"",IFERROR(M30,0)&gt;=IFERROR(J30,0),IFERROR(J30,0)&gt;0),"Paid",IF(K30="","",IF(TODAY()-K30&lt;=0,"Current",IF(TODAY()-K30&lt;=30,"1-30",IF(TODAY()-K30&lt;=60,"31-60",IF(TODAY()-K30&lt;=90,"61-90",IF(TODAY()-K30&lt;=120,"91-120","120+")))))))</f>
        <v/>
      </c>
      <c r="P30" s="16">
        <f>IF(OR(K30="",IFERROR(N30,0)&lt;=0),"",MAX(0,TODAY()-K30))</f>
        <v/>
      </c>
      <c r="Q30" s="15" t="n"/>
      <c r="R30" s="15" t="n"/>
      <c r="S30" s="13" t="n"/>
    </row>
    <row r="31" ht="32" customHeight="1">
      <c r="A31" s="11" t="n"/>
      <c r="B31" s="12" t="n"/>
      <c r="C31" s="13" t="n"/>
      <c r="D31" s="11" t="n"/>
      <c r="E31" s="11" t="n"/>
      <c r="F31" s="13">
        <f>IFERROR(VLOOKUP(D31,CSI_Table,2,FALSE),"")</f>
        <v/>
      </c>
      <c r="G31" s="13" t="n"/>
      <c r="H31" s="14" t="n"/>
      <c r="I31" s="14" t="n"/>
      <c r="J31" s="14">
        <f>IFERROR(H31,0)</f>
        <v/>
      </c>
      <c r="K31" s="12" t="n"/>
      <c r="L31" s="12" t="n"/>
      <c r="M31" s="14" t="n"/>
      <c r="N31" s="14">
        <f>IFERROR(J31-IFERROR(M31,0),0)</f>
        <v/>
      </c>
      <c r="O31" s="15">
        <f>IF(AND(L31&lt;&gt;"",IFERROR(M31,0)&gt;=IFERROR(J31,0),IFERROR(J31,0)&gt;0),"Paid",IF(K31="","",IF(TODAY()-K31&lt;=0,"Current",IF(TODAY()-K31&lt;=30,"1-30",IF(TODAY()-K31&lt;=60,"31-60",IF(TODAY()-K31&lt;=90,"61-90",IF(TODAY()-K31&lt;=120,"91-120","120+")))))))</f>
        <v/>
      </c>
      <c r="P31" s="16">
        <f>IF(OR(K31="",IFERROR(N31,0)&lt;=0),"",MAX(0,TODAY()-K31))</f>
        <v/>
      </c>
      <c r="Q31" s="15" t="n"/>
      <c r="R31" s="15" t="n"/>
      <c r="S31" s="13" t="n"/>
    </row>
    <row r="32" ht="32" customHeight="1">
      <c r="A32" s="11" t="n"/>
      <c r="B32" s="12" t="n"/>
      <c r="C32" s="13" t="n"/>
      <c r="D32" s="11" t="n"/>
      <c r="E32" s="11" t="n"/>
      <c r="F32" s="13">
        <f>IFERROR(VLOOKUP(D32,CSI_Table,2,FALSE),"")</f>
        <v/>
      </c>
      <c r="G32" s="13" t="n"/>
      <c r="H32" s="14" t="n"/>
      <c r="I32" s="14" t="n"/>
      <c r="J32" s="14">
        <f>IFERROR(H32,0)</f>
        <v/>
      </c>
      <c r="K32" s="12" t="n"/>
      <c r="L32" s="12" t="n"/>
      <c r="M32" s="14" t="n"/>
      <c r="N32" s="14">
        <f>IFERROR(J32-IFERROR(M32,0),0)</f>
        <v/>
      </c>
      <c r="O32" s="15">
        <f>IF(AND(L32&lt;&gt;"",IFERROR(M32,0)&gt;=IFERROR(J32,0),IFERROR(J32,0)&gt;0),"Paid",IF(K32="","",IF(TODAY()-K32&lt;=0,"Current",IF(TODAY()-K32&lt;=30,"1-30",IF(TODAY()-K32&lt;=60,"31-60",IF(TODAY()-K32&lt;=90,"61-90",IF(TODAY()-K32&lt;=120,"91-120","120+")))))))</f>
        <v/>
      </c>
      <c r="P32" s="16">
        <f>IF(OR(K32="",IFERROR(N32,0)&lt;=0),"",MAX(0,TODAY()-K32))</f>
        <v/>
      </c>
      <c r="Q32" s="15" t="n"/>
      <c r="R32" s="15" t="n"/>
      <c r="S32" s="13" t="n"/>
    </row>
    <row r="33" ht="32" customHeight="1">
      <c r="A33" s="11" t="n"/>
      <c r="B33" s="12" t="n"/>
      <c r="C33" s="13" t="n"/>
      <c r="D33" s="11" t="n"/>
      <c r="E33" s="11" t="n"/>
      <c r="F33" s="13">
        <f>IFERROR(VLOOKUP(D33,CSI_Table,2,FALSE),"")</f>
        <v/>
      </c>
      <c r="G33" s="13" t="n"/>
      <c r="H33" s="14" t="n"/>
      <c r="I33" s="14" t="n"/>
      <c r="J33" s="14">
        <f>IFERROR(H33,0)</f>
        <v/>
      </c>
      <c r="K33" s="12" t="n"/>
      <c r="L33" s="12" t="n"/>
      <c r="M33" s="14" t="n"/>
      <c r="N33" s="14">
        <f>IFERROR(J33-IFERROR(M33,0),0)</f>
        <v/>
      </c>
      <c r="O33" s="15">
        <f>IF(AND(L33&lt;&gt;"",IFERROR(M33,0)&gt;=IFERROR(J33,0),IFERROR(J33,0)&gt;0),"Paid",IF(K33="","",IF(TODAY()-K33&lt;=0,"Current",IF(TODAY()-K33&lt;=30,"1-30",IF(TODAY()-K33&lt;=60,"31-60",IF(TODAY()-K33&lt;=90,"61-90",IF(TODAY()-K33&lt;=120,"91-120","120+")))))))</f>
        <v/>
      </c>
      <c r="P33" s="16">
        <f>IF(OR(K33="",IFERROR(N33,0)&lt;=0),"",MAX(0,TODAY()-K33))</f>
        <v/>
      </c>
      <c r="Q33" s="15" t="n"/>
      <c r="R33" s="15" t="n"/>
      <c r="S33" s="13" t="n"/>
    </row>
    <row r="35">
      <c r="G35" s="17" t="inlineStr">
        <is>
          <t>TOTALS</t>
        </is>
      </c>
      <c r="H35" s="18">
        <f>SUM(H4:H33)</f>
        <v/>
      </c>
      <c r="I35" s="18">
        <f>SUM(I4:I33)</f>
        <v/>
      </c>
      <c r="J35" s="18">
        <f>SUM(J4:J33)</f>
        <v/>
      </c>
      <c r="M35" s="18">
        <f>SUM(M4:M33)</f>
        <v/>
      </c>
      <c r="N35" s="18">
        <f>SUM(N4:N33)</f>
        <v/>
      </c>
    </row>
  </sheetData>
  <mergeCells count="1">
    <mergeCell ref="A1:S1"/>
  </mergeCells>
  <conditionalFormatting sqref="O4:O33">
    <cfRule type="expression" priority="1" dxfId="0" stopIfTrue="0">
      <formula>OR($O4="Current",$O4="Paid")</formula>
    </cfRule>
    <cfRule type="expression" priority="2" dxfId="1" stopIfTrue="0">
      <formula>OR($O4="1-30",$O4="31-60")</formula>
    </cfRule>
    <cfRule type="expression" priority="3" dxfId="2" stopIfTrue="0">
      <formula>$O4="61-90"</formula>
    </cfRule>
    <cfRule type="expression" priority="4" dxfId="3" stopIfTrue="0">
      <formula>OR($O4="91-120",$O4="120+")</formula>
    </cfRule>
  </conditionalFormatting>
  <conditionalFormatting sqref="N4:N33">
    <cfRule type="expression" priority="5" dxfId="3" stopIfTrue="0">
      <formula>AND($N4&gt;0,OR($O4="61-90",$O4="91-120",$O4="120+"))</formula>
    </cfRule>
  </conditionalFormatting>
  <conditionalFormatting sqref="R4:R33">
    <cfRule type="expression" priority="6" dxfId="0" stopIfTrue="0">
      <formula>$R4="Paid"</formula>
    </cfRule>
    <cfRule type="expression" priority="7" dxfId="1" stopIfTrue="0">
      <formula>OR($R4="Sent",$R4="Partially Paid")</formula>
    </cfRule>
    <cfRule type="expression" priority="8" dxfId="3" stopIfTrue="0">
      <formula>OR($R4="Disputed",$R4="Written Off")</formula>
    </cfRule>
  </conditionalFormatting>
  <dataValidations count="3">
    <dataValidation sqref="D4:D33" showDropDown="0" showInputMessage="0" showErrorMessage="0" allowBlank="1" errorTitle="Invalid CSI Division" error="Pick a CSI Division from the dropdown." type="list">
      <formula1>=CSI_Divisions</formula1>
    </dataValidation>
    <dataValidation sqref="R4:R33" showDropDown="0" showInputMessage="0" showErrorMessage="0" allowBlank="1" errorTitle="Invalid status" error="Pick a status from the dropdown." type="list">
      <formula1>"Sent,Partially Paid,Paid,Disputed,Written Off"</formula1>
    </dataValidation>
    <dataValidation sqref="Q4:Q33" showDropDown="0" showInputMessage="0" showErrorMessage="0" allowBlank="1" errorTitle="Invalid lien waiver" error="Pick from the dropdown." type="list">
      <formula1>"Yes,No,Conditional,N/A"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showGridLines="0" workbookViewId="0">
      <pane ySplit="3" topLeftCell="A4" activePane="bottomLeft" state="frozen"/>
      <selection pane="bottomLeft" activeCell="A1" sqref="A1"/>
    </sheetView>
  </sheetViews>
  <sheetFormatPr baseColWidth="8" defaultRowHeight="15"/>
  <cols>
    <col width="18" customWidth="1" min="1" max="1"/>
    <col width="12" customWidth="1" min="2" max="2"/>
    <col width="22" customWidth="1" min="3" max="3"/>
    <col width="14" customWidth="1" min="4" max="4"/>
  </cols>
  <sheetData>
    <row r="1" ht="28" customHeight="1">
      <c r="A1" s="1" t="inlineStr">
        <is>
          <t>AR Aging Summary (auto roll-up)</t>
        </is>
      </c>
    </row>
    <row r="2">
      <c r="A2" s="5" t="inlineStr">
        <is>
          <t>Reads from Invoice Log via COUNTIF / SUMIFS - do not edit this tab directly. One row per aging bucket.</t>
        </is>
      </c>
    </row>
    <row r="3" ht="24" customHeight="1">
      <c r="A3" s="6" t="inlineStr">
        <is>
          <t>Aging Bucket</t>
        </is>
      </c>
      <c r="B3" s="6" t="inlineStr">
        <is>
          <t>Count</t>
        </is>
      </c>
      <c r="C3" s="6" t="inlineStr">
        <is>
          <t>Total Outstanding</t>
        </is>
      </c>
      <c r="D3" s="6" t="inlineStr">
        <is>
          <t>% of Total</t>
        </is>
      </c>
    </row>
    <row r="4" ht="24" customHeight="1">
      <c r="A4" s="19" t="inlineStr">
        <is>
          <t>Current</t>
        </is>
      </c>
      <c r="B4" s="20">
        <f>COUNTIF('Invoice Log'!$O$4:$O$33,A4)</f>
        <v/>
      </c>
      <c r="C4" s="10">
        <f>SUMIFS('Invoice Log'!$N$4:$N$33,'Invoice Log'!$O$4:$O$33,A4)</f>
        <v/>
      </c>
      <c r="D4" s="21">
        <f>IFERROR(C4/$C$10,0)</f>
        <v/>
      </c>
    </row>
    <row r="5" ht="24" customHeight="1">
      <c r="A5" s="22" t="inlineStr">
        <is>
          <t>1-30</t>
        </is>
      </c>
      <c r="B5" s="20">
        <f>COUNTIF('Invoice Log'!$O$4:$O$33,A5)</f>
        <v/>
      </c>
      <c r="C5" s="10">
        <f>SUMIFS('Invoice Log'!$N$4:$N$33,'Invoice Log'!$O$4:$O$33,A5)</f>
        <v/>
      </c>
      <c r="D5" s="21">
        <f>IFERROR(C5/$C$10,0)</f>
        <v/>
      </c>
    </row>
    <row r="6" ht="24" customHeight="1">
      <c r="A6" s="22" t="inlineStr">
        <is>
          <t>31-60</t>
        </is>
      </c>
      <c r="B6" s="20">
        <f>COUNTIF('Invoice Log'!$O$4:$O$33,A6)</f>
        <v/>
      </c>
      <c r="C6" s="10">
        <f>SUMIFS('Invoice Log'!$N$4:$N$33,'Invoice Log'!$O$4:$O$33,A6)</f>
        <v/>
      </c>
      <c r="D6" s="21">
        <f>IFERROR(C6/$C$10,0)</f>
        <v/>
      </c>
    </row>
    <row r="7" ht="24" customHeight="1">
      <c r="A7" s="23" t="inlineStr">
        <is>
          <t>61-90</t>
        </is>
      </c>
      <c r="B7" s="20">
        <f>COUNTIF('Invoice Log'!$O$4:$O$33,A7)</f>
        <v/>
      </c>
      <c r="C7" s="10">
        <f>SUMIFS('Invoice Log'!$N$4:$N$33,'Invoice Log'!$O$4:$O$33,A7)</f>
        <v/>
      </c>
      <c r="D7" s="21">
        <f>IFERROR(C7/$C$10,0)</f>
        <v/>
      </c>
    </row>
    <row r="8" ht="24" customHeight="1">
      <c r="A8" s="24" t="inlineStr">
        <is>
          <t>91-120</t>
        </is>
      </c>
      <c r="B8" s="20">
        <f>COUNTIF('Invoice Log'!$O$4:$O$33,A8)</f>
        <v/>
      </c>
      <c r="C8" s="10">
        <f>SUMIFS('Invoice Log'!$N$4:$N$33,'Invoice Log'!$O$4:$O$33,A8)</f>
        <v/>
      </c>
      <c r="D8" s="21">
        <f>IFERROR(C8/$C$10,0)</f>
        <v/>
      </c>
    </row>
    <row r="9" ht="24" customHeight="1">
      <c r="A9" s="24" t="inlineStr">
        <is>
          <t>120+</t>
        </is>
      </c>
      <c r="B9" s="20">
        <f>COUNTIF('Invoice Log'!$O$4:$O$33,A9)</f>
        <v/>
      </c>
      <c r="C9" s="10">
        <f>SUMIFS('Invoice Log'!$N$4:$N$33,'Invoice Log'!$O$4:$O$33,A9)</f>
        <v/>
      </c>
      <c r="D9" s="21">
        <f>IFERROR(C9/$C$10,0)</f>
        <v/>
      </c>
    </row>
    <row r="10" ht="24" customHeight="1">
      <c r="A10" s="25" t="inlineStr">
        <is>
          <t>TOTAL OUTSTANDING</t>
        </is>
      </c>
      <c r="B10" s="26">
        <f>SUM(B4:B9)</f>
        <v/>
      </c>
      <c r="C10" s="18">
        <f>SUM(C4:C9)</f>
        <v/>
      </c>
      <c r="D10" s="27">
        <f>1</f>
        <v/>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22" customWidth="1" min="1" max="1"/>
    <col width="12" customWidth="1" min="2" max="2"/>
    <col width="14" customWidth="1" min="3" max="3"/>
    <col width="18" customWidth="1" min="4" max="4"/>
    <col width="14" customWidth="1" min="5" max="5"/>
    <col width="10" customWidth="1" min="6" max="6"/>
  </cols>
  <sheetData>
    <row r="1" ht="32" customHeight="1">
      <c r="A1" s="1" t="inlineStr">
        <is>
          <t>Accounts Receivable Dashboard</t>
        </is>
      </c>
    </row>
    <row r="2">
      <c r="A2" s="5" t="inlineStr">
        <is>
          <t>Auto-calculated from Project Info and Invoice Log. Update those tabs - this one stays in sync.</t>
        </is>
      </c>
    </row>
    <row r="4" ht="26" customHeight="1">
      <c r="A4" s="28" t="inlineStr">
        <is>
          <t>AR Headline</t>
        </is>
      </c>
    </row>
    <row r="5" ht="28" customHeight="1">
      <c r="A5" s="25" t="inlineStr">
        <is>
          <t>Total Invoiced</t>
        </is>
      </c>
      <c r="B5" s="29" t="n"/>
      <c r="C5" s="30" t="n"/>
      <c r="D5" s="31">
        <f>SUM('Invoice Log'!$J$4:$J$33)</f>
        <v/>
      </c>
      <c r="E5" s="29" t="n"/>
      <c r="F5" s="30" t="n"/>
    </row>
    <row r="6" ht="28" customHeight="1">
      <c r="A6" s="25" t="inlineStr">
        <is>
          <t>Total Paid</t>
        </is>
      </c>
      <c r="B6" s="29" t="n"/>
      <c r="C6" s="30" t="n"/>
      <c r="D6" s="31">
        <f>SUM('Invoice Log'!$M$4:$M$33)</f>
        <v/>
      </c>
      <c r="E6" s="29" t="n"/>
      <c r="F6" s="30" t="n"/>
    </row>
    <row r="7" ht="28" customHeight="1">
      <c r="A7" s="25" t="inlineStr">
        <is>
          <t>Total Outstanding</t>
        </is>
      </c>
      <c r="B7" s="29" t="n"/>
      <c r="C7" s="30" t="n"/>
      <c r="D7" s="31">
        <f>SUM('Invoice Log'!$N$4:$N$33)</f>
        <v/>
      </c>
      <c r="E7" s="29" t="n"/>
      <c r="F7" s="30" t="n"/>
    </row>
    <row r="8" ht="28" customHeight="1">
      <c r="A8" s="25" t="inlineStr">
        <is>
          <t>Total Retainage Held</t>
        </is>
      </c>
      <c r="B8" s="29" t="n"/>
      <c r="C8" s="30" t="n"/>
      <c r="D8" s="31">
        <f>SUM('Invoice Log'!$I$4:$I$33)</f>
        <v/>
      </c>
      <c r="E8" s="29" t="n"/>
      <c r="F8" s="30" t="n"/>
    </row>
    <row r="9" ht="28" customHeight="1">
      <c r="A9" s="25" t="inlineStr">
        <is>
          <t>Days Sales Outstanding (DSO)</t>
        </is>
      </c>
      <c r="B9" s="29" t="n"/>
      <c r="C9" s="30" t="n"/>
      <c r="D9" s="32">
        <f>IFERROR(SUMPRODUCT('Invoice Log'!$N$4:$N$33,IFERROR('Invoice Log'!$P$4:$P$33+0,0))/SUM('Invoice Log'!$N$4:$N$33),0)</f>
        <v/>
      </c>
      <c r="E9" s="29" t="n"/>
      <c r="F9" s="30" t="n"/>
    </row>
    <row r="12" ht="26" customHeight="1">
      <c r="A12" s="28" t="inlineStr">
        <is>
          <t>Aging Breakdown</t>
        </is>
      </c>
    </row>
    <row r="13" ht="32" customHeight="1">
      <c r="A13" s="6" t="inlineStr">
        <is>
          <t>Aging Bucket</t>
        </is>
      </c>
      <c r="B13" s="6" t="inlineStr">
        <is>
          <t>Count</t>
        </is>
      </c>
      <c r="C13" s="6" t="inlineStr">
        <is>
          <t>Outstanding</t>
        </is>
      </c>
      <c r="D13" s="30" t="n"/>
    </row>
    <row r="14" ht="22" customHeight="1">
      <c r="A14" s="33" t="inlineStr">
        <is>
          <t>Current</t>
        </is>
      </c>
      <c r="B14" s="30" t="n"/>
      <c r="C14" s="34">
        <f>COUNTIF('Invoice Log'!$O$4:$O$33,"Current")</f>
        <v/>
      </c>
      <c r="D14" s="35">
        <f>SUMIFS('Invoice Log'!$N$4:$N$33,'Invoice Log'!$O$4:$O$33,"Current")</f>
        <v/>
      </c>
      <c r="E14" s="36">
        <f>IFERROR(SUMIFS('Invoice Log'!$N$4:$N$33,'Invoice Log'!$O$4:$O$33,"Current")/SUM('Invoice Log'!$N$4:$N$33),0)</f>
        <v/>
      </c>
      <c r="F14" s="30" t="n"/>
    </row>
    <row r="15" ht="22" customHeight="1">
      <c r="A15" s="37" t="inlineStr">
        <is>
          <t>1-30</t>
        </is>
      </c>
      <c r="B15" s="30" t="n"/>
      <c r="C15" s="34">
        <f>COUNTIF('Invoice Log'!$O$4:$O$33,"1-30")</f>
        <v/>
      </c>
      <c r="D15" s="35">
        <f>SUMIFS('Invoice Log'!$N$4:$N$33,'Invoice Log'!$O$4:$O$33,"1-30")</f>
        <v/>
      </c>
      <c r="E15" s="36">
        <f>IFERROR(SUMIFS('Invoice Log'!$N$4:$N$33,'Invoice Log'!$O$4:$O$33,"1-30")/SUM('Invoice Log'!$N$4:$N$33),0)</f>
        <v/>
      </c>
      <c r="F15" s="30" t="n"/>
    </row>
    <row r="16" ht="22" customHeight="1">
      <c r="A16" s="37" t="inlineStr">
        <is>
          <t>31-60</t>
        </is>
      </c>
      <c r="B16" s="30" t="n"/>
      <c r="C16" s="34">
        <f>COUNTIF('Invoice Log'!$O$4:$O$33,"31-60")</f>
        <v/>
      </c>
      <c r="D16" s="35">
        <f>SUMIFS('Invoice Log'!$N$4:$N$33,'Invoice Log'!$O$4:$O$33,"31-60")</f>
        <v/>
      </c>
      <c r="E16" s="36">
        <f>IFERROR(SUMIFS('Invoice Log'!$N$4:$N$33,'Invoice Log'!$O$4:$O$33,"31-60")/SUM('Invoice Log'!$N$4:$N$33),0)</f>
        <v/>
      </c>
      <c r="F16" s="30" t="n"/>
    </row>
    <row r="17" ht="22" customHeight="1">
      <c r="A17" s="38" t="inlineStr">
        <is>
          <t>61-90</t>
        </is>
      </c>
      <c r="B17" s="30" t="n"/>
      <c r="C17" s="34">
        <f>COUNTIF('Invoice Log'!$O$4:$O$33,"61-90")</f>
        <v/>
      </c>
      <c r="D17" s="35">
        <f>SUMIFS('Invoice Log'!$N$4:$N$33,'Invoice Log'!$O$4:$O$33,"61-90")</f>
        <v/>
      </c>
      <c r="E17" s="36">
        <f>IFERROR(SUMIFS('Invoice Log'!$N$4:$N$33,'Invoice Log'!$O$4:$O$33,"61-90")/SUM('Invoice Log'!$N$4:$N$33),0)</f>
        <v/>
      </c>
      <c r="F17" s="30" t="n"/>
    </row>
    <row r="18" ht="22" customHeight="1">
      <c r="A18" s="39" t="inlineStr">
        <is>
          <t>91-120</t>
        </is>
      </c>
      <c r="B18" s="30" t="n"/>
      <c r="C18" s="34">
        <f>COUNTIF('Invoice Log'!$O$4:$O$33,"91-120")</f>
        <v/>
      </c>
      <c r="D18" s="35">
        <f>SUMIFS('Invoice Log'!$N$4:$N$33,'Invoice Log'!$O$4:$O$33,"91-120")</f>
        <v/>
      </c>
      <c r="E18" s="36">
        <f>IFERROR(SUMIFS('Invoice Log'!$N$4:$N$33,'Invoice Log'!$O$4:$O$33,"91-120")/SUM('Invoice Log'!$N$4:$N$33),0)</f>
        <v/>
      </c>
      <c r="F18" s="30" t="n"/>
    </row>
    <row r="19" ht="22" customHeight="1">
      <c r="A19" s="39" t="inlineStr">
        <is>
          <t>120+</t>
        </is>
      </c>
      <c r="B19" s="30" t="n"/>
      <c r="C19" s="34">
        <f>COUNTIF('Invoice Log'!$O$4:$O$33,"120+")</f>
        <v/>
      </c>
      <c r="D19" s="35">
        <f>SUMIFS('Invoice Log'!$N$4:$N$33,'Invoice Log'!$O$4:$O$33,"120+")</f>
        <v/>
      </c>
      <c r="E19" s="36">
        <f>IFERROR(SUMIFS('Invoice Log'!$N$4:$N$33,'Invoice Log'!$O$4:$O$33,"120+")/SUM('Invoice Log'!$N$4:$N$33),0)</f>
        <v/>
      </c>
      <c r="F19" s="30" t="n"/>
    </row>
    <row r="20">
      <c r="A20" s="25" t="inlineStr">
        <is>
          <t>TOTAL OUTSTANDING</t>
        </is>
      </c>
      <c r="B20" s="30" t="n"/>
      <c r="C20" s="40">
        <f>COUNTIF('Invoice Log'!$O$4:$O$33,"Current")+COUNTIF('Invoice Log'!$O$4:$O$33,"1-30")+COUNTIF('Invoice Log'!$O$4:$O$33,"31-60")+COUNTIF('Invoice Log'!$O$4:$O$33,"61-90")+COUNTIF('Invoice Log'!$O$4:$O$33,"91-120")+COUNTIF('Invoice Log'!$O$4:$O$33,"120+")</f>
        <v/>
      </c>
      <c r="D20" s="41">
        <f>SUM('Invoice Log'!$N$4:$N$33)</f>
        <v/>
      </c>
      <c r="E20" s="42">
        <f>1</f>
        <v/>
      </c>
      <c r="F20" s="30" t="n"/>
    </row>
    <row r="22" ht="26" customHeight="1">
      <c r="A22" s="28" t="inlineStr">
        <is>
          <t>Count by Status</t>
        </is>
      </c>
    </row>
    <row r="23" ht="32" customHeight="1">
      <c r="A23" s="6" t="inlineStr">
        <is>
          <t>Status</t>
        </is>
      </c>
      <c r="B23" s="6" t="inlineStr">
        <is>
          <t>Count</t>
        </is>
      </c>
      <c r="C23" s="6" t="inlineStr">
        <is>
          <t>Amount Outstanding</t>
        </is>
      </c>
      <c r="D23" s="30" t="n"/>
    </row>
    <row r="24" ht="22" customHeight="1">
      <c r="A24" s="37" t="inlineStr">
        <is>
          <t>Sent</t>
        </is>
      </c>
      <c r="B24" s="30" t="n"/>
      <c r="C24" s="34">
        <f>COUNTIF('Invoice Log'!$R$4:$R$33,"Sent")</f>
        <v/>
      </c>
      <c r="D24" s="35">
        <f>SUMIFS('Invoice Log'!$N$4:$N$33,'Invoice Log'!$R$4:$R$33,"Sent")</f>
        <v/>
      </c>
      <c r="E24" s="36">
        <f>IFERROR(SUMIFS('Invoice Log'!$N$4:$N$33,'Invoice Log'!$R$4:$R$33,"Sent")/SUM('Invoice Log'!$N$4:$N$33),0)</f>
        <v/>
      </c>
      <c r="F24" s="30" t="n"/>
    </row>
    <row r="25" ht="22" customHeight="1">
      <c r="A25" s="37" t="inlineStr">
        <is>
          <t>Partially Paid</t>
        </is>
      </c>
      <c r="B25" s="30" t="n"/>
      <c r="C25" s="34">
        <f>COUNTIF('Invoice Log'!$R$4:$R$33,"Partially Paid")</f>
        <v/>
      </c>
      <c r="D25" s="35">
        <f>SUMIFS('Invoice Log'!$N$4:$N$33,'Invoice Log'!$R$4:$R$33,"Partially Paid")</f>
        <v/>
      </c>
      <c r="E25" s="36">
        <f>IFERROR(SUMIFS('Invoice Log'!$N$4:$N$33,'Invoice Log'!$R$4:$R$33,"Partially Paid")/SUM('Invoice Log'!$N$4:$N$33),0)</f>
        <v/>
      </c>
      <c r="F25" s="30" t="n"/>
    </row>
    <row r="26" ht="22" customHeight="1">
      <c r="A26" s="33" t="inlineStr">
        <is>
          <t>Paid</t>
        </is>
      </c>
      <c r="B26" s="30" t="n"/>
      <c r="C26" s="34">
        <f>COUNTIF('Invoice Log'!$R$4:$R$33,"Paid")</f>
        <v/>
      </c>
      <c r="D26" s="35">
        <f>SUMIFS('Invoice Log'!$N$4:$N$33,'Invoice Log'!$R$4:$R$33,"Paid")</f>
        <v/>
      </c>
      <c r="E26" s="36">
        <f>IFERROR(SUMIFS('Invoice Log'!$N$4:$N$33,'Invoice Log'!$R$4:$R$33,"Paid")/SUM('Invoice Log'!$N$4:$N$33),0)</f>
        <v/>
      </c>
      <c r="F26" s="30" t="n"/>
    </row>
    <row r="27" ht="22" customHeight="1">
      <c r="A27" s="39" t="inlineStr">
        <is>
          <t>Disputed</t>
        </is>
      </c>
      <c r="B27" s="30" t="n"/>
      <c r="C27" s="34">
        <f>COUNTIF('Invoice Log'!$R$4:$R$33,"Disputed")</f>
        <v/>
      </c>
      <c r="D27" s="35">
        <f>SUMIFS('Invoice Log'!$N$4:$N$33,'Invoice Log'!$R$4:$R$33,"Disputed")</f>
        <v/>
      </c>
      <c r="E27" s="36">
        <f>IFERROR(SUMIFS('Invoice Log'!$N$4:$N$33,'Invoice Log'!$R$4:$R$33,"Disputed")/SUM('Invoice Log'!$N$4:$N$33),0)</f>
        <v/>
      </c>
      <c r="F27" s="30" t="n"/>
    </row>
    <row r="28" ht="22" customHeight="1">
      <c r="A28" s="39" t="inlineStr">
        <is>
          <t>Written Off</t>
        </is>
      </c>
      <c r="B28" s="30" t="n"/>
      <c r="C28" s="34">
        <f>COUNTIF('Invoice Log'!$R$4:$R$33,"Written Off")</f>
        <v/>
      </c>
      <c r="D28" s="35">
        <f>SUMIFS('Invoice Log'!$N$4:$N$33,'Invoice Log'!$R$4:$R$33,"Written Off")</f>
        <v/>
      </c>
      <c r="E28" s="36">
        <f>IFERROR(SUMIFS('Invoice Log'!$N$4:$N$33,'Invoice Log'!$R$4:$R$33,"Written Off")/SUM('Invoice Log'!$N$4:$N$33),0)</f>
        <v/>
      </c>
      <c r="F28" s="30" t="n"/>
    </row>
    <row r="29">
      <c r="A29" s="25" t="inlineStr">
        <is>
          <t>ALL INVOICES (any status)</t>
        </is>
      </c>
      <c r="B29" s="30" t="n"/>
      <c r="C29" s="40">
        <f>COUNTA('Invoice Log'!$A$4:$A$33)</f>
        <v/>
      </c>
      <c r="D29" s="41">
        <f>SUM('Invoice Log'!$N$4:$N$33)</f>
        <v/>
      </c>
      <c r="E29" s="42">
        <f>1</f>
        <v/>
      </c>
      <c r="F29" s="30" t="n"/>
    </row>
  </sheetData>
  <mergeCells count="45">
    <mergeCell ref="A24:B24"/>
    <mergeCell ref="A15:B15"/>
    <mergeCell ref="E24:F24"/>
    <mergeCell ref="E23:F23"/>
    <mergeCell ref="A12:F12"/>
    <mergeCell ref="E14:F14"/>
    <mergeCell ref="D7:F7"/>
    <mergeCell ref="E17:F17"/>
    <mergeCell ref="A2:F2"/>
    <mergeCell ref="A16:B16"/>
    <mergeCell ref="E20:F20"/>
    <mergeCell ref="A5:C5"/>
    <mergeCell ref="A25:B25"/>
    <mergeCell ref="E29:F29"/>
    <mergeCell ref="A8:C8"/>
    <mergeCell ref="E19:F19"/>
    <mergeCell ref="E28:F28"/>
    <mergeCell ref="D9:F9"/>
    <mergeCell ref="E13:F13"/>
    <mergeCell ref="A22:F22"/>
    <mergeCell ref="A4:F4"/>
    <mergeCell ref="A18:B18"/>
    <mergeCell ref="D8:F8"/>
    <mergeCell ref="A27:B27"/>
    <mergeCell ref="A26:B26"/>
    <mergeCell ref="D5:F5"/>
    <mergeCell ref="E15:F15"/>
    <mergeCell ref="E27:F27"/>
    <mergeCell ref="A9:C9"/>
    <mergeCell ref="A14:B14"/>
    <mergeCell ref="A17:B17"/>
    <mergeCell ref="E26:F26"/>
    <mergeCell ref="C23:D23"/>
    <mergeCell ref="A20:B20"/>
    <mergeCell ref="E16:F16"/>
    <mergeCell ref="A29:B29"/>
    <mergeCell ref="E18:F18"/>
    <mergeCell ref="A19:B19"/>
    <mergeCell ref="A1:F1"/>
    <mergeCell ref="E25:F25"/>
    <mergeCell ref="A6:C6"/>
    <mergeCell ref="A28:B28"/>
    <mergeCell ref="C13:D13"/>
    <mergeCell ref="A7:C7"/>
    <mergeCell ref="D6:F6"/>
  </mergeCells>
  <conditionalFormatting sqref="D7">
    <cfRule type="cellIs" priority="1" operator="greaterThan" dxfId="4" stopIfTrue="0">
      <formula>0</formula>
    </cfRule>
    <cfRule type="cellIs" priority="2" operator="lessThanOrEqual" dxfId="5" stopIfTrue="0">
      <formula>0</formula>
    </cfRule>
  </conditionalFormatting>
  <conditionalFormatting sqref="D9">
    <cfRule type="cellIs" priority="3" operator="greaterThan" dxfId="4" stopIfTrue="1">
      <formula>90</formula>
    </cfRule>
    <cfRule type="cellIs" priority="4" operator="greaterThan" dxfId="6" stopIfTrue="1">
      <formula>60</formula>
    </cfRule>
    <cfRule type="cellIs" priority="5" operator="lessThanOrEqual" dxfId="5" stopIfTrue="0">
      <formula>60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14" customWidth="1" min="1" max="1"/>
    <col width="60" customWidth="1" min="2" max="2"/>
  </cols>
  <sheetData>
    <row r="1" ht="28" customHeight="1">
      <c r="A1" s="1" t="inlineStr">
        <is>
          <t>CSI MasterFormat Division Reference</t>
        </is>
      </c>
    </row>
    <row r="2">
      <c r="A2" s="5" t="inlineStr">
        <is>
          <t>Pulled from the same canonical list as ContrPro Job Costing. Do not edit.</t>
        </is>
      </c>
    </row>
    <row r="3" ht="32" customHeight="1">
      <c r="A3" s="6" t="inlineStr">
        <is>
          <t>CSI Division</t>
        </is>
      </c>
      <c r="B3" s="6" t="inlineStr">
        <is>
          <t>Division Name</t>
        </is>
      </c>
    </row>
    <row r="4">
      <c r="A4" s="43" t="inlineStr">
        <is>
          <t>01</t>
        </is>
      </c>
      <c r="B4" s="44" t="inlineStr">
        <is>
          <t>General Requirements</t>
        </is>
      </c>
    </row>
    <row r="5">
      <c r="A5" s="43" t="inlineStr">
        <is>
          <t>02</t>
        </is>
      </c>
      <c r="B5" s="44" t="inlineStr">
        <is>
          <t>Existing Conditions</t>
        </is>
      </c>
    </row>
    <row r="6">
      <c r="A6" s="43" t="inlineStr">
        <is>
          <t>03</t>
        </is>
      </c>
      <c r="B6" s="44" t="inlineStr">
        <is>
          <t>Concrete</t>
        </is>
      </c>
    </row>
    <row r="7">
      <c r="A7" s="43" t="inlineStr">
        <is>
          <t>04</t>
        </is>
      </c>
      <c r="B7" s="44" t="inlineStr">
        <is>
          <t>Masonry</t>
        </is>
      </c>
    </row>
    <row r="8">
      <c r="A8" s="43" t="inlineStr">
        <is>
          <t>05</t>
        </is>
      </c>
      <c r="B8" s="44" t="inlineStr">
        <is>
          <t>Metals</t>
        </is>
      </c>
    </row>
    <row r="9">
      <c r="A9" s="43" t="inlineStr">
        <is>
          <t>06</t>
        </is>
      </c>
      <c r="B9" s="44" t="inlineStr">
        <is>
          <t>Wood, Plastics, and Composites</t>
        </is>
      </c>
    </row>
    <row r="10">
      <c r="A10" s="43" t="inlineStr">
        <is>
          <t>07</t>
        </is>
      </c>
      <c r="B10" s="44" t="inlineStr">
        <is>
          <t>Thermal and Moisture Protection</t>
        </is>
      </c>
    </row>
    <row r="11">
      <c r="A11" s="43" t="inlineStr">
        <is>
          <t>08</t>
        </is>
      </c>
      <c r="B11" s="44" t="inlineStr">
        <is>
          <t>Openings</t>
        </is>
      </c>
    </row>
    <row r="12">
      <c r="A12" s="43" t="inlineStr">
        <is>
          <t>09</t>
        </is>
      </c>
      <c r="B12" s="44" t="inlineStr">
        <is>
          <t>Finishes</t>
        </is>
      </c>
    </row>
    <row r="13">
      <c r="A13" s="43" t="inlineStr">
        <is>
          <t>10</t>
        </is>
      </c>
      <c r="B13" s="44" t="inlineStr">
        <is>
          <t>Specialties</t>
        </is>
      </c>
    </row>
    <row r="14">
      <c r="A14" s="43" t="inlineStr">
        <is>
          <t>11</t>
        </is>
      </c>
      <c r="B14" s="44" t="inlineStr">
        <is>
          <t>Equipment</t>
        </is>
      </c>
    </row>
    <row r="15">
      <c r="A15" s="43" t="inlineStr">
        <is>
          <t>12</t>
        </is>
      </c>
      <c r="B15" s="44" t="inlineStr">
        <is>
          <t>Furnishings</t>
        </is>
      </c>
    </row>
    <row r="16">
      <c r="A16" s="43" t="inlineStr">
        <is>
          <t>13</t>
        </is>
      </c>
      <c r="B16" s="44" t="inlineStr">
        <is>
          <t>Special Construction</t>
        </is>
      </c>
    </row>
    <row r="17">
      <c r="A17" s="43" t="inlineStr">
        <is>
          <t>14</t>
        </is>
      </c>
      <c r="B17" s="44" t="inlineStr">
        <is>
          <t>Conveying Equipment</t>
        </is>
      </c>
    </row>
    <row r="18">
      <c r="A18" s="43" t="inlineStr">
        <is>
          <t>21</t>
        </is>
      </c>
      <c r="B18" s="44" t="inlineStr">
        <is>
          <t>Fire Suppression</t>
        </is>
      </c>
    </row>
    <row r="19">
      <c r="A19" s="43" t="inlineStr">
        <is>
          <t>22</t>
        </is>
      </c>
      <c r="B19" s="44" t="inlineStr">
        <is>
          <t>Plumbing</t>
        </is>
      </c>
    </row>
    <row r="20">
      <c r="A20" s="43" t="inlineStr">
        <is>
          <t>23</t>
        </is>
      </c>
      <c r="B20" s="44" t="inlineStr">
        <is>
          <t>HVAC</t>
        </is>
      </c>
    </row>
    <row r="21">
      <c r="A21" s="43" t="inlineStr">
        <is>
          <t>25</t>
        </is>
      </c>
      <c r="B21" s="44" t="inlineStr">
        <is>
          <t>Integrated Automation</t>
        </is>
      </c>
    </row>
    <row r="22">
      <c r="A22" s="43" t="inlineStr">
        <is>
          <t>26</t>
        </is>
      </c>
      <c r="B22" s="44" t="inlineStr">
        <is>
          <t>Electrical</t>
        </is>
      </c>
    </row>
    <row r="23">
      <c r="A23" s="43" t="inlineStr">
        <is>
          <t>27</t>
        </is>
      </c>
      <c r="B23" s="44" t="inlineStr">
        <is>
          <t>Communications</t>
        </is>
      </c>
    </row>
    <row r="24">
      <c r="A24" s="43" t="inlineStr">
        <is>
          <t>28</t>
        </is>
      </c>
      <c r="B24" s="44" t="inlineStr">
        <is>
          <t>Electronic Safety and Security</t>
        </is>
      </c>
    </row>
    <row r="25">
      <c r="A25" s="43" t="inlineStr">
        <is>
          <t>31</t>
        </is>
      </c>
      <c r="B25" s="44" t="inlineStr">
        <is>
          <t>Earthwork</t>
        </is>
      </c>
    </row>
    <row r="26">
      <c r="A26" s="43" t="inlineStr">
        <is>
          <t>32</t>
        </is>
      </c>
      <c r="B26" s="44" t="inlineStr">
        <is>
          <t>Exterior Improvements</t>
        </is>
      </c>
    </row>
    <row r="27">
      <c r="A27" s="43" t="inlineStr">
        <is>
          <t>33</t>
        </is>
      </c>
      <c r="B27" s="44" t="inlineStr">
        <is>
          <t>Utilities</t>
        </is>
      </c>
    </row>
    <row r="28">
      <c r="A28" s="43" t="inlineStr">
        <is>
          <t>34</t>
        </is>
      </c>
      <c r="B28" s="44" t="inlineStr">
        <is>
          <t>Transportation</t>
        </is>
      </c>
    </row>
    <row r="29">
      <c r="A29" s="43" t="inlineStr">
        <is>
          <t>35</t>
        </is>
      </c>
      <c r="B29" s="44" t="inlineStr">
        <is>
          <t>Waterway and Marine Construction</t>
        </is>
      </c>
    </row>
    <row r="30">
      <c r="A30" s="43" t="inlineStr">
        <is>
          <t>40</t>
        </is>
      </c>
      <c r="B30" s="44" t="inlineStr">
        <is>
          <t>Process Interconnections</t>
        </is>
      </c>
    </row>
    <row r="31">
      <c r="A31" s="43" t="inlineStr">
        <is>
          <t>41</t>
        </is>
      </c>
      <c r="B31" s="44" t="inlineStr">
        <is>
          <t>Material Processing and Handling Equipment</t>
        </is>
      </c>
    </row>
    <row r="32">
      <c r="A32" s="43" t="inlineStr">
        <is>
          <t>42</t>
        </is>
      </c>
      <c r="B32" s="44" t="inlineStr">
        <is>
          <t>Process Heating, Cooling, and Drying Equipment</t>
        </is>
      </c>
    </row>
    <row r="33">
      <c r="A33" s="43" t="inlineStr">
        <is>
          <t>43</t>
        </is>
      </c>
      <c r="B33" s="44" t="inlineStr">
        <is>
          <t>Process Gas and Liquid Handling, Purification, and Storage Equipment</t>
        </is>
      </c>
    </row>
    <row r="34">
      <c r="A34" s="43" t="inlineStr">
        <is>
          <t>44</t>
        </is>
      </c>
      <c r="B34" s="44" t="inlineStr">
        <is>
          <t>Pollution and Waste Control Equipment</t>
        </is>
      </c>
    </row>
    <row r="35">
      <c r="A35" s="43" t="inlineStr">
        <is>
          <t>45</t>
        </is>
      </c>
      <c r="B35" s="44" t="inlineStr">
        <is>
          <t>Industry-Specific Manufacturing Equipment</t>
        </is>
      </c>
    </row>
    <row r="36">
      <c r="A36" s="43" t="inlineStr">
        <is>
          <t>46</t>
        </is>
      </c>
      <c r="B36" s="44" t="inlineStr">
        <is>
          <t>Water and Wastewater Equipment</t>
        </is>
      </c>
    </row>
    <row r="37">
      <c r="A37" s="43" t="inlineStr">
        <is>
          <t>48</t>
        </is>
      </c>
      <c r="B37" s="44" t="inlineStr">
        <is>
          <t>Electrical Power Generation</t>
        </is>
      </c>
    </row>
    <row r="38">
      <c r="A38" s="43" t="inlineStr">
        <is>
          <t>49</t>
        </is>
      </c>
      <c r="B38" s="44" t="inlineStr">
        <is>
          <t>Reserved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2026-05-14T10:13:41Z</dcterms:created>
  <dcterms:modified xmlns:dcterms="http://purl.org/dc/terms/" xmlns:xsi="http://www.w3.org/2001/XMLSchema-instance" xsi:type="dcterms:W3CDTF">2026-05-14T10:13:41Z</dcterms:modified>
</cp:coreProperties>
</file>