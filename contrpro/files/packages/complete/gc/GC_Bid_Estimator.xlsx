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roject Info" sheetId="2" state="visible" r:id="rId2"/>
    <sheet xmlns:r="http://schemas.openxmlformats.org/officeDocument/2006/relationships" name="Trade Bids" sheetId="3" state="visible" r:id="rId3"/>
    <sheet xmlns:r="http://schemas.openxmlformats.org/officeDocument/2006/relationships" name="Self-Perform" sheetId="4" state="visible" r:id="rId4"/>
    <sheet xmlns:r="http://schemas.openxmlformats.org/officeDocument/2006/relationships" name="General Conditions" sheetId="5" state="visible" r:id="rId5"/>
    <sheet xmlns:r="http://schemas.openxmlformats.org/officeDocument/2006/relationships" name="Allowances" sheetId="6" state="visible" r:id="rId6"/>
    <sheet xmlns:r="http://schemas.openxmlformats.org/officeDocument/2006/relationships" name="Bid Summary" sheetId="7" state="visible" r:id="rId7"/>
    <sheet xmlns:r="http://schemas.openxmlformats.org/officeDocument/2006/relationships" name="CSI Reference" sheetId="8" state="hidden" r:id="rId8"/>
  </sheets>
  <definedNames>
    <definedName name="ProjectName">'Project Info'!$C$3</definedName>
    <definedName name="ProjectState">'Project Info'!$C$14</definedName>
    <definedName name="IsPrevailingWage">'Project Info'!$C$15</definedName>
    <definedName name="SubMarkup">'Project Info'!$C$18</definedName>
    <definedName name="SelfPerfOH">'Project Info'!$C$19</definedName>
    <definedName name="SelfPerfProfit">'Project Info'!$C$20</definedName>
    <definedName name="CorpOH">'Project Info'!$C$21</definedName>
    <definedName name="CorpProfit">'Project Info'!$C$22</definedName>
    <definedName name="BondPct">'Project Info'!$C$25</definedName>
    <definedName name="SalesTax">'Project Info'!$C$26</definedName>
    <definedName name="BuildersRisk">'Project Info'!$C$27</definedName>
    <definedName name="TradeContingency">'Project Info'!$C$30</definedName>
    <definedName name="ProjectContingency">'Project Info'!$C$31</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_($* #,##0.00_);_($* (#,##0.00);_($* &quot;-&quot;??_);_(@_)"/>
    <numFmt numFmtId="167" formatCode="_($* #,##0_);_($* (#,##0);_($* &quot;-&quot;_);_(@_)"/>
  </numFmts>
  <fonts count="7">
    <font>
      <name val="Calibri"/>
      <family val="2"/>
      <color theme="1"/>
      <sz val="11"/>
      <scheme val="minor"/>
    </font>
    <font>
      <name val="Calibri"/>
      <b val="1"/>
      <color rgb="001E3A5F"/>
      <sz val="22"/>
    </font>
    <font>
      <name val="Calibri"/>
      <sz val="11"/>
    </font>
    <font>
      <name val="Calibri"/>
      <b val="1"/>
      <color rgb="001E3A5F"/>
      <sz val="12"/>
    </font>
    <font>
      <name val="Calibri"/>
      <b val="1"/>
      <sz val="11"/>
    </font>
    <font>
      <name val="Calibri"/>
      <i val="1"/>
      <color rgb="00808080"/>
      <sz val="11"/>
    </font>
    <font>
      <name val="Calibri"/>
      <b val="1"/>
      <color rgb="00FFFFFF"/>
      <sz val="11"/>
    </font>
  </fonts>
  <fills count="5">
    <fill>
      <patternFill/>
    </fill>
    <fill>
      <patternFill patternType="gray125"/>
    </fill>
    <fill>
      <patternFill patternType="solid">
        <fgColor rgb="00D6E0EC"/>
      </patternFill>
    </fill>
    <fill>
      <patternFill patternType="solid">
        <fgColor rgb="001E3A5F"/>
      </patternFill>
    </fill>
    <fill>
      <patternFill patternType="solid">
        <fgColor rgb="00C9A227"/>
      </patternFill>
    </fill>
  </fills>
  <borders count="2">
    <border>
      <left/>
      <right/>
      <top/>
      <bottom/>
      <diagonal/>
    </border>
    <border>
      <left style="thin">
        <color rgb="00B0B7BF"/>
      </left>
      <right style="thin">
        <color rgb="00B0B7BF"/>
      </right>
      <top style="thin">
        <color rgb="00B0B7BF"/>
      </top>
      <bottom style="thin">
        <color rgb="00B0B7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pivotButton="0" quotePrefix="0" xfId="0"/>
    <xf numFmtId="0" fontId="2" fillId="0" borderId="1" pivotButton="0" quotePrefix="0" xfId="0"/>
    <xf numFmtId="164" fontId="2" fillId="0" borderId="1" pivotButton="0" quotePrefix="0" xfId="0"/>
    <xf numFmtId="1" fontId="2" fillId="0" borderId="1" pivotButton="0" quotePrefix="0" xfId="0"/>
    <xf numFmtId="0" fontId="3" fillId="0" borderId="0" pivotButton="0" quotePrefix="0" xfId="0"/>
    <xf numFmtId="165" fontId="2" fillId="0" borderId="1" pivotButton="0" quotePrefix="0" xfId="0"/>
    <xf numFmtId="2" fontId="2" fillId="0" borderId="1" pivotButton="0" quotePrefix="0" xfId="0"/>
    <xf numFmtId="0" fontId="5" fillId="0" borderId="0" pivotButton="0" quotePrefix="0" xfId="0"/>
    <xf numFmtId="0" fontId="6" fillId="3" borderId="1" applyAlignment="1" pivotButton="0" quotePrefix="0" xfId="0">
      <alignment horizontal="center" vertical="center" wrapText="1"/>
    </xf>
    <xf numFmtId="0" fontId="2" fillId="0" borderId="1" applyAlignment="1" pivotButton="0" quotePrefix="0" xfId="0">
      <alignment vertical="center"/>
    </xf>
    <xf numFmtId="164" fontId="2" fillId="0" borderId="1" applyAlignment="1" pivotButton="0" quotePrefix="0" xfId="0">
      <alignment vertical="center"/>
    </xf>
    <xf numFmtId="166" fontId="2" fillId="0" borderId="1" applyAlignment="1" pivotButton="0" quotePrefix="0" xfId="0">
      <alignment vertical="center"/>
    </xf>
    <xf numFmtId="165" fontId="2" fillId="0" borderId="1" applyAlignment="1" pivotButton="0" quotePrefix="0" xfId="0">
      <alignment vertical="center"/>
    </xf>
    <xf numFmtId="0" fontId="4" fillId="2" borderId="0" pivotButton="0" quotePrefix="0" xfId="0"/>
    <xf numFmtId="166" fontId="4" fillId="2" borderId="1" pivotButton="0" quotePrefix="0" xfId="0"/>
    <xf numFmtId="2" fontId="2" fillId="0" borderId="1" applyAlignment="1" pivotButton="0" quotePrefix="0" xfId="0">
      <alignment vertical="center"/>
    </xf>
    <xf numFmtId="0" fontId="4" fillId="0" borderId="0" pivotButton="0" quotePrefix="0" xfId="0"/>
    <xf numFmtId="166" fontId="2" fillId="0" borderId="1" pivotButton="0" quotePrefix="0" xfId="0"/>
    <xf numFmtId="166" fontId="0" fillId="0" borderId="1" pivotButton="0" quotePrefix="0" xfId="0"/>
    <xf numFmtId="165" fontId="0" fillId="0" borderId="1" pivotButton="0" quotePrefix="0" xfId="0"/>
    <xf numFmtId="0" fontId="1" fillId="4" borderId="1" pivotButton="0" quotePrefix="0" xfId="0"/>
    <xf numFmtId="167" fontId="1" fillId="4" borderId="1" pivotButton="0" quotePrefix="0" xfId="0"/>
    <xf numFmtId="0" fontId="2" fillId="2" borderId="1"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2"/>
  <sheetViews>
    <sheetView showGridLines="0" workbookViewId="0">
      <selection activeCell="A1" sqref="A1"/>
    </sheetView>
  </sheetViews>
  <sheetFormatPr baseColWidth="8" defaultRowHeight="15"/>
  <cols>
    <col width="110" customWidth="1" min="1" max="1"/>
  </cols>
  <sheetData>
    <row r="1" ht="36" customHeight="1">
      <c r="A1" s="1" t="inlineStr">
        <is>
          <t>GC BID ESTIMATOR — Instructions</t>
        </is>
      </c>
    </row>
    <row r="2">
      <c r="A2" s="2" t="inlineStr"/>
    </row>
    <row r="3">
      <c r="A3" s="3" t="inlineStr">
        <is>
          <t>WHAT THIS WORKBOOK IS</t>
        </is>
      </c>
    </row>
    <row r="4">
      <c r="A4" s="2" t="inlineStr">
        <is>
          <t>Prime-contract bid roll-up for a General Contractor. Use to assemble subcontractor quotes by CSI division, layer General Conditions (Div 01), then apply overhead, profit, bond, and tax to land the final bid number you submit to the Owner.</t>
        </is>
      </c>
    </row>
    <row r="5">
      <c r="A5" s="2" t="inlineStr"/>
    </row>
    <row r="6">
      <c r="A6" s="2" t="inlineStr">
        <is>
          <t>Unlike trade-specific bid estimators (Steel Erection, Electrical, etc.) which compute labor + material + equipment from scratch, the GC Estimator rolls up sub quotes you received from your trade partners. The detail estimating happens inside the trade-specific workbooks; this workbook is the consolidation layer.</t>
        </is>
      </c>
    </row>
    <row r="7">
      <c r="A7" s="2" t="inlineStr"/>
    </row>
    <row r="8">
      <c r="A8" s="3" t="inlineStr">
        <is>
          <t>WORKFLOW</t>
        </is>
      </c>
    </row>
    <row r="9">
      <c r="A9" s="2" t="inlineStr">
        <is>
          <t>1. Project Info: project, owner, architect, delivery method, schedule, markup defaults.</t>
        </is>
      </c>
    </row>
    <row r="10">
      <c r="A10" s="2" t="inlineStr">
        <is>
          <t>2. Trade Bids: one row per CSI division. Enter the lowest qualifying sub quote per trade. Workbook computes GC markup on subs (typically 5-10%) plus optional contingency per trade.</t>
        </is>
      </c>
    </row>
    <row r="11">
      <c r="A11" s="2" t="inlineStr">
        <is>
          <t>3. Self-Perform: any work the GC self-performs (rare on true GC; common on design-build / CMAR). Enter as labor + material + equipment cost. Marked up with self-perform OH + profit.</t>
        </is>
      </c>
    </row>
    <row r="12">
      <c r="A12" s="2" t="inlineStr">
        <is>
          <t>4. General Conditions: Division 01 — supervision, project office, dumpsters, port-a-john, signage, site security, temporary utilities, etc. Itemized monthly/lump-sum.</t>
        </is>
      </c>
    </row>
    <row r="13">
      <c r="A13" s="2" t="inlineStr">
        <is>
          <t>5. Allowances &amp; Contingencies: explicit allowances called out in the bid + project-level contingency.</t>
        </is>
      </c>
    </row>
    <row r="14">
      <c r="A14" s="2" t="inlineStr">
        <is>
          <t>6. Bid Summary: roll-up → corporate overhead + profit + payment-and-performance bond + sales tax → final bid number.</t>
        </is>
      </c>
    </row>
    <row r="15">
      <c r="A15" s="2" t="inlineStr"/>
    </row>
    <row r="16">
      <c r="A16" s="3" t="inlineStr">
        <is>
          <t>MARKUP STRUCTURE (LOCK IT IN ONE WAY OR THE OTHER)</t>
        </is>
      </c>
    </row>
    <row r="17">
      <c r="A17" s="2" t="inlineStr">
        <is>
          <t>Two conventions exist. Pick one and zero out the other to avoid double-counting:</t>
        </is>
      </c>
    </row>
    <row r="18">
      <c r="A18" s="2" t="inlineStr">
        <is>
          <t xml:space="preserve">  (A) Line-level markup ONLY: each trade gets its GC markup at the line item; no corporate OH+P at summary. Defaults: Sub Markup 7%, Self-Perform OH 10% + Profit 8%. Summary OH and Profit = 0%.</t>
        </is>
      </c>
    </row>
    <row r="19">
      <c r="A19" s="2" t="inlineStr">
        <is>
          <t xml:space="preserve">  (B) Summary-level markup ONLY: zero markup on each line; corporate OH (8-12%) + Profit (5-10%) added at the Bid Summary. Defaults: Sub Markup 0%, Self-Perform OH 0% + Profit 0%. Summary OH = 10%, Profit = 8%.</t>
        </is>
      </c>
    </row>
    <row r="20">
      <c r="A20" s="2" t="inlineStr">
        <is>
          <t>Default values are set for (A). Adjust Project Info to switch to (B).</t>
        </is>
      </c>
    </row>
    <row r="21">
      <c r="A21" s="2" t="inlineStr"/>
    </row>
    <row r="22">
      <c r="A22" s="3" t="inlineStr">
        <is>
          <t>GENERAL CONDITIONS — TYPICAL RUN-RATE</t>
        </is>
      </c>
    </row>
    <row r="23">
      <c r="A23" s="2" t="inlineStr">
        <is>
          <t>Division 01 General Conditions typically run 5-10% of the trade-cost subtotal on commercial work; tight industrial may run 8-12%; complex multi-site or fast-track can hit 15%. The pack lets you itemize OR enter as a lump sum. Itemizing produces a better bid; lump-sum is faster.</t>
        </is>
      </c>
    </row>
    <row r="24">
      <c r="A24" s="2" t="inlineStr"/>
    </row>
    <row r="25">
      <c r="A25" s="3" t="inlineStr">
        <is>
          <t>BOND, INSURANCE, TAX</t>
        </is>
      </c>
    </row>
    <row r="26">
      <c r="A26" s="2" t="inlineStr">
        <is>
          <t>Bond default: 1.0% of bid (varies 0.5-1.5% by surety + project profile).</t>
        </is>
      </c>
    </row>
    <row r="27">
      <c r="A27" s="2" t="inlineStr">
        <is>
          <t>Sales tax: project-state-specific; on materials, not on labor/equipment in most states. Confirm with your CPA before relying on the default.</t>
        </is>
      </c>
    </row>
    <row r="28">
      <c r="A28" s="2" t="inlineStr">
        <is>
          <t>Builder's Risk: typically Owner-supplied. Confirm before adding to bid.</t>
        </is>
      </c>
    </row>
    <row r="29">
      <c r="A29" s="2" t="inlineStr"/>
    </row>
    <row r="30">
      <c r="A30" s="3" t="inlineStr">
        <is>
          <t>CONTINGENCY CONVENTION</t>
        </is>
      </c>
    </row>
    <row r="31">
      <c r="A31" s="2" t="inlineStr">
        <is>
          <t>GC contingency lives in TWO PLACES:</t>
        </is>
      </c>
    </row>
    <row r="32">
      <c r="A32" s="2" t="inlineStr">
        <is>
          <t xml:space="preserve">  - Per-trade contingency on the Trade Bids tab (covers sub quote risk on that specific trade).</t>
        </is>
      </c>
    </row>
    <row r="33">
      <c r="A33" s="2" t="inlineStr">
        <is>
          <t xml:space="preserve">  - Project contingency on the Allowances tab (covers unknowns + estimating risk overall).</t>
        </is>
      </c>
    </row>
    <row r="34">
      <c r="A34" s="2" t="inlineStr">
        <is>
          <t>Don't apply both at the SAME % on the same scope or you're double-buffering. Industry-typical: 1-3% per-trade for risky scopes, plus 2-4% project-level. Total typically 3-6% combined.</t>
        </is>
      </c>
    </row>
    <row r="35">
      <c r="A35" s="2" t="inlineStr"/>
    </row>
    <row r="36">
      <c r="A36" s="3" t="inlineStr">
        <is>
          <t>THIS WORKBOOK + GC APPLICATION FOR PAYMENT</t>
        </is>
      </c>
    </row>
    <row r="37">
      <c r="A37" s="2" t="inlineStr">
        <is>
          <t>The Trade Bids + Self-Perform totals from this workbook become the Schedule of Values in the GC Application for Payment workbook. After award, copy the line-item values from Trade Bids into the SOV Setup tab of GC_Application_for_Payment.xlsx and bill against them monthly.</t>
        </is>
      </c>
    </row>
    <row r="38">
      <c r="A38" s="2" t="inlineStr"/>
    </row>
    <row r="39">
      <c r="A39" s="3" t="inlineStr">
        <is>
          <t>WHAT THIS WORKBOOK IS NOT</t>
        </is>
      </c>
    </row>
    <row r="40">
      <c r="A40" s="2" t="inlineStr">
        <is>
          <t xml:space="preserve">  - Not a takeoff tool. Use the trade-specific bid estimators (Steel Erection, Electrical, etc.) for from-scratch quantity-based estimating, or buy sub quotes.</t>
        </is>
      </c>
    </row>
    <row r="41">
      <c r="A41" s="2" t="inlineStr">
        <is>
          <t xml:space="preserve">  - Not a CPM scheduling tool. Use GC_Project_Operations.xlsx for the Schedule tab.</t>
        </is>
      </c>
    </row>
    <row r="42">
      <c r="A42" s="2" t="inlineStr">
        <is>
          <t xml:space="preserve">  - Not a job-cost accounting system. Use Job_Costing_Spreadsheet.xlsx (Business tier) for that.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6"/>
  <sheetViews>
    <sheetView showGridLines="0" workbookViewId="0">
      <selection activeCell="A1" sqref="A1"/>
    </sheetView>
  </sheetViews>
  <sheetFormatPr baseColWidth="8" defaultRowHeight="15"/>
  <cols>
    <col width="4" customWidth="1" min="1" max="1"/>
    <col width="42" customWidth="1" min="2" max="2"/>
    <col width="36" customWidth="1" min="3" max="3"/>
  </cols>
  <sheetData>
    <row r="1" ht="32" customHeight="1">
      <c r="B1" s="1" t="inlineStr">
        <is>
          <t>PROJECT INFORMATION — GC Bid</t>
        </is>
      </c>
    </row>
    <row r="3">
      <c r="B3" s="4" t="inlineStr">
        <is>
          <t>Project Name</t>
        </is>
      </c>
      <c r="C3" s="5" t="inlineStr"/>
    </row>
    <row r="4">
      <c r="B4" s="4" t="inlineStr">
        <is>
          <t>Project Address</t>
        </is>
      </c>
      <c r="C4" s="5" t="inlineStr"/>
    </row>
    <row r="5">
      <c r="B5" s="4" t="inlineStr">
        <is>
          <t>Owner</t>
        </is>
      </c>
      <c r="C5" s="5" t="inlineStr"/>
    </row>
    <row r="6">
      <c r="B6" s="4" t="inlineStr">
        <is>
          <t>Architect</t>
        </is>
      </c>
      <c r="C6" s="5" t="inlineStr"/>
    </row>
    <row r="7">
      <c r="B7" s="4" t="inlineStr">
        <is>
          <t>Engineer (Structural / MEP)</t>
        </is>
      </c>
      <c r="C7" s="5" t="inlineStr"/>
    </row>
    <row r="8">
      <c r="B8" s="4" t="inlineStr">
        <is>
          <t>Bid Due Date</t>
        </is>
      </c>
      <c r="C8" s="6" t="inlineStr"/>
    </row>
    <row r="9">
      <c r="B9" s="4" t="inlineStr">
        <is>
          <t>Project Type</t>
        </is>
      </c>
      <c r="C9" s="5" t="inlineStr">
        <is>
          <t>Commercial — New Construction</t>
        </is>
      </c>
    </row>
    <row r="10">
      <c r="B10" s="4" t="inlineStr">
        <is>
          <t>Delivery Method</t>
        </is>
      </c>
      <c r="C10" s="5" t="inlineStr">
        <is>
          <t>Design-Bid-Build</t>
        </is>
      </c>
    </row>
    <row r="11">
      <c r="B11" s="4" t="inlineStr">
        <is>
          <t>Construction Schedule (months)</t>
        </is>
      </c>
      <c r="C11" s="7" t="n">
        <v>0</v>
      </c>
    </row>
    <row r="12">
      <c r="B12" s="4" t="inlineStr">
        <is>
          <t>Anticipated NTP Date</t>
        </is>
      </c>
      <c r="C12" s="6" t="inlineStr"/>
    </row>
    <row r="13">
      <c r="B13" s="4" t="inlineStr">
        <is>
          <t>Anticipated Substantial Completion</t>
        </is>
      </c>
      <c r="C13" s="6" t="inlineStr"/>
    </row>
    <row r="14">
      <c r="B14" s="4" t="inlineStr">
        <is>
          <t>Project State (sales-tax rule)</t>
        </is>
      </c>
      <c r="C14" s="5" t="inlineStr"/>
    </row>
    <row r="15">
      <c r="B15" s="4" t="inlineStr">
        <is>
          <t>Davis-Bacon / Prevailing Wage?</t>
        </is>
      </c>
      <c r="C15" s="5" t="inlineStr">
        <is>
          <t>No</t>
        </is>
      </c>
    </row>
    <row r="17">
      <c r="B17" s="8" t="inlineStr">
        <is>
          <t>MARKUP CONVENTION (SEE INSTRUCTIONS — PICK ONE)</t>
        </is>
      </c>
    </row>
    <row r="18">
      <c r="B18" s="4" t="inlineStr">
        <is>
          <t>Sub Markup % (per-trade line-level)</t>
        </is>
      </c>
      <c r="C18" s="9" t="n">
        <v>0.07000000000000001</v>
      </c>
    </row>
    <row r="19">
      <c r="B19" s="4" t="inlineStr">
        <is>
          <t>Self-Perform OH %</t>
        </is>
      </c>
      <c r="C19" s="9" t="n">
        <v>0.1</v>
      </c>
    </row>
    <row r="20">
      <c r="B20" s="4" t="inlineStr">
        <is>
          <t>Self-Perform Profit %</t>
        </is>
      </c>
      <c r="C20" s="9" t="n">
        <v>0.08</v>
      </c>
    </row>
    <row r="21">
      <c r="B21" s="4" t="inlineStr">
        <is>
          <t>Corporate / Summary OH %</t>
        </is>
      </c>
      <c r="C21" s="10" t="n">
        <v>0</v>
      </c>
    </row>
    <row r="22">
      <c r="B22" s="4" t="inlineStr">
        <is>
          <t>Corporate / Summary Profit %</t>
        </is>
      </c>
      <c r="C22" s="10" t="n">
        <v>0</v>
      </c>
    </row>
    <row r="24">
      <c r="B24" s="8" t="inlineStr">
        <is>
          <t>BOND, INSURANCE, TAX</t>
        </is>
      </c>
    </row>
    <row r="25">
      <c r="B25" s="4" t="inlineStr">
        <is>
          <t>P&amp;P Bond %</t>
        </is>
      </c>
      <c r="C25" s="9" t="n">
        <v>0.01</v>
      </c>
    </row>
    <row r="26">
      <c r="B26" s="4" t="inlineStr">
        <is>
          <t>Sales Tax on Materials %</t>
        </is>
      </c>
      <c r="C26" s="9" t="n">
        <v>0.07000000000000001</v>
      </c>
    </row>
    <row r="27">
      <c r="B27" s="4" t="inlineStr">
        <is>
          <t>Builder's Risk in bid? (Owner usually supplies)</t>
        </is>
      </c>
      <c r="C27" s="5" t="inlineStr">
        <is>
          <t>No</t>
        </is>
      </c>
    </row>
    <row r="29">
      <c r="B29" s="8" t="inlineStr">
        <is>
          <t>CONTINGENCY</t>
        </is>
      </c>
    </row>
    <row r="30">
      <c r="B30" s="4" t="inlineStr">
        <is>
          <t>Per-Trade Contingency Default %</t>
        </is>
      </c>
      <c r="C30" s="9" t="n">
        <v>0.02</v>
      </c>
    </row>
    <row r="31">
      <c r="B31" s="4" t="inlineStr">
        <is>
          <t>Project-Level Contingency %</t>
        </is>
      </c>
      <c r="C31" s="9" t="n">
        <v>0.03</v>
      </c>
    </row>
    <row r="33">
      <c r="B33" s="8" t="inlineStr">
        <is>
          <t>BIDDER OF RECORD</t>
        </is>
      </c>
    </row>
    <row r="34">
      <c r="B34" s="4" t="inlineStr">
        <is>
          <t>Lead Estimator</t>
        </is>
      </c>
      <c r="C34" s="5" t="inlineStr"/>
    </row>
    <row r="35">
      <c r="B35" s="4" t="inlineStr">
        <is>
          <t>Project Executive</t>
        </is>
      </c>
      <c r="C35" s="5" t="inlineStr"/>
    </row>
    <row r="36">
      <c r="B36" s="4" t="inlineStr">
        <is>
          <t>Authorized Signatory</t>
        </is>
      </c>
      <c r="C36" s="5" t="inlineStr"/>
    </row>
  </sheetData>
  <mergeCells count="5">
    <mergeCell ref="B24:C24"/>
    <mergeCell ref="B29:C29"/>
    <mergeCell ref="B33:C33"/>
    <mergeCell ref="B17:C17"/>
    <mergeCell ref="B1:C1"/>
  </mergeCells>
  <dataValidations count="2">
    <dataValidation sqref="C15 C27" showDropDown="0" showInputMessage="0" showErrorMessage="0" allowBlank="0" type="list">
      <formula1>"Yes,No"</formula1>
    </dataValidation>
    <dataValidation sqref="C10" showDropDown="0" showInputMessage="0" showErrorMessage="0" allowBlank="1" type="list">
      <formula1>"Design-Bid-Build,Design-Build,GMP,CM at Risk,IPD,Other"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showGridLines="0" workbookViewId="0">
      <selection activeCell="A1" sqref="A1"/>
    </sheetView>
  </sheetViews>
  <sheetFormatPr baseColWidth="8" defaultRowHeight="15"/>
  <cols>
    <col width="9" customWidth="1" min="1" max="1"/>
    <col width="32" customWidth="1" min="2" max="2"/>
    <col width="26" customWidth="1" min="3" max="3"/>
    <col width="12" customWidth="1" min="4" max="4"/>
    <col width="16" customWidth="1" min="5" max="5"/>
    <col width="14" customWidth="1" min="6" max="6"/>
    <col width="16" customWidth="1" min="7" max="7"/>
    <col width="12" customWidth="1" min="8" max="8"/>
    <col width="16" customWidth="1" min="9" max="9"/>
    <col width="16" customWidth="1" min="10" max="10"/>
    <col width="30" customWidth="1" min="11" max="11"/>
  </cols>
  <sheetData>
    <row r="1" ht="32" customHeight="1">
      <c r="A1" s="1" t="inlineStr">
        <is>
          <t>TRADE BIDS — Subcontractor Quote Roll-Up</t>
        </is>
      </c>
    </row>
    <row r="2" ht="32" customHeight="1">
      <c r="A2" s="11" t="inlineStr">
        <is>
          <t>One row per CSI division. Enter the lowest qualifying sub quote per trade. The GC Markup column defaults to the SubMarkup named range (set on Project Info — default 7%); override per trade for thin-margin or high-risk scopes. Line Total = SubQuote × (1 + Markup) × (1 + Contingency).</t>
        </is>
      </c>
    </row>
    <row r="4" ht="30" customHeight="1">
      <c r="A4" s="12" t="inlineStr">
        <is>
          <t>CSI Div</t>
        </is>
      </c>
      <c r="B4" s="12" t="inlineStr">
        <is>
          <t>Trade Name</t>
        </is>
      </c>
      <c r="C4" s="12" t="inlineStr">
        <is>
          <t>Sub (low qualifying bidder)</t>
        </is>
      </c>
      <c r="D4" s="12" t="inlineStr">
        <is>
          <t>Quote Date</t>
        </is>
      </c>
      <c r="E4" s="12" t="inlineStr">
        <is>
          <t>Sub Quote ($)</t>
        </is>
      </c>
      <c r="F4" s="12" t="inlineStr">
        <is>
          <t>Quote Includes Bond?</t>
        </is>
      </c>
      <c r="G4" s="12" t="inlineStr">
        <is>
          <t>Quote Includes Sales Tax?</t>
        </is>
      </c>
      <c r="H4" s="12" t="inlineStr">
        <is>
          <t>GC Markup %</t>
        </is>
      </c>
      <c r="I4" s="12" t="inlineStr">
        <is>
          <t>Per-Trade Contingency %</t>
        </is>
      </c>
      <c r="J4" s="12" t="inlineStr">
        <is>
          <t>Line Total ($)</t>
        </is>
      </c>
      <c r="K4" s="12" t="inlineStr">
        <is>
          <t>Notes / Exclusions</t>
        </is>
      </c>
    </row>
    <row r="5">
      <c r="A5" s="13" t="inlineStr">
        <is>
          <t>01</t>
        </is>
      </c>
      <c r="B5" s="13" t="inlineStr">
        <is>
          <t>General Requirements</t>
        </is>
      </c>
      <c r="C5" s="13" t="n"/>
      <c r="D5" s="14" t="n"/>
      <c r="E5" s="15" t="n"/>
      <c r="F5" s="13" t="n"/>
      <c r="G5" s="13" t="n"/>
      <c r="H5" s="16">
        <f>SubMarkup</f>
        <v/>
      </c>
      <c r="I5" s="16">
        <f>TradeContingency</f>
        <v/>
      </c>
      <c r="J5" s="15">
        <f>IFERROR(E5*(1+H5)*(1+I5),0)</f>
        <v/>
      </c>
      <c r="K5" s="13" t="n"/>
    </row>
    <row r="6">
      <c r="A6" s="13" t="inlineStr">
        <is>
          <t>02</t>
        </is>
      </c>
      <c r="B6" s="13" t="inlineStr">
        <is>
          <t>Existing Conditions</t>
        </is>
      </c>
      <c r="C6" s="13" t="n"/>
      <c r="D6" s="14" t="n"/>
      <c r="E6" s="15" t="n"/>
      <c r="F6" s="13" t="n"/>
      <c r="G6" s="13" t="n"/>
      <c r="H6" s="16">
        <f>SubMarkup</f>
        <v/>
      </c>
      <c r="I6" s="16">
        <f>TradeContingency</f>
        <v/>
      </c>
      <c r="J6" s="15">
        <f>IFERROR(E6*(1+H6)*(1+I6),0)</f>
        <v/>
      </c>
      <c r="K6" s="13" t="n"/>
    </row>
    <row r="7">
      <c r="A7" s="13" t="inlineStr">
        <is>
          <t>03</t>
        </is>
      </c>
      <c r="B7" s="13" t="inlineStr">
        <is>
          <t>Concrete</t>
        </is>
      </c>
      <c r="C7" s="13" t="n"/>
      <c r="D7" s="14" t="n"/>
      <c r="E7" s="15" t="n"/>
      <c r="F7" s="13" t="n"/>
      <c r="G7" s="13" t="n"/>
      <c r="H7" s="16">
        <f>SubMarkup</f>
        <v/>
      </c>
      <c r="I7" s="16">
        <f>TradeContingency</f>
        <v/>
      </c>
      <c r="J7" s="15">
        <f>IFERROR(E7*(1+H7)*(1+I7),0)</f>
        <v/>
      </c>
      <c r="K7" s="13" t="n"/>
    </row>
    <row r="8">
      <c r="A8" s="13" t="inlineStr">
        <is>
          <t>04</t>
        </is>
      </c>
      <c r="B8" s="13" t="inlineStr">
        <is>
          <t>Masonry</t>
        </is>
      </c>
      <c r="C8" s="13" t="n"/>
      <c r="D8" s="14" t="n"/>
      <c r="E8" s="15" t="n"/>
      <c r="F8" s="13" t="n"/>
      <c r="G8" s="13" t="n"/>
      <c r="H8" s="16">
        <f>SubMarkup</f>
        <v/>
      </c>
      <c r="I8" s="16">
        <f>TradeContingency</f>
        <v/>
      </c>
      <c r="J8" s="15">
        <f>IFERROR(E8*(1+H8)*(1+I8),0)</f>
        <v/>
      </c>
      <c r="K8" s="13" t="n"/>
    </row>
    <row r="9">
      <c r="A9" s="13" t="inlineStr">
        <is>
          <t>05</t>
        </is>
      </c>
      <c r="B9" s="13" t="inlineStr">
        <is>
          <t>Metals</t>
        </is>
      </c>
      <c r="C9" s="13" t="n"/>
      <c r="D9" s="14" t="n"/>
      <c r="E9" s="15" t="n"/>
      <c r="F9" s="13" t="n"/>
      <c r="G9" s="13" t="n"/>
      <c r="H9" s="16">
        <f>SubMarkup</f>
        <v/>
      </c>
      <c r="I9" s="16">
        <f>TradeContingency</f>
        <v/>
      </c>
      <c r="J9" s="15">
        <f>IFERROR(E9*(1+H9)*(1+I9),0)</f>
        <v/>
      </c>
      <c r="K9" s="13" t="n"/>
    </row>
    <row r="10">
      <c r="A10" s="13" t="inlineStr">
        <is>
          <t>06</t>
        </is>
      </c>
      <c r="B10" s="13" t="inlineStr">
        <is>
          <t>Wood, Plastics, and Composites</t>
        </is>
      </c>
      <c r="C10" s="13" t="n"/>
      <c r="D10" s="14" t="n"/>
      <c r="E10" s="15" t="n"/>
      <c r="F10" s="13" t="n"/>
      <c r="G10" s="13" t="n"/>
      <c r="H10" s="16">
        <f>SubMarkup</f>
        <v/>
      </c>
      <c r="I10" s="16">
        <f>TradeContingency</f>
        <v/>
      </c>
      <c r="J10" s="15">
        <f>IFERROR(E10*(1+H10)*(1+I10),0)</f>
        <v/>
      </c>
      <c r="K10" s="13" t="n"/>
    </row>
    <row r="11">
      <c r="A11" s="13" t="inlineStr">
        <is>
          <t>07</t>
        </is>
      </c>
      <c r="B11" s="13" t="inlineStr">
        <is>
          <t>Thermal and Moisture Protection</t>
        </is>
      </c>
      <c r="C11" s="13" t="n"/>
      <c r="D11" s="14" t="n"/>
      <c r="E11" s="15" t="n"/>
      <c r="F11" s="13" t="n"/>
      <c r="G11" s="13" t="n"/>
      <c r="H11" s="16">
        <f>SubMarkup</f>
        <v/>
      </c>
      <c r="I11" s="16">
        <f>TradeContingency</f>
        <v/>
      </c>
      <c r="J11" s="15">
        <f>IFERROR(E11*(1+H11)*(1+I11),0)</f>
        <v/>
      </c>
      <c r="K11" s="13" t="n"/>
    </row>
    <row r="12">
      <c r="A12" s="13" t="inlineStr">
        <is>
          <t>08</t>
        </is>
      </c>
      <c r="B12" s="13" t="inlineStr">
        <is>
          <t>Openings</t>
        </is>
      </c>
      <c r="C12" s="13" t="n"/>
      <c r="D12" s="14" t="n"/>
      <c r="E12" s="15" t="n"/>
      <c r="F12" s="13" t="n"/>
      <c r="G12" s="13" t="n"/>
      <c r="H12" s="16">
        <f>SubMarkup</f>
        <v/>
      </c>
      <c r="I12" s="16">
        <f>TradeContingency</f>
        <v/>
      </c>
      <c r="J12" s="15">
        <f>IFERROR(E12*(1+H12)*(1+I12),0)</f>
        <v/>
      </c>
      <c r="K12" s="13" t="n"/>
    </row>
    <row r="13">
      <c r="A13" s="13" t="inlineStr">
        <is>
          <t>09</t>
        </is>
      </c>
      <c r="B13" s="13" t="inlineStr">
        <is>
          <t>Finishes</t>
        </is>
      </c>
      <c r="C13" s="13" t="n"/>
      <c r="D13" s="14" t="n"/>
      <c r="E13" s="15" t="n"/>
      <c r="F13" s="13" t="n"/>
      <c r="G13" s="13" t="n"/>
      <c r="H13" s="16">
        <f>SubMarkup</f>
        <v/>
      </c>
      <c r="I13" s="16">
        <f>TradeContingency</f>
        <v/>
      </c>
      <c r="J13" s="15">
        <f>IFERROR(E13*(1+H13)*(1+I13),0)</f>
        <v/>
      </c>
      <c r="K13" s="13" t="n"/>
    </row>
    <row r="14">
      <c r="A14" s="13" t="inlineStr">
        <is>
          <t>10</t>
        </is>
      </c>
      <c r="B14" s="13" t="inlineStr">
        <is>
          <t>Specialties</t>
        </is>
      </c>
      <c r="C14" s="13" t="n"/>
      <c r="D14" s="14" t="n"/>
      <c r="E14" s="15" t="n"/>
      <c r="F14" s="13" t="n"/>
      <c r="G14" s="13" t="n"/>
      <c r="H14" s="16">
        <f>SubMarkup</f>
        <v/>
      </c>
      <c r="I14" s="16">
        <f>TradeContingency</f>
        <v/>
      </c>
      <c r="J14" s="15">
        <f>IFERROR(E14*(1+H14)*(1+I14),0)</f>
        <v/>
      </c>
      <c r="K14" s="13" t="n"/>
    </row>
    <row r="15">
      <c r="A15" s="13" t="inlineStr">
        <is>
          <t>11</t>
        </is>
      </c>
      <c r="B15" s="13" t="inlineStr">
        <is>
          <t>Equipment</t>
        </is>
      </c>
      <c r="C15" s="13" t="n"/>
      <c r="D15" s="14" t="n"/>
      <c r="E15" s="15" t="n"/>
      <c r="F15" s="13" t="n"/>
      <c r="G15" s="13" t="n"/>
      <c r="H15" s="16">
        <f>SubMarkup</f>
        <v/>
      </c>
      <c r="I15" s="16">
        <f>TradeContingency</f>
        <v/>
      </c>
      <c r="J15" s="15">
        <f>IFERROR(E15*(1+H15)*(1+I15),0)</f>
        <v/>
      </c>
      <c r="K15" s="13" t="n"/>
    </row>
    <row r="16">
      <c r="A16" s="13" t="inlineStr">
        <is>
          <t>12</t>
        </is>
      </c>
      <c r="B16" s="13" t="inlineStr">
        <is>
          <t>Furnishings</t>
        </is>
      </c>
      <c r="C16" s="13" t="n"/>
      <c r="D16" s="14" t="n"/>
      <c r="E16" s="15" t="n"/>
      <c r="F16" s="13" t="n"/>
      <c r="G16" s="13" t="n"/>
      <c r="H16" s="16">
        <f>SubMarkup</f>
        <v/>
      </c>
      <c r="I16" s="16">
        <f>TradeContingency</f>
        <v/>
      </c>
      <c r="J16" s="15">
        <f>IFERROR(E16*(1+H16)*(1+I16),0)</f>
        <v/>
      </c>
      <c r="K16" s="13" t="n"/>
    </row>
    <row r="17">
      <c r="A17" s="13" t="inlineStr">
        <is>
          <t>13</t>
        </is>
      </c>
      <c r="B17" s="13" t="inlineStr">
        <is>
          <t>Special Construction</t>
        </is>
      </c>
      <c r="C17" s="13" t="n"/>
      <c r="D17" s="14" t="n"/>
      <c r="E17" s="15" t="n"/>
      <c r="F17" s="13" t="n"/>
      <c r="G17" s="13" t="n"/>
      <c r="H17" s="16">
        <f>SubMarkup</f>
        <v/>
      </c>
      <c r="I17" s="16">
        <f>TradeContingency</f>
        <v/>
      </c>
      <c r="J17" s="15">
        <f>IFERROR(E17*(1+H17)*(1+I17),0)</f>
        <v/>
      </c>
      <c r="K17" s="13" t="n"/>
    </row>
    <row r="18">
      <c r="A18" s="13" t="inlineStr">
        <is>
          <t>14</t>
        </is>
      </c>
      <c r="B18" s="13" t="inlineStr">
        <is>
          <t>Conveying Equipment</t>
        </is>
      </c>
      <c r="C18" s="13" t="n"/>
      <c r="D18" s="14" t="n"/>
      <c r="E18" s="15" t="n"/>
      <c r="F18" s="13" t="n"/>
      <c r="G18" s="13" t="n"/>
      <c r="H18" s="16">
        <f>SubMarkup</f>
        <v/>
      </c>
      <c r="I18" s="16">
        <f>TradeContingency</f>
        <v/>
      </c>
      <c r="J18" s="15">
        <f>IFERROR(E18*(1+H18)*(1+I18),0)</f>
        <v/>
      </c>
      <c r="K18" s="13" t="n"/>
    </row>
    <row r="19">
      <c r="A19" s="13" t="inlineStr">
        <is>
          <t>21</t>
        </is>
      </c>
      <c r="B19" s="13" t="inlineStr">
        <is>
          <t>Fire Suppression</t>
        </is>
      </c>
      <c r="C19" s="13" t="n"/>
      <c r="D19" s="14" t="n"/>
      <c r="E19" s="15" t="n"/>
      <c r="F19" s="13" t="n"/>
      <c r="G19" s="13" t="n"/>
      <c r="H19" s="16">
        <f>SubMarkup</f>
        <v/>
      </c>
      <c r="I19" s="16">
        <f>TradeContingency</f>
        <v/>
      </c>
      <c r="J19" s="15">
        <f>IFERROR(E19*(1+H19)*(1+I19),0)</f>
        <v/>
      </c>
      <c r="K19" s="13" t="n"/>
    </row>
    <row r="20">
      <c r="A20" s="13" t="inlineStr">
        <is>
          <t>22</t>
        </is>
      </c>
      <c r="B20" s="13" t="inlineStr">
        <is>
          <t>Plumbing</t>
        </is>
      </c>
      <c r="C20" s="13" t="n"/>
      <c r="D20" s="14" t="n"/>
      <c r="E20" s="15" t="n"/>
      <c r="F20" s="13" t="n"/>
      <c r="G20" s="13" t="n"/>
      <c r="H20" s="16">
        <f>SubMarkup</f>
        <v/>
      </c>
      <c r="I20" s="16">
        <f>TradeContingency</f>
        <v/>
      </c>
      <c r="J20" s="15">
        <f>IFERROR(E20*(1+H20)*(1+I20),0)</f>
        <v/>
      </c>
      <c r="K20" s="13" t="n"/>
    </row>
    <row r="21">
      <c r="A21" s="13" t="inlineStr">
        <is>
          <t>23</t>
        </is>
      </c>
      <c r="B21" s="13" t="inlineStr">
        <is>
          <t>HVAC</t>
        </is>
      </c>
      <c r="C21" s="13" t="n"/>
      <c r="D21" s="14" t="n"/>
      <c r="E21" s="15" t="n"/>
      <c r="F21" s="13" t="n"/>
      <c r="G21" s="13" t="n"/>
      <c r="H21" s="16">
        <f>SubMarkup</f>
        <v/>
      </c>
      <c r="I21" s="16">
        <f>TradeContingency</f>
        <v/>
      </c>
      <c r="J21" s="15">
        <f>IFERROR(E21*(1+H21)*(1+I21),0)</f>
        <v/>
      </c>
      <c r="K21" s="13" t="n"/>
    </row>
    <row r="22">
      <c r="A22" s="13" t="inlineStr">
        <is>
          <t>25</t>
        </is>
      </c>
      <c r="B22" s="13" t="inlineStr">
        <is>
          <t>Integrated Automation</t>
        </is>
      </c>
      <c r="C22" s="13" t="n"/>
      <c r="D22" s="14" t="n"/>
      <c r="E22" s="15" t="n"/>
      <c r="F22" s="13" t="n"/>
      <c r="G22" s="13" t="n"/>
      <c r="H22" s="16">
        <f>SubMarkup</f>
        <v/>
      </c>
      <c r="I22" s="16">
        <f>TradeContingency</f>
        <v/>
      </c>
      <c r="J22" s="15">
        <f>IFERROR(E22*(1+H22)*(1+I22),0)</f>
        <v/>
      </c>
      <c r="K22" s="13" t="n"/>
    </row>
    <row r="23">
      <c r="A23" s="13" t="inlineStr">
        <is>
          <t>26</t>
        </is>
      </c>
      <c r="B23" s="13" t="inlineStr">
        <is>
          <t>Electrical</t>
        </is>
      </c>
      <c r="C23" s="13" t="n"/>
      <c r="D23" s="14" t="n"/>
      <c r="E23" s="15" t="n"/>
      <c r="F23" s="13" t="n"/>
      <c r="G23" s="13" t="n"/>
      <c r="H23" s="16">
        <f>SubMarkup</f>
        <v/>
      </c>
      <c r="I23" s="16">
        <f>TradeContingency</f>
        <v/>
      </c>
      <c r="J23" s="15">
        <f>IFERROR(E23*(1+H23)*(1+I23),0)</f>
        <v/>
      </c>
      <c r="K23" s="13" t="n"/>
    </row>
    <row r="24">
      <c r="A24" s="13" t="inlineStr">
        <is>
          <t>27</t>
        </is>
      </c>
      <c r="B24" s="13" t="inlineStr">
        <is>
          <t>Communications</t>
        </is>
      </c>
      <c r="C24" s="13" t="n"/>
      <c r="D24" s="14" t="n"/>
      <c r="E24" s="15" t="n"/>
      <c r="F24" s="13" t="n"/>
      <c r="G24" s="13" t="n"/>
      <c r="H24" s="16">
        <f>SubMarkup</f>
        <v/>
      </c>
      <c r="I24" s="16">
        <f>TradeContingency</f>
        <v/>
      </c>
      <c r="J24" s="15">
        <f>IFERROR(E24*(1+H24)*(1+I24),0)</f>
        <v/>
      </c>
      <c r="K24" s="13" t="n"/>
    </row>
    <row r="25">
      <c r="A25" s="13" t="inlineStr">
        <is>
          <t>28</t>
        </is>
      </c>
      <c r="B25" s="13" t="inlineStr">
        <is>
          <t>Electronic Safety and Security</t>
        </is>
      </c>
      <c r="C25" s="13" t="n"/>
      <c r="D25" s="14" t="n"/>
      <c r="E25" s="15" t="n"/>
      <c r="F25" s="13" t="n"/>
      <c r="G25" s="13" t="n"/>
      <c r="H25" s="16">
        <f>SubMarkup</f>
        <v/>
      </c>
      <c r="I25" s="16">
        <f>TradeContingency</f>
        <v/>
      </c>
      <c r="J25" s="15">
        <f>IFERROR(E25*(1+H25)*(1+I25),0)</f>
        <v/>
      </c>
      <c r="K25" s="13" t="n"/>
    </row>
    <row r="26">
      <c r="A26" s="13" t="inlineStr">
        <is>
          <t>31</t>
        </is>
      </c>
      <c r="B26" s="13" t="inlineStr">
        <is>
          <t>Earthwork</t>
        </is>
      </c>
      <c r="C26" s="13" t="n"/>
      <c r="D26" s="14" t="n"/>
      <c r="E26" s="15" t="n"/>
      <c r="F26" s="13" t="n"/>
      <c r="G26" s="13" t="n"/>
      <c r="H26" s="16">
        <f>SubMarkup</f>
        <v/>
      </c>
      <c r="I26" s="16">
        <f>TradeContingency</f>
        <v/>
      </c>
      <c r="J26" s="15">
        <f>IFERROR(E26*(1+H26)*(1+I26),0)</f>
        <v/>
      </c>
      <c r="K26" s="13" t="n"/>
    </row>
    <row r="27">
      <c r="A27" s="13" t="inlineStr">
        <is>
          <t>32</t>
        </is>
      </c>
      <c r="B27" s="13" t="inlineStr">
        <is>
          <t>Exterior Improvements</t>
        </is>
      </c>
      <c r="C27" s="13" t="n"/>
      <c r="D27" s="14" t="n"/>
      <c r="E27" s="15" t="n"/>
      <c r="F27" s="13" t="n"/>
      <c r="G27" s="13" t="n"/>
      <c r="H27" s="16">
        <f>SubMarkup</f>
        <v/>
      </c>
      <c r="I27" s="16">
        <f>TradeContingency</f>
        <v/>
      </c>
      <c r="J27" s="15">
        <f>IFERROR(E27*(1+H27)*(1+I27),0)</f>
        <v/>
      </c>
      <c r="K27" s="13" t="n"/>
    </row>
    <row r="28">
      <c r="A28" s="13" t="inlineStr">
        <is>
          <t>33</t>
        </is>
      </c>
      <c r="B28" s="13" t="inlineStr">
        <is>
          <t>Utilities</t>
        </is>
      </c>
      <c r="C28" s="13" t="n"/>
      <c r="D28" s="14" t="n"/>
      <c r="E28" s="15" t="n"/>
      <c r="F28" s="13" t="n"/>
      <c r="G28" s="13" t="n"/>
      <c r="H28" s="16">
        <f>SubMarkup</f>
        <v/>
      </c>
      <c r="I28" s="16">
        <f>TradeContingency</f>
        <v/>
      </c>
      <c r="J28" s="15">
        <f>IFERROR(E28*(1+H28)*(1+I28),0)</f>
        <v/>
      </c>
      <c r="K28" s="13" t="n"/>
    </row>
    <row r="29">
      <c r="A29" s="13" t="inlineStr">
        <is>
          <t>34</t>
        </is>
      </c>
      <c r="B29" s="13" t="inlineStr">
        <is>
          <t>Transportation</t>
        </is>
      </c>
      <c r="C29" s="13" t="n"/>
      <c r="D29" s="14" t="n"/>
      <c r="E29" s="15" t="n"/>
      <c r="F29" s="13" t="n"/>
      <c r="G29" s="13" t="n"/>
      <c r="H29" s="16">
        <f>SubMarkup</f>
        <v/>
      </c>
      <c r="I29" s="16">
        <f>TradeContingency</f>
        <v/>
      </c>
      <c r="J29" s="15">
        <f>IFERROR(E29*(1+H29)*(1+I29),0)</f>
        <v/>
      </c>
      <c r="K29" s="13" t="n"/>
    </row>
    <row r="30">
      <c r="A30" s="13" t="inlineStr">
        <is>
          <t>35</t>
        </is>
      </c>
      <c r="B30" s="13" t="inlineStr">
        <is>
          <t>Waterway and Marine Construction</t>
        </is>
      </c>
      <c r="C30" s="13" t="n"/>
      <c r="D30" s="14" t="n"/>
      <c r="E30" s="15" t="n"/>
      <c r="F30" s="13" t="n"/>
      <c r="G30" s="13" t="n"/>
      <c r="H30" s="16">
        <f>SubMarkup</f>
        <v/>
      </c>
      <c r="I30" s="16">
        <f>TradeContingency</f>
        <v/>
      </c>
      <c r="J30" s="15">
        <f>IFERROR(E30*(1+H30)*(1+I30),0)</f>
        <v/>
      </c>
      <c r="K30" s="13" t="n"/>
    </row>
    <row r="31">
      <c r="B31" s="17" t="inlineStr">
        <is>
          <t>TRADE BIDS TOTAL</t>
        </is>
      </c>
      <c r="E31" s="18">
        <f>SUM(E5:E30)</f>
        <v/>
      </c>
      <c r="J31" s="18">
        <f>SUM(J5:J30)</f>
        <v/>
      </c>
    </row>
  </sheetData>
  <mergeCells count="2">
    <mergeCell ref="A2:K2"/>
    <mergeCell ref="A1:K1"/>
  </mergeCells>
  <dataValidations count="1">
    <dataValidation sqref="F5:F30 G5:G30" showDropDown="0" showInputMessage="0" showErrorMessage="0" allowBlank="1"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
  <sheetViews>
    <sheetView showGridLines="0" workbookViewId="0">
      <selection activeCell="A1" sqref="A1"/>
    </sheetView>
  </sheetViews>
  <sheetFormatPr baseColWidth="8" defaultRowHeight="15"/>
  <cols>
    <col width="9" customWidth="1" min="1" max="1"/>
    <col width="32" customWidth="1" min="2" max="2"/>
    <col width="16" customWidth="1" min="3" max="3"/>
    <col width="16" customWidth="1" min="4" max="4"/>
    <col width="16" customWidth="1" min="5" max="5"/>
    <col width="16" customWidth="1" min="6" max="6"/>
    <col width="9" customWidth="1" min="7" max="7"/>
    <col width="9" customWidth="1" min="8" max="8"/>
    <col width="16" customWidth="1" min="9" max="9"/>
    <col width="22" customWidth="1" min="10" max="10"/>
  </cols>
  <sheetData>
    <row r="1" ht="32" customHeight="1">
      <c r="A1" s="1" t="inlineStr">
        <is>
          <t>SELF-PERFORM WORK — GC Crew</t>
        </is>
      </c>
    </row>
    <row r="2" ht="32" customHeight="1">
      <c r="A2" s="11" t="inlineStr">
        <is>
          <t>Work the GC self-performs with its own crews (rare on true GC; common on Design-Build / CM-at-Risk). Common self-perform scopes: site work, concrete, carpentry, general labor, demolition. Direct Cost auto-sums Labor+Material+Equipment; Line Total applies SelfPerfOH + SelfPerfProfit defaults.</t>
        </is>
      </c>
    </row>
    <row r="4" ht="30" customHeight="1">
      <c r="A4" s="12" t="inlineStr">
        <is>
          <t>CSI Div</t>
        </is>
      </c>
      <c r="B4" s="12" t="inlineStr">
        <is>
          <t>Activity</t>
        </is>
      </c>
      <c r="C4" s="12" t="inlineStr">
        <is>
          <t>Labor Cost ($)</t>
        </is>
      </c>
      <c r="D4" s="12" t="inlineStr">
        <is>
          <t>Material Cost ($)</t>
        </is>
      </c>
      <c r="E4" s="12" t="inlineStr">
        <is>
          <t>Equipment Cost ($)</t>
        </is>
      </c>
      <c r="F4" s="12" t="inlineStr">
        <is>
          <t>Direct Cost ($)</t>
        </is>
      </c>
      <c r="G4" s="12" t="inlineStr">
        <is>
          <t>OH %</t>
        </is>
      </c>
      <c r="H4" s="12" t="inlineStr">
        <is>
          <t>Profit %</t>
        </is>
      </c>
      <c r="I4" s="12" t="inlineStr">
        <is>
          <t>Line Total ($)</t>
        </is>
      </c>
      <c r="J4" s="12" t="inlineStr">
        <is>
          <t>Notes</t>
        </is>
      </c>
    </row>
    <row r="5">
      <c r="A5" s="13" t="inlineStr">
        <is>
          <t>01</t>
        </is>
      </c>
      <c r="B5" s="13" t="inlineStr">
        <is>
          <t>Project Supervision (allocated)</t>
        </is>
      </c>
      <c r="C5" s="15" t="n"/>
      <c r="D5" s="15" t="n"/>
      <c r="E5" s="15" t="n"/>
      <c r="F5" s="15">
        <f>IFERROR(SUM(C5:E5),0)</f>
        <v/>
      </c>
      <c r="G5" s="16">
        <f>SelfPerfOH</f>
        <v/>
      </c>
      <c r="H5" s="16">
        <f>SelfPerfProfit</f>
        <v/>
      </c>
      <c r="I5" s="15">
        <f>IFERROR(F5*(1+G5)*(1+H5),0)</f>
        <v/>
      </c>
      <c r="J5" s="13" t="n"/>
    </row>
    <row r="6">
      <c r="A6" s="13" t="inlineStr">
        <is>
          <t>02</t>
        </is>
      </c>
      <c r="B6" s="13" t="inlineStr">
        <is>
          <t>Demolition</t>
        </is>
      </c>
      <c r="C6" s="15" t="n"/>
      <c r="D6" s="15" t="n"/>
      <c r="E6" s="15" t="n"/>
      <c r="F6" s="15">
        <f>IFERROR(SUM(C6:E6),0)</f>
        <v/>
      </c>
      <c r="G6" s="16">
        <f>SelfPerfOH</f>
        <v/>
      </c>
      <c r="H6" s="16">
        <f>SelfPerfProfit</f>
        <v/>
      </c>
      <c r="I6" s="15">
        <f>IFERROR(F6*(1+G6)*(1+H6),0)</f>
        <v/>
      </c>
      <c r="J6" s="13" t="n"/>
    </row>
    <row r="7">
      <c r="A7" s="13" t="inlineStr">
        <is>
          <t>03</t>
        </is>
      </c>
      <c r="B7" s="13" t="inlineStr">
        <is>
          <t>Concrete — flatwork</t>
        </is>
      </c>
      <c r="C7" s="15" t="n"/>
      <c r="D7" s="15" t="n"/>
      <c r="E7" s="15" t="n"/>
      <c r="F7" s="15">
        <f>IFERROR(SUM(C7:E7),0)</f>
        <v/>
      </c>
      <c r="G7" s="16">
        <f>SelfPerfOH</f>
        <v/>
      </c>
      <c r="H7" s="16">
        <f>SelfPerfProfit</f>
        <v/>
      </c>
      <c r="I7" s="15">
        <f>IFERROR(F7*(1+G7)*(1+H7),0)</f>
        <v/>
      </c>
      <c r="J7" s="13" t="n"/>
    </row>
    <row r="8">
      <c r="A8" s="13" t="inlineStr">
        <is>
          <t>06</t>
        </is>
      </c>
      <c r="B8" s="13" t="inlineStr">
        <is>
          <t>Rough carpentry</t>
        </is>
      </c>
      <c r="C8" s="15" t="n"/>
      <c r="D8" s="15" t="n"/>
      <c r="E8" s="15" t="n"/>
      <c r="F8" s="15">
        <f>IFERROR(SUM(C8:E8),0)</f>
        <v/>
      </c>
      <c r="G8" s="16">
        <f>SelfPerfOH</f>
        <v/>
      </c>
      <c r="H8" s="16">
        <f>SelfPerfProfit</f>
        <v/>
      </c>
      <c r="I8" s="15">
        <f>IFERROR(F8*(1+G8)*(1+H8),0)</f>
        <v/>
      </c>
      <c r="J8" s="13" t="n"/>
    </row>
    <row r="9">
      <c r="A9" s="13" t="inlineStr">
        <is>
          <t>31</t>
        </is>
      </c>
      <c r="B9" s="13" t="inlineStr">
        <is>
          <t>Site work / earthwork</t>
        </is>
      </c>
      <c r="C9" s="15" t="n"/>
      <c r="D9" s="15" t="n"/>
      <c r="E9" s="15" t="n"/>
      <c r="F9" s="15">
        <f>IFERROR(SUM(C9:E9),0)</f>
        <v/>
      </c>
      <c r="G9" s="16">
        <f>SelfPerfOH</f>
        <v/>
      </c>
      <c r="H9" s="16">
        <f>SelfPerfProfit</f>
        <v/>
      </c>
      <c r="I9" s="15">
        <f>IFERROR(F9*(1+G9)*(1+H9),0)</f>
        <v/>
      </c>
      <c r="J9" s="13" t="n"/>
    </row>
    <row r="10">
      <c r="A10" s="13" t="inlineStr"/>
      <c r="B10" s="13" t="inlineStr"/>
      <c r="C10" s="15" t="n"/>
      <c r="D10" s="15" t="n"/>
      <c r="E10" s="15" t="n"/>
      <c r="F10" s="15">
        <f>IFERROR(SUM(C10:E10),0)</f>
        <v/>
      </c>
      <c r="G10" s="16">
        <f>SelfPerfOH</f>
        <v/>
      </c>
      <c r="H10" s="16">
        <f>SelfPerfProfit</f>
        <v/>
      </c>
      <c r="I10" s="15">
        <f>IFERROR(F10*(1+G10)*(1+H10),0)</f>
        <v/>
      </c>
      <c r="J10" s="13" t="n"/>
    </row>
    <row r="11">
      <c r="A11" s="13" t="inlineStr"/>
      <c r="B11" s="13" t="inlineStr"/>
      <c r="C11" s="15" t="n"/>
      <c r="D11" s="15" t="n"/>
      <c r="E11" s="15" t="n"/>
      <c r="F11" s="15">
        <f>IFERROR(SUM(C11:E11),0)</f>
        <v/>
      </c>
      <c r="G11" s="16">
        <f>SelfPerfOH</f>
        <v/>
      </c>
      <c r="H11" s="16">
        <f>SelfPerfProfit</f>
        <v/>
      </c>
      <c r="I11" s="15">
        <f>IFERROR(F11*(1+G11)*(1+H11),0)</f>
        <v/>
      </c>
      <c r="J11" s="13" t="n"/>
    </row>
    <row r="12">
      <c r="A12" s="13" t="inlineStr"/>
      <c r="B12" s="13" t="inlineStr"/>
      <c r="C12" s="15" t="n"/>
      <c r="D12" s="15" t="n"/>
      <c r="E12" s="15" t="n"/>
      <c r="F12" s="15">
        <f>IFERROR(SUM(C12:E12),0)</f>
        <v/>
      </c>
      <c r="G12" s="16">
        <f>SelfPerfOH</f>
        <v/>
      </c>
      <c r="H12" s="16">
        <f>SelfPerfProfit</f>
        <v/>
      </c>
      <c r="I12" s="15">
        <f>IFERROR(F12*(1+G12)*(1+H12),0)</f>
        <v/>
      </c>
      <c r="J12" s="13" t="n"/>
    </row>
    <row r="13">
      <c r="B13" s="17" t="inlineStr">
        <is>
          <t>SELF-PERFORM TOTAL</t>
        </is>
      </c>
      <c r="F13" s="18">
        <f>SUM(F5:F12)</f>
        <v/>
      </c>
      <c r="I13" s="18">
        <f>SUM(I5:I12)</f>
        <v/>
      </c>
    </row>
  </sheetData>
  <mergeCells count="2">
    <mergeCell ref="A1:J1"/>
    <mergeCell ref="A2:J2"/>
  </mergeCells>
  <dataValidations count="1">
    <dataValidation sqref="A5:A12" showDropDown="0" showInputMessage="0" showErrorMessage="0" allowBlank="1" type="list">
      <formula1>"01,02,03,04,05,06,07,08,09,10,11,12,13,14,21,22,23,25,26,27,28,31,32,33,34,35"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showGridLines="0" workbookViewId="0">
      <selection activeCell="A1" sqref="A1"/>
    </sheetView>
  </sheetViews>
  <sheetFormatPr baseColWidth="8" defaultRowHeight="15"/>
  <cols>
    <col width="28" customWidth="1" min="1" max="1"/>
    <col width="32" customWidth="1" min="2" max="2"/>
    <col width="16" customWidth="1" min="3" max="3"/>
    <col width="12" customWidth="1" min="4" max="4"/>
    <col width="14" customWidth="1" min="5" max="5"/>
    <col width="13" customWidth="1" min="6" max="6"/>
    <col width="14" customWidth="1" min="7" max="7"/>
    <col width="22" customWidth="1" min="8" max="8"/>
  </cols>
  <sheetData>
    <row r="1" ht="32" customHeight="1">
      <c r="A1" s="1" t="inlineStr">
        <is>
          <t>GENERAL CONDITIONS — Division 01</t>
        </is>
      </c>
    </row>
    <row r="2" ht="32" customHeight="1">
      <c r="A2" s="11" t="inlineStr">
        <is>
          <t>Division 01 line items not part of any sub trade. Basis column drives the math: MONTHLY = Qty × Unit × Duration, LUMP = Qty × Unit, PER-SF = Qty × Unit (where Qty = project SF). Typically 5-10% of trade-cost subtotal on commercial work.</t>
        </is>
      </c>
    </row>
    <row r="4" ht="30" customHeight="1">
      <c r="A4" s="12" t="inlineStr">
        <is>
          <t>Category</t>
        </is>
      </c>
      <c r="B4" s="12" t="inlineStr">
        <is>
          <t>Item</t>
        </is>
      </c>
      <c r="C4" s="12" t="inlineStr">
        <is>
          <t>Basis</t>
        </is>
      </c>
      <c r="D4" s="12" t="inlineStr">
        <is>
          <t>Quantity</t>
        </is>
      </c>
      <c r="E4" s="12" t="inlineStr">
        <is>
          <t>Unit Cost ($)</t>
        </is>
      </c>
      <c r="F4" s="12" t="inlineStr">
        <is>
          <t>Duration (months)</t>
        </is>
      </c>
      <c r="G4" s="12" t="inlineStr">
        <is>
          <t>Line Total ($)</t>
        </is>
      </c>
      <c r="H4" s="12" t="inlineStr">
        <is>
          <t>Notes</t>
        </is>
      </c>
    </row>
    <row r="5">
      <c r="A5" s="13" t="inlineStr">
        <is>
          <t>Supervision</t>
        </is>
      </c>
      <c r="B5" s="13" t="inlineStr">
        <is>
          <t>Project Manager (on-site allocation)</t>
        </is>
      </c>
      <c r="C5" s="13" t="inlineStr">
        <is>
          <t>MONTHLY</t>
        </is>
      </c>
      <c r="D5" s="19" t="n">
        <v>1</v>
      </c>
      <c r="E5" s="15" t="n">
        <v>0</v>
      </c>
      <c r="F5" s="19" t="n">
        <v>0</v>
      </c>
      <c r="G5" s="15">
        <f>IFERROR(IF(C5="MONTHLY",D5*E5*F5,D5*E5),0)</f>
        <v/>
      </c>
      <c r="H5" s="13" t="n"/>
    </row>
    <row r="6">
      <c r="A6" s="13" t="inlineStr">
        <is>
          <t>Supervision</t>
        </is>
      </c>
      <c r="B6" s="13" t="inlineStr">
        <is>
          <t>Superintendent</t>
        </is>
      </c>
      <c r="C6" s="13" t="inlineStr">
        <is>
          <t>MONTHLY</t>
        </is>
      </c>
      <c r="D6" s="19" t="n">
        <v>1</v>
      </c>
      <c r="E6" s="15" t="n">
        <v>0</v>
      </c>
      <c r="F6" s="19" t="n">
        <v>0</v>
      </c>
      <c r="G6" s="15">
        <f>IFERROR(IF(C6="MONTHLY",D6*E6*F6,D6*E6),0)</f>
        <v/>
      </c>
      <c r="H6" s="13" t="n"/>
    </row>
    <row r="7">
      <c r="A7" s="13" t="inlineStr">
        <is>
          <t>Supervision</t>
        </is>
      </c>
      <c r="B7" s="13" t="inlineStr">
        <is>
          <t>Assistant Superintendent</t>
        </is>
      </c>
      <c r="C7" s="13" t="inlineStr">
        <is>
          <t>MONTHLY</t>
        </is>
      </c>
      <c r="D7" s="19" t="n">
        <v>0</v>
      </c>
      <c r="E7" s="15" t="n">
        <v>0</v>
      </c>
      <c r="F7" s="19" t="n">
        <v>0</v>
      </c>
      <c r="G7" s="15">
        <f>IFERROR(IF(C7="MONTHLY",D7*E7*F7,D7*E7),0)</f>
        <v/>
      </c>
      <c r="H7" s="13" t="n"/>
    </row>
    <row r="8">
      <c r="A8" s="13" t="inlineStr">
        <is>
          <t>Supervision</t>
        </is>
      </c>
      <c r="B8" s="13" t="inlineStr">
        <is>
          <t>Project Engineer</t>
        </is>
      </c>
      <c r="C8" s="13" t="inlineStr">
        <is>
          <t>MONTHLY</t>
        </is>
      </c>
      <c r="D8" s="19" t="n">
        <v>0</v>
      </c>
      <c r="E8" s="15" t="n">
        <v>0</v>
      </c>
      <c r="F8" s="19" t="n">
        <v>0</v>
      </c>
      <c r="G8" s="15">
        <f>IFERROR(IF(C8="MONTHLY",D8*E8*F8,D8*E8),0)</f>
        <v/>
      </c>
      <c r="H8" s="13" t="n"/>
    </row>
    <row r="9">
      <c r="A9" s="13" t="inlineStr">
        <is>
          <t>Supervision</t>
        </is>
      </c>
      <c r="B9" s="13" t="inlineStr">
        <is>
          <t>Safety Officer</t>
        </is>
      </c>
      <c r="C9" s="13" t="inlineStr">
        <is>
          <t>MONTHLY</t>
        </is>
      </c>
      <c r="D9" s="19" t="n">
        <v>0</v>
      </c>
      <c r="E9" s="15" t="n">
        <v>0</v>
      </c>
      <c r="F9" s="19" t="n">
        <v>0</v>
      </c>
      <c r="G9" s="15">
        <f>IFERROR(IF(C9="MONTHLY",D9*E9*F9,D9*E9),0)</f>
        <v/>
      </c>
      <c r="H9" s="13" t="n"/>
    </row>
    <row r="10">
      <c r="A10" s="13" t="inlineStr">
        <is>
          <t>Field Office</t>
        </is>
      </c>
      <c r="B10" s="13" t="inlineStr">
        <is>
          <t>Trailer rental</t>
        </is>
      </c>
      <c r="C10" s="13" t="inlineStr">
        <is>
          <t>MONTHLY</t>
        </is>
      </c>
      <c r="D10" s="19" t="n">
        <v>1</v>
      </c>
      <c r="E10" s="15" t="n">
        <v>0</v>
      </c>
      <c r="F10" s="19" t="n">
        <v>0</v>
      </c>
      <c r="G10" s="15">
        <f>IFERROR(IF(C10="MONTHLY",D10*E10*F10,D10*E10),0)</f>
        <v/>
      </c>
      <c r="H10" s="13" t="n"/>
    </row>
    <row r="11">
      <c r="A11" s="13" t="inlineStr">
        <is>
          <t>Field Office</t>
        </is>
      </c>
      <c r="B11" s="13" t="inlineStr">
        <is>
          <t>Trailer set-up + tear-down</t>
        </is>
      </c>
      <c r="C11" s="13" t="inlineStr">
        <is>
          <t>LUMP</t>
        </is>
      </c>
      <c r="D11" s="19" t="n">
        <v>1</v>
      </c>
      <c r="E11" s="15" t="n">
        <v>0</v>
      </c>
      <c r="F11" s="19" t="n">
        <v>0</v>
      </c>
      <c r="G11" s="15">
        <f>IFERROR(IF(C11="MONTHLY",D11*E11*F11,D11*E11),0)</f>
        <v/>
      </c>
      <c r="H11" s="13" t="n"/>
    </row>
    <row r="12">
      <c r="A12" s="13" t="inlineStr">
        <is>
          <t>Field Office</t>
        </is>
      </c>
      <c r="B12" s="13" t="inlineStr">
        <is>
          <t>Power / utilities to trailer</t>
        </is>
      </c>
      <c r="C12" s="13" t="inlineStr">
        <is>
          <t>MONTHLY</t>
        </is>
      </c>
      <c r="D12" s="19" t="n">
        <v>1</v>
      </c>
      <c r="E12" s="15" t="n">
        <v>0</v>
      </c>
      <c r="F12" s="19" t="n">
        <v>0</v>
      </c>
      <c r="G12" s="15">
        <f>IFERROR(IF(C12="MONTHLY",D12*E12*F12,D12*E12),0)</f>
        <v/>
      </c>
      <c r="H12" s="13" t="n"/>
    </row>
    <row r="13">
      <c r="A13" s="13" t="inlineStr">
        <is>
          <t>Field Office</t>
        </is>
      </c>
      <c r="B13" s="13" t="inlineStr">
        <is>
          <t>Phone / internet</t>
        </is>
      </c>
      <c r="C13" s="13" t="inlineStr">
        <is>
          <t>MONTHLY</t>
        </is>
      </c>
      <c r="D13" s="19" t="n">
        <v>1</v>
      </c>
      <c r="E13" s="15" t="n">
        <v>0</v>
      </c>
      <c r="F13" s="19" t="n">
        <v>0</v>
      </c>
      <c r="G13" s="15">
        <f>IFERROR(IF(C13="MONTHLY",D13*E13*F13,D13*E13),0)</f>
        <v/>
      </c>
      <c r="H13" s="13" t="n"/>
    </row>
    <row r="14">
      <c r="A14" s="13" t="inlineStr">
        <is>
          <t>Field Office</t>
        </is>
      </c>
      <c r="B14" s="13" t="inlineStr">
        <is>
          <t>Office supplies + copies</t>
        </is>
      </c>
      <c r="C14" s="13" t="inlineStr">
        <is>
          <t>MONTHLY</t>
        </is>
      </c>
      <c r="D14" s="19" t="n">
        <v>1</v>
      </c>
      <c r="E14" s="15" t="n">
        <v>0</v>
      </c>
      <c r="F14" s="19" t="n">
        <v>0</v>
      </c>
      <c r="G14" s="15">
        <f>IFERROR(IF(C14="MONTHLY",D14*E14*F14,D14*E14),0)</f>
        <v/>
      </c>
      <c r="H14" s="13" t="n"/>
    </row>
    <row r="15">
      <c r="A15" s="13" t="inlineStr">
        <is>
          <t>Site Facilities</t>
        </is>
      </c>
      <c r="B15" s="13" t="inlineStr">
        <is>
          <t>Port-a-John (per unit per month)</t>
        </is>
      </c>
      <c r="C15" s="13" t="inlineStr">
        <is>
          <t>MONTHLY</t>
        </is>
      </c>
      <c r="D15" s="19" t="n">
        <v>1</v>
      </c>
      <c r="E15" s="15" t="n">
        <v>0</v>
      </c>
      <c r="F15" s="19" t="n">
        <v>0</v>
      </c>
      <c r="G15" s="15">
        <f>IFERROR(IF(C15="MONTHLY",D15*E15*F15,D15*E15),0)</f>
        <v/>
      </c>
      <c r="H15" s="13" t="n"/>
    </row>
    <row r="16">
      <c r="A16" s="13" t="inlineStr">
        <is>
          <t>Site Facilities</t>
        </is>
      </c>
      <c r="B16" s="13" t="inlineStr">
        <is>
          <t>Dumpsters (rolling)</t>
        </is>
      </c>
      <c r="C16" s="13" t="inlineStr">
        <is>
          <t>MONTHLY</t>
        </is>
      </c>
      <c r="D16" s="19" t="n">
        <v>1</v>
      </c>
      <c r="E16" s="15" t="n">
        <v>0</v>
      </c>
      <c r="F16" s="19" t="n">
        <v>0</v>
      </c>
      <c r="G16" s="15">
        <f>IFERROR(IF(C16="MONTHLY",D16*E16*F16,D16*E16),0)</f>
        <v/>
      </c>
      <c r="H16" s="13" t="n"/>
    </row>
    <row r="17">
      <c r="A17" s="13" t="inlineStr">
        <is>
          <t>Site Facilities</t>
        </is>
      </c>
      <c r="B17" s="13" t="inlineStr">
        <is>
          <t>Site fencing + gates</t>
        </is>
      </c>
      <c r="C17" s="13" t="inlineStr">
        <is>
          <t>LUMP</t>
        </is>
      </c>
      <c r="D17" s="19" t="n">
        <v>1</v>
      </c>
      <c r="E17" s="15" t="n">
        <v>0</v>
      </c>
      <c r="F17" s="19" t="n">
        <v>0</v>
      </c>
      <c r="G17" s="15">
        <f>IFERROR(IF(C17="MONTHLY",D17*E17*F17,D17*E17),0)</f>
        <v/>
      </c>
      <c r="H17" s="13" t="n"/>
    </row>
    <row r="18">
      <c r="A18" s="13" t="inlineStr">
        <is>
          <t>Site Facilities</t>
        </is>
      </c>
      <c r="B18" s="13" t="inlineStr">
        <is>
          <t>Site signage + safety signage</t>
        </is>
      </c>
      <c r="C18" s="13" t="inlineStr">
        <is>
          <t>LUMP</t>
        </is>
      </c>
      <c r="D18" s="19" t="n">
        <v>1</v>
      </c>
      <c r="E18" s="15" t="n">
        <v>0</v>
      </c>
      <c r="F18" s="19" t="n">
        <v>0</v>
      </c>
      <c r="G18" s="15">
        <f>IFERROR(IF(C18="MONTHLY",D18*E18*F18,D18*E18),0)</f>
        <v/>
      </c>
      <c r="H18" s="13" t="n"/>
    </row>
    <row r="19">
      <c r="A19" s="13" t="inlineStr">
        <is>
          <t>Site Facilities</t>
        </is>
      </c>
      <c r="B19" s="13" t="inlineStr">
        <is>
          <t>Site security (off-hours)</t>
        </is>
      </c>
      <c r="C19" s="13" t="inlineStr">
        <is>
          <t>MONTHLY</t>
        </is>
      </c>
      <c r="D19" s="19" t="n">
        <v>0</v>
      </c>
      <c r="E19" s="15" t="n">
        <v>0</v>
      </c>
      <c r="F19" s="19" t="n">
        <v>0</v>
      </c>
      <c r="G19" s="15">
        <f>IFERROR(IF(C19="MONTHLY",D19*E19*F19,D19*E19),0)</f>
        <v/>
      </c>
      <c r="H19" s="13" t="n"/>
    </row>
    <row r="20">
      <c r="A20" s="13" t="inlineStr">
        <is>
          <t>Temp Utilities</t>
        </is>
      </c>
      <c r="B20" s="13" t="inlineStr">
        <is>
          <t>Temp power (service + monthly)</t>
        </is>
      </c>
      <c r="C20" s="13" t="inlineStr">
        <is>
          <t>MONTHLY</t>
        </is>
      </c>
      <c r="D20" s="19" t="n">
        <v>1</v>
      </c>
      <c r="E20" s="15" t="n">
        <v>0</v>
      </c>
      <c r="F20" s="19" t="n">
        <v>0</v>
      </c>
      <c r="G20" s="15">
        <f>IFERROR(IF(C20="MONTHLY",D20*E20*F20,D20*E20),0)</f>
        <v/>
      </c>
      <c r="H20" s="13" t="n"/>
    </row>
    <row r="21">
      <c r="A21" s="13" t="inlineStr">
        <is>
          <t>Temp Utilities</t>
        </is>
      </c>
      <c r="B21" s="13" t="inlineStr">
        <is>
          <t>Temp water / hose bibs</t>
        </is>
      </c>
      <c r="C21" s="13" t="inlineStr">
        <is>
          <t>MONTHLY</t>
        </is>
      </c>
      <c r="D21" s="19" t="n">
        <v>1</v>
      </c>
      <c r="E21" s="15" t="n">
        <v>0</v>
      </c>
      <c r="F21" s="19" t="n">
        <v>0</v>
      </c>
      <c r="G21" s="15">
        <f>IFERROR(IF(C21="MONTHLY",D21*E21*F21,D21*E21),0)</f>
        <v/>
      </c>
      <c r="H21" s="13" t="n"/>
    </row>
    <row r="22">
      <c r="A22" s="13" t="inlineStr">
        <is>
          <t>Temp Utilities</t>
        </is>
      </c>
      <c r="B22" s="13" t="inlineStr">
        <is>
          <t>Temp lighting (interior)</t>
        </is>
      </c>
      <c r="C22" s="13" t="inlineStr">
        <is>
          <t>MONTHLY</t>
        </is>
      </c>
      <c r="D22" s="19" t="n">
        <v>1</v>
      </c>
      <c r="E22" s="15" t="n">
        <v>0</v>
      </c>
      <c r="F22" s="19" t="n">
        <v>0</v>
      </c>
      <c r="G22" s="15">
        <f>IFERROR(IF(C22="MONTHLY",D22*E22*F22,D22*E22),0)</f>
        <v/>
      </c>
      <c r="H22" s="13" t="n"/>
    </row>
    <row r="23">
      <c r="A23" s="13" t="inlineStr">
        <is>
          <t>Temp Utilities</t>
        </is>
      </c>
      <c r="B23" s="13" t="inlineStr">
        <is>
          <t>Temp heat (winter weeks)</t>
        </is>
      </c>
      <c r="C23" s="13" t="inlineStr">
        <is>
          <t>MONTHLY</t>
        </is>
      </c>
      <c r="D23" s="19" t="n">
        <v>0</v>
      </c>
      <c r="E23" s="15" t="n">
        <v>0</v>
      </c>
      <c r="F23" s="19" t="n">
        <v>0</v>
      </c>
      <c r="G23" s="15">
        <f>IFERROR(IF(C23="MONTHLY",D23*E23*F23,D23*E23),0)</f>
        <v/>
      </c>
      <c r="H23" s="13" t="n"/>
    </row>
    <row r="24">
      <c r="A24" s="13" t="inlineStr">
        <is>
          <t>Logistics</t>
        </is>
      </c>
      <c r="B24" s="13" t="inlineStr">
        <is>
          <t>Material hoisting / forklift rental</t>
        </is>
      </c>
      <c r="C24" s="13" t="inlineStr">
        <is>
          <t>MONTHLY</t>
        </is>
      </c>
      <c r="D24" s="19" t="n">
        <v>0</v>
      </c>
      <c r="E24" s="15" t="n">
        <v>0</v>
      </c>
      <c r="F24" s="19" t="n">
        <v>0</v>
      </c>
      <c r="G24" s="15">
        <f>IFERROR(IF(C24="MONTHLY",D24*E24*F24,D24*E24),0)</f>
        <v/>
      </c>
      <c r="H24" s="13" t="n"/>
    </row>
    <row r="25">
      <c r="A25" s="13" t="inlineStr">
        <is>
          <t>Logistics</t>
        </is>
      </c>
      <c r="B25" s="13" t="inlineStr">
        <is>
          <t>Crane mobilization for misc lifts</t>
        </is>
      </c>
      <c r="C25" s="13" t="inlineStr">
        <is>
          <t>LUMP</t>
        </is>
      </c>
      <c r="D25" s="19" t="n">
        <v>1</v>
      </c>
      <c r="E25" s="15" t="n">
        <v>0</v>
      </c>
      <c r="F25" s="19" t="n">
        <v>0</v>
      </c>
      <c r="G25" s="15">
        <f>IFERROR(IF(C25="MONTHLY",D25*E25*F25,D25*E25),0)</f>
        <v/>
      </c>
      <c r="H25" s="13" t="n"/>
    </row>
    <row r="26">
      <c r="A26" s="13" t="inlineStr">
        <is>
          <t>Logistics</t>
        </is>
      </c>
      <c r="B26" s="13" t="inlineStr">
        <is>
          <t>Equipment moves (between phases)</t>
        </is>
      </c>
      <c r="C26" s="13" t="inlineStr">
        <is>
          <t>LUMP</t>
        </is>
      </c>
      <c r="D26" s="19" t="n">
        <v>1</v>
      </c>
      <c r="E26" s="15" t="n">
        <v>0</v>
      </c>
      <c r="F26" s="19" t="n">
        <v>0</v>
      </c>
      <c r="G26" s="15">
        <f>IFERROR(IF(C26="MONTHLY",D26*E26*F26,D26*E26),0)</f>
        <v/>
      </c>
      <c r="H26" s="13" t="n"/>
    </row>
    <row r="27">
      <c r="A27" s="13" t="inlineStr">
        <is>
          <t>Logistics</t>
        </is>
      </c>
      <c r="B27" s="13" t="inlineStr">
        <is>
          <t>Traffic control / flagger (urban)</t>
        </is>
      </c>
      <c r="C27" s="13" t="inlineStr">
        <is>
          <t>MONTHLY</t>
        </is>
      </c>
      <c r="D27" s="19" t="n">
        <v>0</v>
      </c>
      <c r="E27" s="15" t="n">
        <v>0</v>
      </c>
      <c r="F27" s="19" t="n">
        <v>0</v>
      </c>
      <c r="G27" s="15">
        <f>IFERROR(IF(C27="MONTHLY",D27*E27*F27,D27*E27),0)</f>
        <v/>
      </c>
      <c r="H27" s="13" t="n"/>
    </row>
    <row r="28">
      <c r="A28" s="13" t="inlineStr">
        <is>
          <t>Logistics</t>
        </is>
      </c>
      <c r="B28" s="13" t="inlineStr">
        <is>
          <t>Snow removal (winter)</t>
        </is>
      </c>
      <c r="C28" s="13" t="inlineStr">
        <is>
          <t>MONTHLY</t>
        </is>
      </c>
      <c r="D28" s="19" t="n">
        <v>0</v>
      </c>
      <c r="E28" s="15" t="n">
        <v>0</v>
      </c>
      <c r="F28" s="19" t="n">
        <v>0</v>
      </c>
      <c r="G28" s="15">
        <f>IFERROR(IF(C28="MONTHLY",D28*E28*F28,D28*E28),0)</f>
        <v/>
      </c>
      <c r="H28" s="13" t="n"/>
    </row>
    <row r="29">
      <c r="A29" s="13" t="inlineStr">
        <is>
          <t>Closeout</t>
        </is>
      </c>
      <c r="B29" s="13" t="inlineStr">
        <is>
          <t>Final cleaning (lump sum)</t>
        </is>
      </c>
      <c r="C29" s="13" t="inlineStr">
        <is>
          <t>LUMP</t>
        </is>
      </c>
      <c r="D29" s="19" t="n">
        <v>1</v>
      </c>
      <c r="E29" s="15" t="n">
        <v>0</v>
      </c>
      <c r="F29" s="19" t="n">
        <v>0</v>
      </c>
      <c r="G29" s="15">
        <f>IFERROR(IF(C29="MONTHLY",D29*E29*F29,D29*E29),0)</f>
        <v/>
      </c>
      <c r="H29" s="13" t="n"/>
    </row>
    <row r="30">
      <c r="A30" s="13" t="inlineStr">
        <is>
          <t>Closeout</t>
        </is>
      </c>
      <c r="B30" s="13" t="inlineStr">
        <is>
          <t>As-built drawings (CAD service)</t>
        </is>
      </c>
      <c r="C30" s="13" t="inlineStr">
        <is>
          <t>LUMP</t>
        </is>
      </c>
      <c r="D30" s="19" t="n">
        <v>1</v>
      </c>
      <c r="E30" s="15" t="n">
        <v>0</v>
      </c>
      <c r="F30" s="19" t="n">
        <v>0</v>
      </c>
      <c r="G30" s="15">
        <f>IFERROR(IF(C30="MONTHLY",D30*E30*F30,D30*E30),0)</f>
        <v/>
      </c>
      <c r="H30" s="13" t="n"/>
    </row>
    <row r="31">
      <c r="A31" s="13" t="inlineStr">
        <is>
          <t>Closeout</t>
        </is>
      </c>
      <c r="B31" s="13" t="inlineStr">
        <is>
          <t>O&amp;M manuals + training</t>
        </is>
      </c>
      <c r="C31" s="13" t="inlineStr">
        <is>
          <t>LUMP</t>
        </is>
      </c>
      <c r="D31" s="19" t="n">
        <v>1</v>
      </c>
      <c r="E31" s="15" t="n">
        <v>0</v>
      </c>
      <c r="F31" s="19" t="n">
        <v>0</v>
      </c>
      <c r="G31" s="15">
        <f>IFERROR(IF(C31="MONTHLY",D31*E31*F31,D31*E31),0)</f>
        <v/>
      </c>
      <c r="H31" s="13" t="n"/>
    </row>
    <row r="32">
      <c r="A32" s="13" t="inlineStr">
        <is>
          <t>Closeout</t>
        </is>
      </c>
      <c r="B32" s="13" t="inlineStr">
        <is>
          <t>Substantial completion punch-list closeout</t>
        </is>
      </c>
      <c r="C32" s="13" t="inlineStr">
        <is>
          <t>LUMP</t>
        </is>
      </c>
      <c r="D32" s="19" t="n">
        <v>1</v>
      </c>
      <c r="E32" s="15" t="n">
        <v>0</v>
      </c>
      <c r="F32" s="19" t="n">
        <v>0</v>
      </c>
      <c r="G32" s="15">
        <f>IFERROR(IF(C32="MONTHLY",D32*E32*F32,D32*E32),0)</f>
        <v/>
      </c>
      <c r="H32" s="13" t="n"/>
    </row>
    <row r="33">
      <c r="A33" s="13" t="inlineStr">
        <is>
          <t>Office OH</t>
        </is>
      </c>
      <c r="B33" s="13" t="inlineStr">
        <is>
          <t>Project accounting allocation</t>
        </is>
      </c>
      <c r="C33" s="13" t="inlineStr">
        <is>
          <t>MONTHLY</t>
        </is>
      </c>
      <c r="D33" s="19" t="n">
        <v>1</v>
      </c>
      <c r="E33" s="15" t="n">
        <v>0</v>
      </c>
      <c r="F33" s="19" t="n">
        <v>0</v>
      </c>
      <c r="G33" s="15">
        <f>IFERROR(IF(C33="MONTHLY",D33*E33*F33,D33*E33),0)</f>
        <v/>
      </c>
      <c r="H33" s="13" t="n"/>
    </row>
    <row r="34">
      <c r="A34" s="13" t="inlineStr">
        <is>
          <t>Office OH</t>
        </is>
      </c>
      <c r="B34" s="13" t="inlineStr">
        <is>
          <t>Estimating allocation (post-bid)</t>
        </is>
      </c>
      <c r="C34" s="13" t="inlineStr">
        <is>
          <t>LUMP</t>
        </is>
      </c>
      <c r="D34" s="19" t="n">
        <v>1</v>
      </c>
      <c r="E34" s="15" t="n">
        <v>0</v>
      </c>
      <c r="F34" s="19" t="n">
        <v>0</v>
      </c>
      <c r="G34" s="15">
        <f>IFERROR(IF(C34="MONTHLY",D34*E34*F34,D34*E34),0)</f>
        <v/>
      </c>
      <c r="H34" s="13" t="n"/>
    </row>
    <row r="35">
      <c r="A35" s="13" t="inlineStr">
        <is>
          <t>Office OH</t>
        </is>
      </c>
      <c r="B35" s="13" t="inlineStr">
        <is>
          <t>Permit + inspection fees (allowance)</t>
        </is>
      </c>
      <c r="C35" s="13" t="inlineStr">
        <is>
          <t>LUMP</t>
        </is>
      </c>
      <c r="D35" s="19" t="n">
        <v>1</v>
      </c>
      <c r="E35" s="15" t="n">
        <v>0</v>
      </c>
      <c r="F35" s="19" t="n">
        <v>0</v>
      </c>
      <c r="G35" s="15">
        <f>IFERROR(IF(C35="MONTHLY",D35*E35*F35,D35*E35),0)</f>
        <v/>
      </c>
      <c r="H35" s="13" t="n"/>
    </row>
    <row r="36">
      <c r="A36" s="13" t="inlineStr"/>
      <c r="B36" s="13" t="inlineStr"/>
      <c r="C36" s="13" t="inlineStr"/>
      <c r="D36" s="19" t="n">
        <v>0</v>
      </c>
      <c r="E36" s="15" t="n">
        <v>0</v>
      </c>
      <c r="F36" s="19" t="n">
        <v>0</v>
      </c>
      <c r="G36" s="15">
        <f>IFERROR(IF(C36="MONTHLY",D36*E36*F36,D36*E36),0)</f>
        <v/>
      </c>
      <c r="H36" s="13" t="n"/>
    </row>
    <row r="37">
      <c r="A37" s="13" t="inlineStr"/>
      <c r="B37" s="13" t="inlineStr"/>
      <c r="C37" s="13" t="inlineStr"/>
      <c r="D37" s="19" t="n">
        <v>0</v>
      </c>
      <c r="E37" s="15" t="n">
        <v>0</v>
      </c>
      <c r="F37" s="19" t="n">
        <v>0</v>
      </c>
      <c r="G37" s="15">
        <f>IFERROR(IF(C37="MONTHLY",D37*E37*F37,D37*E37),0)</f>
        <v/>
      </c>
      <c r="H37" s="13" t="n"/>
    </row>
    <row r="38">
      <c r="B38" s="17" t="inlineStr">
        <is>
          <t>GENERAL CONDITIONS TOTAL</t>
        </is>
      </c>
      <c r="G38" s="18">
        <f>SUM(G5:G37)</f>
        <v/>
      </c>
    </row>
  </sheetData>
  <mergeCells count="2">
    <mergeCell ref="A2:H2"/>
    <mergeCell ref="A1:H1"/>
  </mergeCells>
  <dataValidations count="1">
    <dataValidation sqref="C5:C37" showDropDown="0" showInputMessage="0" showErrorMessage="0" allowBlank="1" type="list">
      <formula1>"MONTHLY,LUMP,PER-SF,PER-LF"</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5"/>
  <cols>
    <col width="14" customWidth="1" min="1" max="1"/>
    <col width="38" customWidth="1" min="2" max="2"/>
    <col width="16" customWidth="1" min="3" max="3"/>
    <col width="30" customWidth="1" min="4" max="4"/>
  </cols>
  <sheetData>
    <row r="1" ht="32" customHeight="1">
      <c r="A1" s="1" t="inlineStr">
        <is>
          <t>ALLOWANCES &amp; CONTINGENCIES</t>
        </is>
      </c>
    </row>
    <row r="2">
      <c r="A2" s="11" t="inlineStr">
        <is>
          <t>Explicit allowances (called out in the bid for Owner-directed scope where price isn't yet defined) plus project-level contingency. Per-trade contingency is on the Trade Bids tab.</t>
        </is>
      </c>
    </row>
    <row r="4" ht="30" customHeight="1">
      <c r="A4" s="12" t="inlineStr">
        <is>
          <t>Type</t>
        </is>
      </c>
      <c r="B4" s="12" t="inlineStr">
        <is>
          <t>Description</t>
        </is>
      </c>
      <c r="C4" s="12" t="inlineStr">
        <is>
          <t>Amount ($)</t>
        </is>
      </c>
      <c r="D4" s="12" t="inlineStr">
        <is>
          <t>Basis / Notes</t>
        </is>
      </c>
    </row>
    <row r="5">
      <c r="A5" s="13" t="inlineStr">
        <is>
          <t>Allowance</t>
        </is>
      </c>
      <c r="B5" s="13" t="inlineStr">
        <is>
          <t>Finish hardware (Owner specifying TBD)</t>
        </is>
      </c>
      <c r="C5" s="15" t="n">
        <v>0</v>
      </c>
      <c r="D5" s="13" t="inlineStr">
        <is>
          <t>Owner selects from approved list</t>
        </is>
      </c>
    </row>
    <row r="6">
      <c r="A6" s="13" t="inlineStr">
        <is>
          <t>Allowance</t>
        </is>
      </c>
      <c r="B6" s="13" t="inlineStr">
        <is>
          <t>Appliances (Owner specifying TBD)</t>
        </is>
      </c>
      <c r="C6" s="15" t="n">
        <v>0</v>
      </c>
      <c r="D6" s="13" t="inlineStr">
        <is>
          <t>Owner-directed late selection</t>
        </is>
      </c>
    </row>
    <row r="7">
      <c r="A7" s="13" t="inlineStr">
        <is>
          <t>Allowance</t>
        </is>
      </c>
      <c r="B7" s="13" t="inlineStr">
        <is>
          <t>Specialty doors / glazing (TBD design)</t>
        </is>
      </c>
      <c r="C7" s="15" t="n">
        <v>0</v>
      </c>
      <c r="D7" s="13" t="inlineStr">
        <is>
          <t>Pending design refinement</t>
        </is>
      </c>
    </row>
    <row r="8">
      <c r="A8" s="13" t="inlineStr">
        <is>
          <t>Allowance</t>
        </is>
      </c>
      <c r="B8" s="13" t="inlineStr">
        <is>
          <t>Paint color selection (TBD)</t>
        </is>
      </c>
      <c r="C8" s="15" t="n">
        <v>0</v>
      </c>
      <c r="D8" s="13" t="inlineStr">
        <is>
          <t>Color premium if non-standard</t>
        </is>
      </c>
    </row>
    <row r="9">
      <c r="A9" s="13" t="inlineStr">
        <is>
          <t>Allowance</t>
        </is>
      </c>
      <c r="B9" s="13" t="inlineStr">
        <is>
          <t>Landscaping allowance</t>
        </is>
      </c>
      <c r="C9" s="15" t="n">
        <v>0</v>
      </c>
      <c r="D9" s="13" t="inlineStr">
        <is>
          <t>Owner-selected design</t>
        </is>
      </c>
    </row>
    <row r="10">
      <c r="A10" s="13" t="inlineStr">
        <is>
          <t>Allowance</t>
        </is>
      </c>
      <c r="B10" s="13" t="inlineStr">
        <is>
          <t>Permit + inspection fees actual</t>
        </is>
      </c>
      <c r="C10" s="15" t="n">
        <v>0</v>
      </c>
      <c r="D10" s="13" t="inlineStr">
        <is>
          <t>If actuals exceed Div 01 allowance</t>
        </is>
      </c>
    </row>
    <row r="11">
      <c r="A11" s="13" t="inlineStr"/>
      <c r="B11" s="13" t="inlineStr"/>
      <c r="C11" s="15" t="n">
        <v>0</v>
      </c>
      <c r="D11" s="13" t="inlineStr"/>
    </row>
    <row r="12">
      <c r="A12" s="13" t="inlineStr">
        <is>
          <t>Contingency</t>
        </is>
      </c>
      <c r="B12" s="13" t="inlineStr">
        <is>
          <t>Project-level contingency (unknowns)</t>
        </is>
      </c>
      <c r="C12" s="15" t="n">
        <v>0</v>
      </c>
      <c r="D12" s="13">
        <f>CostOfWork × ProjectContingency</f>
        <v/>
      </c>
    </row>
    <row r="13">
      <c r="A13" s="13" t="inlineStr"/>
      <c r="B13" s="13" t="inlineStr"/>
      <c r="C13" s="15" t="n">
        <v>0</v>
      </c>
      <c r="D13" s="13" t="inlineStr"/>
    </row>
    <row r="14">
      <c r="A14" s="13" t="inlineStr"/>
      <c r="B14" s="13" t="inlineStr"/>
      <c r="C14" s="15" t="n">
        <v>0</v>
      </c>
      <c r="D14" s="13" t="inlineStr"/>
    </row>
    <row r="15">
      <c r="B15" s="17" t="inlineStr">
        <is>
          <t>ALLOWANCES + CONTINGENCY TOTAL</t>
        </is>
      </c>
      <c r="C15" s="18">
        <f>SUM(C5:C14)</f>
        <v/>
      </c>
    </row>
  </sheetData>
  <mergeCells count="2">
    <mergeCell ref="A1:D1"/>
    <mergeCell ref="A2:D2"/>
  </mergeCells>
  <dataValidations count="1">
    <dataValidation sqref="A5:A14" showDropDown="0" showInputMessage="0" showErrorMessage="0" allowBlank="1" type="list">
      <formula1>"Allowance,Contingency"</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E25"/>
  <sheetViews>
    <sheetView showGridLines="0" workbookViewId="0">
      <selection activeCell="A1" sqref="A1"/>
    </sheetView>
  </sheetViews>
  <sheetFormatPr baseColWidth="8" defaultRowHeight="15"/>
  <cols>
    <col width="4" customWidth="1" min="1" max="1"/>
    <col width="48" customWidth="1" min="2" max="2"/>
    <col width="22" customWidth="1" min="3" max="3"/>
    <col width="16" customWidth="1" min="4" max="4"/>
    <col width="28" customWidth="1" min="5" max="5"/>
  </cols>
  <sheetData>
    <row r="1" ht="32" customHeight="1">
      <c r="B1" s="1" t="inlineStr">
        <is>
          <t>BID SUMMARY — Roll-Up to Final Prime Bid</t>
        </is>
      </c>
    </row>
    <row r="2">
      <c r="B2" s="20" t="inlineStr">
        <is>
          <t>Project: =ProjectName</t>
        </is>
      </c>
    </row>
    <row r="4">
      <c r="B4" s="8" t="inlineStr">
        <is>
          <t>COST OF WORK</t>
        </is>
      </c>
    </row>
    <row r="5">
      <c r="B5" s="4" t="inlineStr">
        <is>
          <t>Trade Bids (from Trade Bids tab)</t>
        </is>
      </c>
      <c r="C5" s="21">
        <f>'Trade Bids'!J31</f>
        <v/>
      </c>
    </row>
    <row r="6">
      <c r="B6" s="4" t="inlineStr">
        <is>
          <t>Self-Perform (from Self-Perform tab)</t>
        </is>
      </c>
      <c r="C6" s="21">
        <f>'Self-Perform'!I13</f>
        <v/>
      </c>
    </row>
    <row r="7">
      <c r="B7" s="4" t="inlineStr">
        <is>
          <t>General Conditions (Div 01)</t>
        </is>
      </c>
      <c r="C7" s="21">
        <f>'General Conditions'!G38</f>
        <v/>
      </c>
    </row>
    <row r="8">
      <c r="B8" s="4" t="inlineStr">
        <is>
          <t>Allowances + Contingency</t>
        </is>
      </c>
      <c r="C8" s="21">
        <f>'Allowances'!C15</f>
        <v/>
      </c>
    </row>
    <row r="9">
      <c r="B9" s="4" t="inlineStr">
        <is>
          <t>COST OF WORK SUBTOTAL</t>
        </is>
      </c>
      <c r="C9" s="18">
        <f>SUM(C5:C8)</f>
        <v/>
      </c>
    </row>
    <row r="11">
      <c r="B11" s="4" t="inlineStr">
        <is>
          <t>Corporate Overhead</t>
        </is>
      </c>
      <c r="C11" s="22">
        <f>C9*CorpOH</f>
        <v/>
      </c>
      <c r="D11" s="23">
        <f>CorpOH</f>
        <v/>
      </c>
    </row>
    <row r="12">
      <c r="B12" s="4" t="inlineStr">
        <is>
          <t>Corporate Profit</t>
        </is>
      </c>
      <c r="C12" s="22">
        <f>C9*CorpProfit</f>
        <v/>
      </c>
      <c r="D12" s="23">
        <f>CorpProfit</f>
        <v/>
      </c>
    </row>
    <row r="13">
      <c r="B13" s="4" t="inlineStr">
        <is>
          <t>Sales Tax (on est. material content)</t>
        </is>
      </c>
      <c r="C13" s="22">
        <f>C9*0.5*SalesTax</f>
        <v/>
      </c>
      <c r="D13" s="23">
        <f>SalesTax</f>
        <v/>
      </c>
      <c r="E13" s="11" t="inlineStr">
        <is>
          <t>Material is ~50% of trade cost — adjust per project</t>
        </is>
      </c>
    </row>
    <row r="14">
      <c r="B14" s="4" t="inlineStr">
        <is>
          <t>PRE-BOND SUBTOTAL</t>
        </is>
      </c>
      <c r="C14" s="18">
        <f>C9+C11+C12+C13</f>
        <v/>
      </c>
    </row>
    <row r="15">
      <c r="B15" s="4" t="inlineStr">
        <is>
          <t>Performance + Payment Bond</t>
        </is>
      </c>
      <c r="C15" s="22">
        <f>C14*BondPct/(1-BondPct)</f>
        <v/>
      </c>
      <c r="D15" s="23">
        <f>BondPct</f>
        <v/>
      </c>
    </row>
    <row r="17" ht="40" customHeight="1">
      <c r="B17" s="24" t="inlineStr">
        <is>
          <t>FINAL PRIME BID</t>
        </is>
      </c>
      <c r="C17" s="25">
        <f>C14+C15</f>
        <v/>
      </c>
    </row>
    <row r="20">
      <c r="B20" s="8" t="inlineStr">
        <is>
          <t>SANITY CHECKS</t>
        </is>
      </c>
    </row>
    <row r="21">
      <c r="B21" s="26" t="inlineStr">
        <is>
          <t>Trade % of total bid (sanity: 75-90% commercial)</t>
        </is>
      </c>
      <c r="C21" s="9">
        <f>IFERROR('Trade Bids'!J31/C17,0)</f>
        <v/>
      </c>
    </row>
    <row r="22">
      <c r="B22" s="26" t="inlineStr">
        <is>
          <t>Gen Conditions % of trade total (sanity: 5-12%)</t>
        </is>
      </c>
      <c r="C22" s="9">
        <f>IFERROR('General Conditions'!G38/'Trade Bids'!J31,0)</f>
        <v/>
      </c>
    </row>
    <row r="23">
      <c r="B23" s="26" t="inlineStr">
        <is>
          <t>Self-Perform % of total (varies — 0% true GC, 20-40% CMAR)</t>
        </is>
      </c>
      <c r="C23" s="9">
        <f>IFERROR('Self-Perform'!I13/C17,0)</f>
        <v/>
      </c>
    </row>
    <row r="24">
      <c r="B24" s="26" t="inlineStr">
        <is>
          <t>Allowance % of total (sanity: typically &lt;5%)</t>
        </is>
      </c>
      <c r="C24" s="9">
        <f>IFERROR('Allowances'!C15/C17,0)</f>
        <v/>
      </c>
    </row>
    <row r="25">
      <c r="B25" s="26" t="inlineStr">
        <is>
          <t>Effective markup over Cost of Work</t>
        </is>
      </c>
      <c r="C25" s="9">
        <f>IFERROR((C17-C9)/C9,0)</f>
        <v/>
      </c>
    </row>
  </sheetData>
  <mergeCells count="2">
    <mergeCell ref="B1:E1"/>
    <mergeCell ref="B2:E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8" defaultRowHeight="15"/>
  <cols>
    <col width="10" customWidth="1" min="1" max="1"/>
    <col width="60" customWidth="1" min="2" max="2"/>
  </cols>
  <sheetData>
    <row r="1">
      <c r="A1" s="8" t="inlineStr">
        <is>
          <t>CSI MasterFormat Divisions</t>
        </is>
      </c>
    </row>
    <row r="3">
      <c r="A3" s="27" t="inlineStr">
        <is>
          <t>01</t>
        </is>
      </c>
      <c r="B3" s="27" t="inlineStr">
        <is>
          <t>General Requirements</t>
        </is>
      </c>
    </row>
    <row r="4">
      <c r="A4" s="27" t="inlineStr">
        <is>
          <t>02</t>
        </is>
      </c>
      <c r="B4" s="27" t="inlineStr">
        <is>
          <t>Existing Conditions</t>
        </is>
      </c>
    </row>
    <row r="5">
      <c r="A5" s="27" t="inlineStr">
        <is>
          <t>03</t>
        </is>
      </c>
      <c r="B5" s="27" t="inlineStr">
        <is>
          <t>Concrete</t>
        </is>
      </c>
    </row>
    <row r="6">
      <c r="A6" s="27" t="inlineStr">
        <is>
          <t>04</t>
        </is>
      </c>
      <c r="B6" s="27" t="inlineStr">
        <is>
          <t>Masonry</t>
        </is>
      </c>
    </row>
    <row r="7">
      <c r="A7" s="27" t="inlineStr">
        <is>
          <t>05</t>
        </is>
      </c>
      <c r="B7" s="27" t="inlineStr">
        <is>
          <t>Metals</t>
        </is>
      </c>
    </row>
    <row r="8">
      <c r="A8" s="27" t="inlineStr">
        <is>
          <t>06</t>
        </is>
      </c>
      <c r="B8" s="27" t="inlineStr">
        <is>
          <t>Wood, Plastics, and Composites</t>
        </is>
      </c>
    </row>
    <row r="9">
      <c r="A9" s="27" t="inlineStr">
        <is>
          <t>07</t>
        </is>
      </c>
      <c r="B9" s="27" t="inlineStr">
        <is>
          <t>Thermal and Moisture Protection</t>
        </is>
      </c>
    </row>
    <row r="10">
      <c r="A10" s="27" t="inlineStr">
        <is>
          <t>08</t>
        </is>
      </c>
      <c r="B10" s="27" t="inlineStr">
        <is>
          <t>Openings</t>
        </is>
      </c>
    </row>
    <row r="11">
      <c r="A11" s="27" t="inlineStr">
        <is>
          <t>09</t>
        </is>
      </c>
      <c r="B11" s="27" t="inlineStr">
        <is>
          <t>Finishes</t>
        </is>
      </c>
    </row>
    <row r="12">
      <c r="A12" s="27" t="inlineStr">
        <is>
          <t>10</t>
        </is>
      </c>
      <c r="B12" s="27" t="inlineStr">
        <is>
          <t>Specialties</t>
        </is>
      </c>
    </row>
    <row r="13">
      <c r="A13" s="27" t="inlineStr">
        <is>
          <t>11</t>
        </is>
      </c>
      <c r="B13" s="27" t="inlineStr">
        <is>
          <t>Equipment</t>
        </is>
      </c>
    </row>
    <row r="14">
      <c r="A14" s="27" t="inlineStr">
        <is>
          <t>12</t>
        </is>
      </c>
      <c r="B14" s="27" t="inlineStr">
        <is>
          <t>Furnishings</t>
        </is>
      </c>
    </row>
    <row r="15">
      <c r="A15" s="27" t="inlineStr">
        <is>
          <t>13</t>
        </is>
      </c>
      <c r="B15" s="27" t="inlineStr">
        <is>
          <t>Special Construction</t>
        </is>
      </c>
    </row>
    <row r="16">
      <c r="A16" s="27" t="inlineStr">
        <is>
          <t>14</t>
        </is>
      </c>
      <c r="B16" s="27" t="inlineStr">
        <is>
          <t>Conveying Equipment</t>
        </is>
      </c>
    </row>
    <row r="17">
      <c r="A17" s="27" t="inlineStr">
        <is>
          <t>21</t>
        </is>
      </c>
      <c r="B17" s="27" t="inlineStr">
        <is>
          <t>Fire Suppression</t>
        </is>
      </c>
    </row>
    <row r="18">
      <c r="A18" s="27" t="inlineStr">
        <is>
          <t>22</t>
        </is>
      </c>
      <c r="B18" s="27" t="inlineStr">
        <is>
          <t>Plumbing</t>
        </is>
      </c>
    </row>
    <row r="19">
      <c r="A19" s="27" t="inlineStr">
        <is>
          <t>23</t>
        </is>
      </c>
      <c r="B19" s="27" t="inlineStr">
        <is>
          <t>HVAC</t>
        </is>
      </c>
    </row>
    <row r="20">
      <c r="A20" s="27" t="inlineStr">
        <is>
          <t>25</t>
        </is>
      </c>
      <c r="B20" s="27" t="inlineStr">
        <is>
          <t>Integrated Automation</t>
        </is>
      </c>
    </row>
    <row r="21">
      <c r="A21" s="27" t="inlineStr">
        <is>
          <t>26</t>
        </is>
      </c>
      <c r="B21" s="27" t="inlineStr">
        <is>
          <t>Electrical</t>
        </is>
      </c>
    </row>
    <row r="22">
      <c r="A22" s="27" t="inlineStr">
        <is>
          <t>27</t>
        </is>
      </c>
      <c r="B22" s="27" t="inlineStr">
        <is>
          <t>Communications</t>
        </is>
      </c>
    </row>
    <row r="23">
      <c r="A23" s="27" t="inlineStr">
        <is>
          <t>28</t>
        </is>
      </c>
      <c r="B23" s="27" t="inlineStr">
        <is>
          <t>Electronic Safety and Security</t>
        </is>
      </c>
    </row>
    <row r="24">
      <c r="A24" s="27" t="inlineStr">
        <is>
          <t>31</t>
        </is>
      </c>
      <c r="B24" s="27" t="inlineStr">
        <is>
          <t>Earthwork</t>
        </is>
      </c>
    </row>
    <row r="25">
      <c r="A25" s="27" t="inlineStr">
        <is>
          <t>32</t>
        </is>
      </c>
      <c r="B25" s="27" t="inlineStr">
        <is>
          <t>Exterior Improvements</t>
        </is>
      </c>
    </row>
    <row r="26">
      <c r="A26" s="27" t="inlineStr">
        <is>
          <t>33</t>
        </is>
      </c>
      <c r="B26" s="27" t="inlineStr">
        <is>
          <t>Utilities</t>
        </is>
      </c>
    </row>
    <row r="27">
      <c r="A27" s="27" t="inlineStr">
        <is>
          <t>34</t>
        </is>
      </c>
      <c r="B27" s="27" t="inlineStr">
        <is>
          <t>Transportation</t>
        </is>
      </c>
    </row>
    <row r="28">
      <c r="A28" s="27" t="inlineStr">
        <is>
          <t>35</t>
        </is>
      </c>
      <c r="B28" s="27" t="inlineStr">
        <is>
          <t>Waterway and Marine Construction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2026-05-17T15:19:27Z</dcterms:created>
  <dcterms:modified xmlns:dcterms="http://purl.org/dc/terms/" xmlns:xsi="http://www.w3.org/2001/XMLSchema-instance" xsi:type="dcterms:W3CDTF">2026-05-17T15:19:27Z</dcterms:modified>
</cp:coreProperties>
</file>