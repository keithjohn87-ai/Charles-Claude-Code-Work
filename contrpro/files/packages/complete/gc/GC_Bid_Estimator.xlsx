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ject Info" sheetId="2" state="visible" r:id="rId2"/>
    <sheet xmlns:r="http://schemas.openxmlformats.org/officeDocument/2006/relationships" name="Trade Bids" sheetId="3" state="visible" r:id="rId3"/>
    <sheet xmlns:r="http://schemas.openxmlformats.org/officeDocument/2006/relationships" name="Self-Perform" sheetId="4" state="visible" r:id="rId4"/>
    <sheet xmlns:r="http://schemas.openxmlformats.org/officeDocument/2006/relationships" name="General Conditions" sheetId="5" state="visible" r:id="rId5"/>
    <sheet xmlns:r="http://schemas.openxmlformats.org/officeDocument/2006/relationships" name="Allowances" sheetId="6" state="visible" r:id="rId6"/>
    <sheet xmlns:r="http://schemas.openxmlformats.org/officeDocument/2006/relationships" name="Bid Summary" sheetId="7" state="visible" r:id="rId7"/>
    <sheet xmlns:r="http://schemas.openxmlformats.org/officeDocument/2006/relationships" name="CSI Reference" sheetId="8" state="hidden" r:id="rId8"/>
  </sheets>
  <definedNames>
    <definedName name="ProjectName">'Project Info'!$C$3</definedName>
    <definedName name="ProjectState">'Project Info'!$C$14</definedName>
    <definedName name="IsPrevailingWage">'Project Info'!$C$15</definedName>
    <definedName name="SubMarkup">'Project Info'!$C$18</definedName>
    <definedName name="SelfPerfOH">'Project Info'!$C$19</definedName>
    <definedName name="SelfPerfProfit">'Project Info'!$C$20</definedName>
    <definedName name="CorpOH">'Project Info'!$C$21</definedName>
    <definedName name="CorpProfit">'Project Info'!$C$22</definedName>
    <definedName name="BondPct">'Project Info'!$C$25</definedName>
    <definedName name="SalesTax">'Project Info'!$C$26</definedName>
    <definedName name="BuildersRisk">'Project Info'!$C$27</definedName>
    <definedName name="TradeContingency">'Project Info'!$C$30</definedName>
    <definedName name="ProjectContingency">'Project Info'!$C$31</definedName>
    <definedName name="CSI_Divisions">'CSI Reference'!$A$5:$A$39</definedName>
    <definedName name="CSI_Div_00">'CSI Reference'!$D$5:$D$12</definedName>
    <definedName name="CSI_Div_01">'CSI Reference'!$D$13:$D$21</definedName>
    <definedName name="CSI_Div_02">'CSI Reference'!$D$22:$D$28</definedName>
    <definedName name="CSI_Div_03">'CSI Reference'!$D$29:$D$36</definedName>
    <definedName name="CSI_Div_04">'CSI Reference'!$D$37:$D$43</definedName>
    <definedName name="CSI_Div_05">'CSI Reference'!$D$44:$D$49</definedName>
    <definedName name="CSI_Div_06">'CSI Reference'!$D$50:$D$56</definedName>
    <definedName name="CSI_Div_07">'CSI Reference'!$D$57:$D$65</definedName>
    <definedName name="CSI_Div_08">'CSI Reference'!$D$66:$D$73</definedName>
    <definedName name="CSI_Div_09">'CSI Reference'!$D$74:$D$80</definedName>
    <definedName name="CSI_Div_10">'CSI Reference'!$D$81:$D$88</definedName>
    <definedName name="CSI_Div_11">'CSI Reference'!$D$89:$D$96</definedName>
    <definedName name="CSI_Div_12">'CSI Reference'!$D$97:$D$103</definedName>
    <definedName name="CSI_Div_13">'CSI Reference'!$D$104:$D$108</definedName>
    <definedName name="CSI_Div_14">'CSI Reference'!$D$109:$D$115</definedName>
    <definedName name="CSI_Div_21">'CSI Reference'!$D$116:$D$119</definedName>
    <definedName name="CSI_Div_22">'CSI Reference'!$D$120:$D$125</definedName>
    <definedName name="CSI_Div_23">'CSI Reference'!$D$126:$D$133</definedName>
    <definedName name="CSI_Div_25">'CSI Reference'!$D$134:$D$136</definedName>
    <definedName name="CSI_Div_26">'CSI Reference'!$D$137:$D$141</definedName>
    <definedName name="CSI_Div_27">'CSI Reference'!$D$142:$D$146</definedName>
    <definedName name="CSI_Div_28">'CSI Reference'!$D$147:$D$151</definedName>
    <definedName name="CSI_Div_31">'CSI Reference'!$D$152:$D$158</definedName>
    <definedName name="CSI_Div_32">'CSI Reference'!$D$159:$D$163</definedName>
    <definedName name="CSI_Div_33">'CSI Reference'!$D$164:$D$171</definedName>
    <definedName name="CSI_Div_34">'CSI Reference'!$D$172:$D$176</definedName>
    <definedName name="CSI_Div_35">'CSI Reference'!$D$177:$D$182</definedName>
    <definedName name="CSI_Div_40">'CSI Reference'!$D$183:$D$186</definedName>
    <definedName name="CSI_Div_41">'CSI Reference'!$D$187:$D$191</definedName>
    <definedName name="CSI_Div_42">'CSI Reference'!$D$192:$D$194</definedName>
    <definedName name="CSI_Div_43">'CSI Reference'!$D$195:$D$198</definedName>
    <definedName name="CSI_Div_44">'CSI Reference'!$D$199:$D$202</definedName>
    <definedName name="CSI_Div_45">'CSI Reference'!$D$203:$D$203</definedName>
    <definedName name="CSI_Div_46">'CSI Reference'!$D$204:$D$210</definedName>
    <definedName name="CSI_Div_48">'CSI Reference'!$D$211:$D$212</definedName>
  </definedNames>
  <calcPr calcId="124519" fullCalcOnLoad="1"/>
</workbook>
</file>

<file path=xl/styles.xml><?xml version="1.0" encoding="utf-8"?>
<styleSheet xmlns="http://schemas.openxmlformats.org/spreadsheetml/2006/main">
  <numFmts count="4">
    <numFmt numFmtId="164" formatCode="yyyy-mm-dd"/>
    <numFmt numFmtId="165" formatCode="0.0%"/>
    <numFmt numFmtId="166" formatCode="_($* #,##0.00_);_($* (#,##0.00);_($* &quot;-&quot;??_);_(@_)"/>
    <numFmt numFmtId="167" formatCode="_($* #,##0_);_($* (#,##0);_($* &quot;-&quot;_);_(@_)"/>
  </numFmts>
  <fonts count="10">
    <font>
      <name val="Calibri"/>
      <family val="2"/>
      <color theme="1"/>
      <sz val="11"/>
      <scheme val="minor"/>
    </font>
    <font>
      <name val="Calibri"/>
      <b val="1"/>
      <color rgb="001E3A5F"/>
      <sz val="22"/>
    </font>
    <font>
      <name val="Calibri"/>
      <sz val="11"/>
    </font>
    <font>
      <name val="Calibri"/>
      <b val="1"/>
      <color rgb="001E3A5F"/>
      <sz val="12"/>
    </font>
    <font>
      <name val="Calibri"/>
      <b val="1"/>
      <sz val="11"/>
    </font>
    <font>
      <name val="Calibri"/>
      <i val="1"/>
      <color rgb="00808080"/>
      <sz val="11"/>
    </font>
    <font>
      <name val="Calibri"/>
      <b val="1"/>
      <color rgb="00FFFFFF"/>
      <sz val="11"/>
    </font>
    <font>
      <b val="1"/>
      <color rgb="001E3A5F"/>
      <sz val="14"/>
    </font>
    <font>
      <i val="1"/>
      <color rgb="00666666"/>
    </font>
    <font>
      <b val="1"/>
      <color rgb="00FFFFFF"/>
    </font>
  </fonts>
  <fills count="5">
    <fill>
      <patternFill/>
    </fill>
    <fill>
      <patternFill patternType="gray125"/>
    </fill>
    <fill>
      <patternFill patternType="solid">
        <fgColor rgb="00D6E0EC"/>
      </patternFill>
    </fill>
    <fill>
      <patternFill patternType="solid">
        <fgColor rgb="001E3A5F"/>
      </patternFill>
    </fill>
    <fill>
      <patternFill patternType="solid">
        <fgColor rgb="00C9A227"/>
      </patternFill>
    </fill>
  </fills>
  <borders count="2">
    <border>
      <left/>
      <right/>
      <top/>
      <bottom/>
      <diagonal/>
    </border>
    <border>
      <left style="thin">
        <color rgb="00B0B7BF"/>
      </left>
      <right style="thin">
        <color rgb="00B0B7BF"/>
      </right>
      <top style="thin">
        <color rgb="00B0B7BF"/>
      </top>
      <bottom style="thin">
        <color rgb="00B0B7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pivotButton="0" quotePrefix="0" xfId="0"/>
    <xf numFmtId="0" fontId="2" fillId="0" borderId="1" pivotButton="0" quotePrefix="0" xfId="0"/>
    <xf numFmtId="164" fontId="2" fillId="0" borderId="1" pivotButton="0" quotePrefix="0" xfId="0"/>
    <xf numFmtId="1" fontId="2" fillId="0" borderId="1" pivotButton="0" quotePrefix="0" xfId="0"/>
    <xf numFmtId="0" fontId="3" fillId="0" borderId="0" pivotButton="0" quotePrefix="0" xfId="0"/>
    <xf numFmtId="165" fontId="2" fillId="0" borderId="1" pivotButton="0" quotePrefix="0" xfId="0"/>
    <xf numFmtId="2" fontId="2" fillId="0" borderId="1" pivotButton="0" quotePrefix="0" xfId="0"/>
    <xf numFmtId="0" fontId="5" fillId="0" borderId="0" pivotButton="0" quotePrefix="0" xfId="0"/>
    <xf numFmtId="0" fontId="6" fillId="3" borderId="1" applyAlignment="1" pivotButton="0" quotePrefix="0" xfId="0">
      <alignment horizontal="center" vertical="center" wrapText="1"/>
    </xf>
    <xf numFmtId="0" fontId="2" fillId="0" borderId="1" applyAlignment="1" pivotButton="0" quotePrefix="0" xfId="0">
      <alignment vertical="center"/>
    </xf>
    <xf numFmtId="164" fontId="2" fillId="0" borderId="1" applyAlignment="1" pivotButton="0" quotePrefix="0" xfId="0">
      <alignment vertical="center"/>
    </xf>
    <xf numFmtId="166" fontId="2" fillId="0" borderId="1" applyAlignment="1" pivotButton="0" quotePrefix="0" xfId="0">
      <alignment vertical="center"/>
    </xf>
    <xf numFmtId="165" fontId="2" fillId="0" borderId="1" applyAlignment="1" pivotButton="0" quotePrefix="0" xfId="0">
      <alignment vertical="center"/>
    </xf>
    <xf numFmtId="0" fontId="4" fillId="2" borderId="0" pivotButton="0" quotePrefix="0" xfId="0"/>
    <xf numFmtId="166" fontId="4" fillId="2" borderId="1" pivotButton="0" quotePrefix="0" xfId="0"/>
    <xf numFmtId="2" fontId="2" fillId="0" borderId="1" applyAlignment="1" pivotButton="0" quotePrefix="0" xfId="0">
      <alignment vertical="center"/>
    </xf>
    <xf numFmtId="0" fontId="4" fillId="0" borderId="0" pivotButton="0" quotePrefix="0" xfId="0"/>
    <xf numFmtId="166" fontId="2" fillId="0" borderId="1" pivotButton="0" quotePrefix="0" xfId="0"/>
    <xf numFmtId="166" fontId="0" fillId="0" borderId="1" pivotButton="0" quotePrefix="0" xfId="0"/>
    <xf numFmtId="165" fontId="0" fillId="0" borderId="1" pivotButton="0" quotePrefix="0" xfId="0"/>
    <xf numFmtId="0" fontId="1" fillId="4" borderId="1" pivotButton="0" quotePrefix="0" xfId="0"/>
    <xf numFmtId="167" fontId="1" fillId="4" borderId="1" pivotButton="0" quotePrefix="0" xfId="0"/>
    <xf numFmtId="0" fontId="2" fillId="2" borderId="1" pivotButton="0" quotePrefix="0" xfId="0"/>
    <xf numFmtId="0" fontId="2" fillId="0" borderId="0" pivotButton="0" quotePrefix="0" xfId="0"/>
    <xf numFmtId="0" fontId="9" fillId="3" borderId="0" applyAlignment="1" pivotButton="0" quotePrefix="0" xfId="0">
      <alignment horizontal="left" vertical="center"/>
    </xf>
    <xf numFmtId="0" fontId="7" fillId="0" borderId="0" pivotButton="0" quotePrefix="0" xfId="0"/>
    <xf numFmtId="0" fontId="8"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showGridLines="0" workbookViewId="0">
      <selection activeCell="A1" sqref="A1"/>
    </sheetView>
  </sheetViews>
  <sheetFormatPr baseColWidth="8" defaultRowHeight="15"/>
  <cols>
    <col width="110" customWidth="1" min="1" max="1"/>
  </cols>
  <sheetData>
    <row r="1" ht="36" customHeight="1">
      <c r="A1" s="1" t="inlineStr">
        <is>
          <t>GC BID ESTIMATOR — Instructions</t>
        </is>
      </c>
    </row>
    <row r="2">
      <c r="A2" s="2" t="inlineStr"/>
    </row>
    <row r="3">
      <c r="A3" s="3" t="inlineStr">
        <is>
          <t>WHAT THIS WORKBOOK IS</t>
        </is>
      </c>
    </row>
    <row r="4">
      <c r="A4" s="2" t="inlineStr">
        <is>
          <t>Prime-contract bid roll-up for a General Contractor. Use to assemble subcontractor quotes by CSI division, layer General Conditions (Div 01), then apply overhead, profit, bond, and tax to land the final bid number you submit to the Owner.</t>
        </is>
      </c>
    </row>
    <row r="5">
      <c r="A5" s="2" t="inlineStr"/>
    </row>
    <row r="6">
      <c r="A6" s="2" t="inlineStr">
        <is>
          <t>Unlike trade-specific bid estimators (Steel Erection, Electrical, etc.) which compute labor + material + equipment from scratch, the GC Estimator rolls up sub quotes you received from your trade partners. The detail estimating happens inside the trade-specific workbooks; this workbook is the consolidation layer.</t>
        </is>
      </c>
    </row>
    <row r="7">
      <c r="A7" s="2" t="inlineStr"/>
    </row>
    <row r="8">
      <c r="A8" s="3" t="inlineStr">
        <is>
          <t>WORKFLOW</t>
        </is>
      </c>
    </row>
    <row r="9">
      <c r="A9" s="2" t="inlineStr">
        <is>
          <t>1. Project Info: project, owner, architect, delivery method, schedule, markup defaults.</t>
        </is>
      </c>
    </row>
    <row r="10">
      <c r="A10" s="2" t="inlineStr">
        <is>
          <t>2. Trade Bids: one row per CSI division. Enter the lowest qualifying sub quote per trade. Workbook computes GC markup on subs (typically 5-10%) plus optional contingency per trade.</t>
        </is>
      </c>
    </row>
    <row r="11">
      <c r="A11" s="2" t="inlineStr">
        <is>
          <t>3. Self-Perform: any work the GC self-performs (rare on true GC; common on design-build / CMAR). Enter as labor + material + equipment cost. Marked up with self-perform OH + profit.</t>
        </is>
      </c>
    </row>
    <row r="12">
      <c r="A12" s="2" t="inlineStr">
        <is>
          <t>4. General Conditions: Division 01 — supervision, project office, dumpsters, port-a-john, signage, site security, temporary utilities, etc. Itemized monthly/lump-sum.</t>
        </is>
      </c>
    </row>
    <row r="13">
      <c r="A13" s="2" t="inlineStr">
        <is>
          <t>5. Allowances &amp; Contingencies: explicit allowances called out in the bid + project-level contingency.</t>
        </is>
      </c>
    </row>
    <row r="14">
      <c r="A14" s="2" t="inlineStr">
        <is>
          <t>6. Bid Summary: roll-up → corporate overhead + profit + payment-and-performance bond + sales tax → final bid number.</t>
        </is>
      </c>
    </row>
    <row r="15">
      <c r="A15" s="2" t="inlineStr"/>
    </row>
    <row r="16">
      <c r="A16" s="3" t="inlineStr">
        <is>
          <t>MARKUP STRUCTURE (LOCK IT IN ONE WAY OR THE OTHER)</t>
        </is>
      </c>
    </row>
    <row r="17">
      <c r="A17" s="2" t="inlineStr">
        <is>
          <t>Two conventions exist. Pick one and zero out the other to avoid double-counting:</t>
        </is>
      </c>
    </row>
    <row r="18">
      <c r="A18" s="2" t="inlineStr">
        <is>
          <t xml:space="preserve">  (A) Line-level markup ONLY: each trade gets its GC markup at the line item; no corporate OH+P at summary. Defaults: Sub Markup 7%, Self-Perform OH 10% + Profit 8%. Summary OH and Profit = 0%.</t>
        </is>
      </c>
    </row>
    <row r="19">
      <c r="A19" s="2" t="inlineStr">
        <is>
          <t xml:space="preserve">  (B) Summary-level markup ONLY: zero markup on each line; corporate OH (8-12%) + Profit (5-10%) added at the Bid Summary. Defaults: Sub Markup 0%, Self-Perform OH 0% + Profit 0%. Summary OH = 10%, Profit = 8%.</t>
        </is>
      </c>
    </row>
    <row r="20">
      <c r="A20" s="2" t="inlineStr">
        <is>
          <t>Default values are set for (A). Adjust Project Info to switch to (B).</t>
        </is>
      </c>
    </row>
    <row r="21">
      <c r="A21" s="2" t="inlineStr"/>
    </row>
    <row r="22">
      <c r="A22" s="3" t="inlineStr">
        <is>
          <t>GENERAL CONDITIONS — TYPICAL RUN-RATE</t>
        </is>
      </c>
    </row>
    <row r="23">
      <c r="A23" s="2" t="inlineStr">
        <is>
          <t>Division 01 General Conditions typically run 5-10% of the trade-cost subtotal on commercial work; tight industrial may run 8-12%; complex multi-site or fast-track can hit 15%. The pack lets you itemize OR enter as a lump sum. Itemizing produces a better bid; lump-sum is faster.</t>
        </is>
      </c>
    </row>
    <row r="24">
      <c r="A24" s="2" t="inlineStr"/>
    </row>
    <row r="25">
      <c r="A25" s="3" t="inlineStr">
        <is>
          <t>BOND, INSURANCE, TAX</t>
        </is>
      </c>
    </row>
    <row r="26">
      <c r="A26" s="2" t="inlineStr">
        <is>
          <t>Bond default: 1.0% of bid (varies 0.5-1.5% by surety + project profile).</t>
        </is>
      </c>
    </row>
    <row r="27">
      <c r="A27" s="2" t="inlineStr">
        <is>
          <t>Sales tax: project-state-specific; on materials, not on labor/equipment in most states. Confirm with your CPA before relying on the default.</t>
        </is>
      </c>
    </row>
    <row r="28">
      <c r="A28" s="2" t="inlineStr">
        <is>
          <t>Builder's Risk: typically Owner-supplied. Confirm before adding to bid.</t>
        </is>
      </c>
    </row>
    <row r="29">
      <c r="A29" s="2" t="inlineStr"/>
    </row>
    <row r="30">
      <c r="A30" s="3" t="inlineStr">
        <is>
          <t>CONTINGENCY CONVENTION</t>
        </is>
      </c>
    </row>
    <row r="31">
      <c r="A31" s="2" t="inlineStr">
        <is>
          <t>GC contingency lives in TWO PLACES:</t>
        </is>
      </c>
    </row>
    <row r="32">
      <c r="A32" s="2" t="inlineStr">
        <is>
          <t xml:space="preserve">  - Per-trade contingency on the Trade Bids tab (covers sub quote risk on that specific trade).</t>
        </is>
      </c>
    </row>
    <row r="33">
      <c r="A33" s="2" t="inlineStr">
        <is>
          <t xml:space="preserve">  - Project contingency on the Allowances tab (covers unknowns + estimating risk overall).</t>
        </is>
      </c>
    </row>
    <row r="34">
      <c r="A34" s="2" t="inlineStr">
        <is>
          <t>Don't apply both at the SAME % on the same scope or you're double-buffering. Industry-typical: 1-3% per-trade for risky scopes, plus 2-4% project-level. Total typically 3-6% combined.</t>
        </is>
      </c>
    </row>
    <row r="35">
      <c r="A35" s="2" t="inlineStr"/>
    </row>
    <row r="36">
      <c r="A36" s="3" t="inlineStr">
        <is>
          <t>THIS WORKBOOK + GC APPLICATION FOR PAYMENT</t>
        </is>
      </c>
    </row>
    <row r="37">
      <c r="A37" s="2" t="inlineStr">
        <is>
          <t>The Trade Bids + Self-Perform totals from this workbook become the Schedule of Values in the GC Application for Payment workbook. After award, copy the line-item values from Trade Bids into the SOV Setup tab of GC_Application_for_Payment.xlsx and bill against them monthly.</t>
        </is>
      </c>
    </row>
    <row r="38">
      <c r="A38" s="2" t="inlineStr"/>
    </row>
    <row r="39">
      <c r="A39" s="3" t="inlineStr">
        <is>
          <t>WHAT THIS WORKBOOK IS NOT</t>
        </is>
      </c>
    </row>
    <row r="40">
      <c r="A40" s="2" t="inlineStr">
        <is>
          <t xml:space="preserve">  - Not a takeoff tool. Use the trade-specific bid estimators (Steel Erection, Electrical, etc.) for from-scratch quantity-based estimating, or buy sub quotes.</t>
        </is>
      </c>
    </row>
    <row r="41">
      <c r="A41" s="2" t="inlineStr">
        <is>
          <t xml:space="preserve">  - Not a CPM scheduling tool. Use GC_Project_Operations.xlsx for the Schedule tab.</t>
        </is>
      </c>
    </row>
    <row r="42">
      <c r="A42" s="2" t="inlineStr">
        <is>
          <t xml:space="preserve">  - Not a job-cost accounting system. Use Job_Costing_Spreadsheet.xlsx (Business tier) for that.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36"/>
  <sheetViews>
    <sheetView showGridLines="0" workbookViewId="0">
      <selection activeCell="A1" sqref="A1"/>
    </sheetView>
  </sheetViews>
  <sheetFormatPr baseColWidth="8" defaultRowHeight="15"/>
  <cols>
    <col width="4" customWidth="1" min="1" max="1"/>
    <col width="42" customWidth="1" min="2" max="2"/>
    <col width="36" customWidth="1" min="3" max="3"/>
  </cols>
  <sheetData>
    <row r="1" ht="32" customHeight="1">
      <c r="B1" s="1" t="inlineStr">
        <is>
          <t>PROJECT INFORMATION — GC Bid</t>
        </is>
      </c>
    </row>
    <row r="3">
      <c r="B3" s="4" t="inlineStr">
        <is>
          <t>Project Name</t>
        </is>
      </c>
      <c r="C3" s="5" t="inlineStr"/>
    </row>
    <row r="4">
      <c r="B4" s="4" t="inlineStr">
        <is>
          <t>Project Address</t>
        </is>
      </c>
      <c r="C4" s="5" t="inlineStr"/>
    </row>
    <row r="5">
      <c r="B5" s="4" t="inlineStr">
        <is>
          <t>Owner</t>
        </is>
      </c>
      <c r="C5" s="5" t="inlineStr"/>
    </row>
    <row r="6">
      <c r="B6" s="4" t="inlineStr">
        <is>
          <t>Architect</t>
        </is>
      </c>
      <c r="C6" s="5" t="inlineStr"/>
    </row>
    <row r="7">
      <c r="B7" s="4" t="inlineStr">
        <is>
          <t>Engineer (Structural / MEP)</t>
        </is>
      </c>
      <c r="C7" s="5" t="inlineStr"/>
    </row>
    <row r="8">
      <c r="B8" s="4" t="inlineStr">
        <is>
          <t>Bid Due Date</t>
        </is>
      </c>
      <c r="C8" s="6" t="inlineStr"/>
    </row>
    <row r="9">
      <c r="B9" s="4" t="inlineStr">
        <is>
          <t>Project Type</t>
        </is>
      </c>
      <c r="C9" s="5" t="inlineStr">
        <is>
          <t>Commercial — New Construction</t>
        </is>
      </c>
    </row>
    <row r="10">
      <c r="B10" s="4" t="inlineStr">
        <is>
          <t>Delivery Method</t>
        </is>
      </c>
      <c r="C10" s="5" t="inlineStr">
        <is>
          <t>Design-Bid-Build</t>
        </is>
      </c>
    </row>
    <row r="11">
      <c r="B11" s="4" t="inlineStr">
        <is>
          <t>Construction Schedule (months)</t>
        </is>
      </c>
      <c r="C11" s="7" t="n">
        <v>0</v>
      </c>
    </row>
    <row r="12">
      <c r="B12" s="4" t="inlineStr">
        <is>
          <t>Anticipated NTP Date</t>
        </is>
      </c>
      <c r="C12" s="6" t="inlineStr"/>
    </row>
    <row r="13">
      <c r="B13" s="4" t="inlineStr">
        <is>
          <t>Anticipated Substantial Completion</t>
        </is>
      </c>
      <c r="C13" s="6" t="inlineStr"/>
    </row>
    <row r="14">
      <c r="B14" s="4" t="inlineStr">
        <is>
          <t>Project State (sales-tax rule)</t>
        </is>
      </c>
      <c r="C14" s="5" t="inlineStr"/>
    </row>
    <row r="15">
      <c r="B15" s="4" t="inlineStr">
        <is>
          <t>Davis-Bacon / Prevailing Wage?</t>
        </is>
      </c>
      <c r="C15" s="5" t="inlineStr">
        <is>
          <t>No</t>
        </is>
      </c>
    </row>
    <row r="17">
      <c r="B17" s="8" t="inlineStr">
        <is>
          <t>MARKUP CONVENTION (SEE INSTRUCTIONS — PICK ONE)</t>
        </is>
      </c>
    </row>
    <row r="18">
      <c r="B18" s="4" t="inlineStr">
        <is>
          <t>Sub Markup % (per-trade line-level)</t>
        </is>
      </c>
      <c r="C18" s="9" t="n">
        <v>0.07000000000000001</v>
      </c>
    </row>
    <row r="19">
      <c r="B19" s="4" t="inlineStr">
        <is>
          <t>Self-Perform OH %</t>
        </is>
      </c>
      <c r="C19" s="9" t="n">
        <v>0.1</v>
      </c>
    </row>
    <row r="20">
      <c r="B20" s="4" t="inlineStr">
        <is>
          <t>Self-Perform Profit %</t>
        </is>
      </c>
      <c r="C20" s="9" t="n">
        <v>0.08</v>
      </c>
    </row>
    <row r="21">
      <c r="B21" s="4" t="inlineStr">
        <is>
          <t>Corporate / Summary OH %</t>
        </is>
      </c>
      <c r="C21" s="10" t="n">
        <v>0</v>
      </c>
    </row>
    <row r="22">
      <c r="B22" s="4" t="inlineStr">
        <is>
          <t>Corporate / Summary Profit %</t>
        </is>
      </c>
      <c r="C22" s="10" t="n">
        <v>0</v>
      </c>
    </row>
    <row r="24">
      <c r="B24" s="8" t="inlineStr">
        <is>
          <t>BOND, INSURANCE, TAX</t>
        </is>
      </c>
    </row>
    <row r="25">
      <c r="B25" s="4" t="inlineStr">
        <is>
          <t>P&amp;P Bond %</t>
        </is>
      </c>
      <c r="C25" s="9" t="n">
        <v>0.01</v>
      </c>
    </row>
    <row r="26">
      <c r="B26" s="4" t="inlineStr">
        <is>
          <t>Sales Tax on Materials %</t>
        </is>
      </c>
      <c r="C26" s="9" t="n">
        <v>0.07000000000000001</v>
      </c>
    </row>
    <row r="27">
      <c r="B27" s="4" t="inlineStr">
        <is>
          <t>Builder's Risk in bid? (Owner usually supplies)</t>
        </is>
      </c>
      <c r="C27" s="5" t="inlineStr">
        <is>
          <t>No</t>
        </is>
      </c>
    </row>
    <row r="29">
      <c r="B29" s="8" t="inlineStr">
        <is>
          <t>CONTINGENCY</t>
        </is>
      </c>
    </row>
    <row r="30">
      <c r="B30" s="4" t="inlineStr">
        <is>
          <t>Per-Trade Contingency Default %</t>
        </is>
      </c>
      <c r="C30" s="9" t="n">
        <v>0.02</v>
      </c>
    </row>
    <row r="31">
      <c r="B31" s="4" t="inlineStr">
        <is>
          <t>Project-Level Contingency %</t>
        </is>
      </c>
      <c r="C31" s="9" t="n">
        <v>0.03</v>
      </c>
    </row>
    <row r="33">
      <c r="B33" s="8" t="inlineStr">
        <is>
          <t>BIDDER OF RECORD</t>
        </is>
      </c>
    </row>
    <row r="34">
      <c r="B34" s="4" t="inlineStr">
        <is>
          <t>Lead Estimator</t>
        </is>
      </c>
      <c r="C34" s="5" t="inlineStr"/>
    </row>
    <row r="35">
      <c r="B35" s="4" t="inlineStr">
        <is>
          <t>Project Executive</t>
        </is>
      </c>
      <c r="C35" s="5" t="inlineStr"/>
    </row>
    <row r="36">
      <c r="B36" s="4" t="inlineStr">
        <is>
          <t>Authorized Signatory</t>
        </is>
      </c>
      <c r="C36" s="5" t="inlineStr"/>
    </row>
  </sheetData>
  <mergeCells count="5">
    <mergeCell ref="B24:C24"/>
    <mergeCell ref="B29:C29"/>
    <mergeCell ref="B33:C33"/>
    <mergeCell ref="B17:C17"/>
    <mergeCell ref="B1:C1"/>
  </mergeCells>
  <dataValidations count="2">
    <dataValidation sqref="C15 C27" showDropDown="0" showInputMessage="0" showErrorMessage="0" allowBlank="0" type="list">
      <formula1>"Yes,No"</formula1>
    </dataValidation>
    <dataValidation sqref="C10" showDropDown="0" showInputMessage="0" showErrorMessage="0" allowBlank="1" type="list">
      <formula1>"Design-Bid-Build,Design-Build,GMP,CM at Risk,IPD,Other"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
  <sheetViews>
    <sheetView showGridLines="0" workbookViewId="0">
      <selection activeCell="A1" sqref="A1"/>
    </sheetView>
  </sheetViews>
  <sheetFormatPr baseColWidth="8" defaultRowHeight="15"/>
  <cols>
    <col width="9" customWidth="1" min="1" max="1"/>
    <col width="32" customWidth="1" min="2" max="2"/>
    <col width="26" customWidth="1" min="3" max="3"/>
    <col width="12" customWidth="1" min="4" max="4"/>
    <col width="16" customWidth="1" min="5" max="5"/>
    <col width="14" customWidth="1" min="6" max="6"/>
    <col width="16" customWidth="1" min="7" max="7"/>
    <col width="12" customWidth="1" min="8" max="8"/>
    <col width="16" customWidth="1" min="9" max="9"/>
    <col width="16" customWidth="1" min="10" max="10"/>
    <col width="30" customWidth="1" min="11" max="11"/>
    <col width="14" customWidth="1" min="12" max="12"/>
  </cols>
  <sheetData>
    <row r="1" ht="32" customHeight="1">
      <c r="A1" s="1" t="inlineStr">
        <is>
          <t>TRADE BIDS — Subcontractor Quote Roll-Up</t>
        </is>
      </c>
    </row>
    <row r="2" ht="32" customHeight="1">
      <c r="A2" s="11" t="inlineStr">
        <is>
          <t>One row per CSI division. Enter the lowest qualifying sub quote per trade. The GC Markup column defaults to the SubMarkup named range (set on Project Info — default 7%); override per trade for thin-margin or high-risk scopes. Line Total = SubQuote × (1 + Markup) × (1 + Contingency).</t>
        </is>
      </c>
    </row>
    <row r="4" ht="30" customHeight="1">
      <c r="A4" s="12" t="inlineStr">
        <is>
          <t>CSI Div</t>
        </is>
      </c>
      <c r="B4" s="12" t="inlineStr">
        <is>
          <t>Trade Name</t>
        </is>
      </c>
      <c r="C4" s="12" t="inlineStr">
        <is>
          <t>Sub (low qualifying bidder)</t>
        </is>
      </c>
      <c r="D4" s="12" t="inlineStr">
        <is>
          <t>Quote Date</t>
        </is>
      </c>
      <c r="E4" s="12" t="inlineStr">
        <is>
          <t>Sub Quote ($)</t>
        </is>
      </c>
      <c r="F4" s="12" t="inlineStr">
        <is>
          <t>Quote Includes Bond?</t>
        </is>
      </c>
      <c r="G4" s="12" t="inlineStr">
        <is>
          <t>Quote Includes Sales Tax?</t>
        </is>
      </c>
      <c r="H4" s="12" t="inlineStr">
        <is>
          <t>GC Markup %</t>
        </is>
      </c>
      <c r="I4" s="12" t="inlineStr">
        <is>
          <t>Per-Trade Contingency %</t>
        </is>
      </c>
      <c r="J4" s="12" t="inlineStr">
        <is>
          <t>Line Total ($)</t>
        </is>
      </c>
      <c r="K4" s="12" t="inlineStr">
        <is>
          <t>Notes / Exclusions</t>
        </is>
      </c>
      <c r="L4" s="28" t="inlineStr">
        <is>
          <t>CSI Subdivision</t>
        </is>
      </c>
    </row>
    <row r="5">
      <c r="A5" s="13" t="inlineStr">
        <is>
          <t>01</t>
        </is>
      </c>
      <c r="B5" s="13" t="inlineStr">
        <is>
          <t>General Requirements</t>
        </is>
      </c>
      <c r="C5" s="13" t="n"/>
      <c r="D5" s="14" t="n"/>
      <c r="E5" s="15" t="n"/>
      <c r="F5" s="13" t="n"/>
      <c r="G5" s="13" t="n"/>
      <c r="H5" s="16">
        <f>SubMarkup</f>
        <v/>
      </c>
      <c r="I5" s="16">
        <f>TradeContingency</f>
        <v/>
      </c>
      <c r="J5" s="15">
        <f>IFERROR(E5*(1+H5)*(1+I5),0)</f>
        <v/>
      </c>
      <c r="K5" s="13" t="n"/>
    </row>
    <row r="6">
      <c r="A6" s="13" t="inlineStr">
        <is>
          <t>02</t>
        </is>
      </c>
      <c r="B6" s="13" t="inlineStr">
        <is>
          <t>Existing Conditions</t>
        </is>
      </c>
      <c r="C6" s="13" t="n"/>
      <c r="D6" s="14" t="n"/>
      <c r="E6" s="15" t="n"/>
      <c r="F6" s="13" t="n"/>
      <c r="G6" s="13" t="n"/>
      <c r="H6" s="16">
        <f>SubMarkup</f>
        <v/>
      </c>
      <c r="I6" s="16">
        <f>TradeContingency</f>
        <v/>
      </c>
      <c r="J6" s="15">
        <f>IFERROR(E6*(1+H6)*(1+I6),0)</f>
        <v/>
      </c>
      <c r="K6" s="13" t="n"/>
    </row>
    <row r="7">
      <c r="A7" s="13" t="inlineStr">
        <is>
          <t>03</t>
        </is>
      </c>
      <c r="B7" s="13" t="inlineStr">
        <is>
          <t>Concrete</t>
        </is>
      </c>
      <c r="C7" s="13" t="n"/>
      <c r="D7" s="14" t="n"/>
      <c r="E7" s="15" t="n"/>
      <c r="F7" s="13" t="n"/>
      <c r="G7" s="13" t="n"/>
      <c r="H7" s="16">
        <f>SubMarkup</f>
        <v/>
      </c>
      <c r="I7" s="16">
        <f>TradeContingency</f>
        <v/>
      </c>
      <c r="J7" s="15">
        <f>IFERROR(E7*(1+H7)*(1+I7),0)</f>
        <v/>
      </c>
      <c r="K7" s="13" t="n"/>
    </row>
    <row r="8">
      <c r="A8" s="13" t="inlineStr">
        <is>
          <t>04</t>
        </is>
      </c>
      <c r="B8" s="13" t="inlineStr">
        <is>
          <t>Masonry</t>
        </is>
      </c>
      <c r="C8" s="13" t="n"/>
      <c r="D8" s="14" t="n"/>
      <c r="E8" s="15" t="n"/>
      <c r="F8" s="13" t="n"/>
      <c r="G8" s="13" t="n"/>
      <c r="H8" s="16">
        <f>SubMarkup</f>
        <v/>
      </c>
      <c r="I8" s="16">
        <f>TradeContingency</f>
        <v/>
      </c>
      <c r="J8" s="15">
        <f>IFERROR(E8*(1+H8)*(1+I8),0)</f>
        <v/>
      </c>
      <c r="K8" s="13" t="n"/>
    </row>
    <row r="9">
      <c r="A9" s="13" t="inlineStr">
        <is>
          <t>05</t>
        </is>
      </c>
      <c r="B9" s="13" t="inlineStr">
        <is>
          <t>Metals</t>
        </is>
      </c>
      <c r="C9" s="13" t="n"/>
      <c r="D9" s="14" t="n"/>
      <c r="E9" s="15" t="n"/>
      <c r="F9" s="13" t="n"/>
      <c r="G9" s="13" t="n"/>
      <c r="H9" s="16">
        <f>SubMarkup</f>
        <v/>
      </c>
      <c r="I9" s="16">
        <f>TradeContingency</f>
        <v/>
      </c>
      <c r="J9" s="15">
        <f>IFERROR(E9*(1+H9)*(1+I9),0)</f>
        <v/>
      </c>
      <c r="K9" s="13" t="n"/>
    </row>
    <row r="10">
      <c r="A10" s="13" t="inlineStr">
        <is>
          <t>06</t>
        </is>
      </c>
      <c r="B10" s="13" t="inlineStr">
        <is>
          <t>Wood, Plastics, and Composites</t>
        </is>
      </c>
      <c r="C10" s="13" t="n"/>
      <c r="D10" s="14" t="n"/>
      <c r="E10" s="15" t="n"/>
      <c r="F10" s="13" t="n"/>
      <c r="G10" s="13" t="n"/>
      <c r="H10" s="16">
        <f>SubMarkup</f>
        <v/>
      </c>
      <c r="I10" s="16">
        <f>TradeContingency</f>
        <v/>
      </c>
      <c r="J10" s="15">
        <f>IFERROR(E10*(1+H10)*(1+I10),0)</f>
        <v/>
      </c>
      <c r="K10" s="13" t="n"/>
    </row>
    <row r="11">
      <c r="A11" s="13" t="inlineStr">
        <is>
          <t>07</t>
        </is>
      </c>
      <c r="B11" s="13" t="inlineStr">
        <is>
          <t>Thermal and Moisture Protection</t>
        </is>
      </c>
      <c r="C11" s="13" t="n"/>
      <c r="D11" s="14" t="n"/>
      <c r="E11" s="15" t="n"/>
      <c r="F11" s="13" t="n"/>
      <c r="G11" s="13" t="n"/>
      <c r="H11" s="16">
        <f>SubMarkup</f>
        <v/>
      </c>
      <c r="I11" s="16">
        <f>TradeContingency</f>
        <v/>
      </c>
      <c r="J11" s="15">
        <f>IFERROR(E11*(1+H11)*(1+I11),0)</f>
        <v/>
      </c>
      <c r="K11" s="13" t="n"/>
    </row>
    <row r="12">
      <c r="A12" s="13" t="inlineStr">
        <is>
          <t>08</t>
        </is>
      </c>
      <c r="B12" s="13" t="inlineStr">
        <is>
          <t>Openings</t>
        </is>
      </c>
      <c r="C12" s="13" t="n"/>
      <c r="D12" s="14" t="n"/>
      <c r="E12" s="15" t="n"/>
      <c r="F12" s="13" t="n"/>
      <c r="G12" s="13" t="n"/>
      <c r="H12" s="16">
        <f>SubMarkup</f>
        <v/>
      </c>
      <c r="I12" s="16">
        <f>TradeContingency</f>
        <v/>
      </c>
      <c r="J12" s="15">
        <f>IFERROR(E12*(1+H12)*(1+I12),0)</f>
        <v/>
      </c>
      <c r="K12" s="13" t="n"/>
    </row>
    <row r="13">
      <c r="A13" s="13" t="inlineStr">
        <is>
          <t>09</t>
        </is>
      </c>
      <c r="B13" s="13" t="inlineStr">
        <is>
          <t>Finishes</t>
        </is>
      </c>
      <c r="C13" s="13" t="n"/>
      <c r="D13" s="14" t="n"/>
      <c r="E13" s="15" t="n"/>
      <c r="F13" s="13" t="n"/>
      <c r="G13" s="13" t="n"/>
      <c r="H13" s="16">
        <f>SubMarkup</f>
        <v/>
      </c>
      <c r="I13" s="16">
        <f>TradeContingency</f>
        <v/>
      </c>
      <c r="J13" s="15">
        <f>IFERROR(E13*(1+H13)*(1+I13),0)</f>
        <v/>
      </c>
      <c r="K13" s="13" t="n"/>
    </row>
    <row r="14">
      <c r="A14" s="13" t="inlineStr">
        <is>
          <t>10</t>
        </is>
      </c>
      <c r="B14" s="13" t="inlineStr">
        <is>
          <t>Specialties</t>
        </is>
      </c>
      <c r="C14" s="13" t="n"/>
      <c r="D14" s="14" t="n"/>
      <c r="E14" s="15" t="n"/>
      <c r="F14" s="13" t="n"/>
      <c r="G14" s="13" t="n"/>
      <c r="H14" s="16">
        <f>SubMarkup</f>
        <v/>
      </c>
      <c r="I14" s="16">
        <f>TradeContingency</f>
        <v/>
      </c>
      <c r="J14" s="15">
        <f>IFERROR(E14*(1+H14)*(1+I14),0)</f>
        <v/>
      </c>
      <c r="K14" s="13" t="n"/>
    </row>
    <row r="15">
      <c r="A15" s="13" t="inlineStr">
        <is>
          <t>11</t>
        </is>
      </c>
      <c r="B15" s="13" t="inlineStr">
        <is>
          <t>Equipment</t>
        </is>
      </c>
      <c r="C15" s="13" t="n"/>
      <c r="D15" s="14" t="n"/>
      <c r="E15" s="15" t="n"/>
      <c r="F15" s="13" t="n"/>
      <c r="G15" s="13" t="n"/>
      <c r="H15" s="16">
        <f>SubMarkup</f>
        <v/>
      </c>
      <c r="I15" s="16">
        <f>TradeContingency</f>
        <v/>
      </c>
      <c r="J15" s="15">
        <f>IFERROR(E15*(1+H15)*(1+I15),0)</f>
        <v/>
      </c>
      <c r="K15" s="13" t="n"/>
    </row>
    <row r="16">
      <c r="A16" s="13" t="inlineStr">
        <is>
          <t>12</t>
        </is>
      </c>
      <c r="B16" s="13" t="inlineStr">
        <is>
          <t>Furnishings</t>
        </is>
      </c>
      <c r="C16" s="13" t="n"/>
      <c r="D16" s="14" t="n"/>
      <c r="E16" s="15" t="n"/>
      <c r="F16" s="13" t="n"/>
      <c r="G16" s="13" t="n"/>
      <c r="H16" s="16">
        <f>SubMarkup</f>
        <v/>
      </c>
      <c r="I16" s="16">
        <f>TradeContingency</f>
        <v/>
      </c>
      <c r="J16" s="15">
        <f>IFERROR(E16*(1+H16)*(1+I16),0)</f>
        <v/>
      </c>
      <c r="K16" s="13" t="n"/>
    </row>
    <row r="17">
      <c r="A17" s="13" t="inlineStr">
        <is>
          <t>13</t>
        </is>
      </c>
      <c r="B17" s="13" t="inlineStr">
        <is>
          <t>Special Construction</t>
        </is>
      </c>
      <c r="C17" s="13" t="n"/>
      <c r="D17" s="14" t="n"/>
      <c r="E17" s="15" t="n"/>
      <c r="F17" s="13" t="n"/>
      <c r="G17" s="13" t="n"/>
      <c r="H17" s="16">
        <f>SubMarkup</f>
        <v/>
      </c>
      <c r="I17" s="16">
        <f>TradeContingency</f>
        <v/>
      </c>
      <c r="J17" s="15">
        <f>IFERROR(E17*(1+H17)*(1+I17),0)</f>
        <v/>
      </c>
      <c r="K17" s="13" t="n"/>
    </row>
    <row r="18">
      <c r="A18" s="13" t="inlineStr">
        <is>
          <t>14</t>
        </is>
      </c>
      <c r="B18" s="13" t="inlineStr">
        <is>
          <t>Conveying Equipment</t>
        </is>
      </c>
      <c r="C18" s="13" t="n"/>
      <c r="D18" s="14" t="n"/>
      <c r="E18" s="15" t="n"/>
      <c r="F18" s="13" t="n"/>
      <c r="G18" s="13" t="n"/>
      <c r="H18" s="16">
        <f>SubMarkup</f>
        <v/>
      </c>
      <c r="I18" s="16">
        <f>TradeContingency</f>
        <v/>
      </c>
      <c r="J18" s="15">
        <f>IFERROR(E18*(1+H18)*(1+I18),0)</f>
        <v/>
      </c>
      <c r="K18" s="13" t="n"/>
    </row>
    <row r="19">
      <c r="A19" s="13" t="inlineStr">
        <is>
          <t>21</t>
        </is>
      </c>
      <c r="B19" s="13" t="inlineStr">
        <is>
          <t>Fire Suppression</t>
        </is>
      </c>
      <c r="C19" s="13" t="n"/>
      <c r="D19" s="14" t="n"/>
      <c r="E19" s="15" t="n"/>
      <c r="F19" s="13" t="n"/>
      <c r="G19" s="13" t="n"/>
      <c r="H19" s="16">
        <f>SubMarkup</f>
        <v/>
      </c>
      <c r="I19" s="16">
        <f>TradeContingency</f>
        <v/>
      </c>
      <c r="J19" s="15">
        <f>IFERROR(E19*(1+H19)*(1+I19),0)</f>
        <v/>
      </c>
      <c r="K19" s="13" t="n"/>
    </row>
    <row r="20">
      <c r="A20" s="13" t="inlineStr">
        <is>
          <t>22</t>
        </is>
      </c>
      <c r="B20" s="13" t="inlineStr">
        <is>
          <t>Plumbing</t>
        </is>
      </c>
      <c r="C20" s="13" t="n"/>
      <c r="D20" s="14" t="n"/>
      <c r="E20" s="15" t="n"/>
      <c r="F20" s="13" t="n"/>
      <c r="G20" s="13" t="n"/>
      <c r="H20" s="16">
        <f>SubMarkup</f>
        <v/>
      </c>
      <c r="I20" s="16">
        <f>TradeContingency</f>
        <v/>
      </c>
      <c r="J20" s="15">
        <f>IFERROR(E20*(1+H20)*(1+I20),0)</f>
        <v/>
      </c>
      <c r="K20" s="13" t="n"/>
    </row>
    <row r="21">
      <c r="A21" s="13" t="inlineStr">
        <is>
          <t>23</t>
        </is>
      </c>
      <c r="B21" s="13" t="inlineStr">
        <is>
          <t>HVAC</t>
        </is>
      </c>
      <c r="C21" s="13" t="n"/>
      <c r="D21" s="14" t="n"/>
      <c r="E21" s="15" t="n"/>
      <c r="F21" s="13" t="n"/>
      <c r="G21" s="13" t="n"/>
      <c r="H21" s="16">
        <f>SubMarkup</f>
        <v/>
      </c>
      <c r="I21" s="16">
        <f>TradeContingency</f>
        <v/>
      </c>
      <c r="J21" s="15">
        <f>IFERROR(E21*(1+H21)*(1+I21),0)</f>
        <v/>
      </c>
      <c r="K21" s="13" t="n"/>
    </row>
    <row r="22">
      <c r="A22" s="13" t="inlineStr">
        <is>
          <t>25</t>
        </is>
      </c>
      <c r="B22" s="13" t="inlineStr">
        <is>
          <t>Integrated Automation</t>
        </is>
      </c>
      <c r="C22" s="13" t="n"/>
      <c r="D22" s="14" t="n"/>
      <c r="E22" s="15" t="n"/>
      <c r="F22" s="13" t="n"/>
      <c r="G22" s="13" t="n"/>
      <c r="H22" s="16">
        <f>SubMarkup</f>
        <v/>
      </c>
      <c r="I22" s="16">
        <f>TradeContingency</f>
        <v/>
      </c>
      <c r="J22" s="15">
        <f>IFERROR(E22*(1+H22)*(1+I22),0)</f>
        <v/>
      </c>
      <c r="K22" s="13" t="n"/>
    </row>
    <row r="23">
      <c r="A23" s="13" t="inlineStr">
        <is>
          <t>26</t>
        </is>
      </c>
      <c r="B23" s="13" t="inlineStr">
        <is>
          <t>Electrical</t>
        </is>
      </c>
      <c r="C23" s="13" t="n"/>
      <c r="D23" s="14" t="n"/>
      <c r="E23" s="15" t="n"/>
      <c r="F23" s="13" t="n"/>
      <c r="G23" s="13" t="n"/>
      <c r="H23" s="16">
        <f>SubMarkup</f>
        <v/>
      </c>
      <c r="I23" s="16">
        <f>TradeContingency</f>
        <v/>
      </c>
      <c r="J23" s="15">
        <f>IFERROR(E23*(1+H23)*(1+I23),0)</f>
        <v/>
      </c>
      <c r="K23" s="13" t="n"/>
    </row>
    <row r="24">
      <c r="A24" s="13" t="inlineStr">
        <is>
          <t>27</t>
        </is>
      </c>
      <c r="B24" s="13" t="inlineStr">
        <is>
          <t>Communications</t>
        </is>
      </c>
      <c r="C24" s="13" t="n"/>
      <c r="D24" s="14" t="n"/>
      <c r="E24" s="15" t="n"/>
      <c r="F24" s="13" t="n"/>
      <c r="G24" s="13" t="n"/>
      <c r="H24" s="16">
        <f>SubMarkup</f>
        <v/>
      </c>
      <c r="I24" s="16">
        <f>TradeContingency</f>
        <v/>
      </c>
      <c r="J24" s="15">
        <f>IFERROR(E24*(1+H24)*(1+I24),0)</f>
        <v/>
      </c>
      <c r="K24" s="13" t="n"/>
    </row>
    <row r="25">
      <c r="A25" s="13" t="inlineStr">
        <is>
          <t>28</t>
        </is>
      </c>
      <c r="B25" s="13" t="inlineStr">
        <is>
          <t>Electronic Safety and Security</t>
        </is>
      </c>
      <c r="C25" s="13" t="n"/>
      <c r="D25" s="14" t="n"/>
      <c r="E25" s="15" t="n"/>
      <c r="F25" s="13" t="n"/>
      <c r="G25" s="13" t="n"/>
      <c r="H25" s="16">
        <f>SubMarkup</f>
        <v/>
      </c>
      <c r="I25" s="16">
        <f>TradeContingency</f>
        <v/>
      </c>
      <c r="J25" s="15">
        <f>IFERROR(E25*(1+H25)*(1+I25),0)</f>
        <v/>
      </c>
      <c r="K25" s="13" t="n"/>
    </row>
    <row r="26">
      <c r="A26" s="13" t="inlineStr">
        <is>
          <t>31</t>
        </is>
      </c>
      <c r="B26" s="13" t="inlineStr">
        <is>
          <t>Earthwork</t>
        </is>
      </c>
      <c r="C26" s="13" t="n"/>
      <c r="D26" s="14" t="n"/>
      <c r="E26" s="15" t="n"/>
      <c r="F26" s="13" t="n"/>
      <c r="G26" s="13" t="n"/>
      <c r="H26" s="16">
        <f>SubMarkup</f>
        <v/>
      </c>
      <c r="I26" s="16">
        <f>TradeContingency</f>
        <v/>
      </c>
      <c r="J26" s="15">
        <f>IFERROR(E26*(1+H26)*(1+I26),0)</f>
        <v/>
      </c>
      <c r="K26" s="13" t="n"/>
    </row>
    <row r="27">
      <c r="A27" s="13" t="inlineStr">
        <is>
          <t>32</t>
        </is>
      </c>
      <c r="B27" s="13" t="inlineStr">
        <is>
          <t>Exterior Improvements</t>
        </is>
      </c>
      <c r="C27" s="13" t="n"/>
      <c r="D27" s="14" t="n"/>
      <c r="E27" s="15" t="n"/>
      <c r="F27" s="13" t="n"/>
      <c r="G27" s="13" t="n"/>
      <c r="H27" s="16">
        <f>SubMarkup</f>
        <v/>
      </c>
      <c r="I27" s="16">
        <f>TradeContingency</f>
        <v/>
      </c>
      <c r="J27" s="15">
        <f>IFERROR(E27*(1+H27)*(1+I27),0)</f>
        <v/>
      </c>
      <c r="K27" s="13" t="n"/>
    </row>
    <row r="28">
      <c r="A28" s="13" t="inlineStr">
        <is>
          <t>33</t>
        </is>
      </c>
      <c r="B28" s="13" t="inlineStr">
        <is>
          <t>Utilities</t>
        </is>
      </c>
      <c r="C28" s="13" t="n"/>
      <c r="D28" s="14" t="n"/>
      <c r="E28" s="15" t="n"/>
      <c r="F28" s="13" t="n"/>
      <c r="G28" s="13" t="n"/>
      <c r="H28" s="16">
        <f>SubMarkup</f>
        <v/>
      </c>
      <c r="I28" s="16">
        <f>TradeContingency</f>
        <v/>
      </c>
      <c r="J28" s="15">
        <f>IFERROR(E28*(1+H28)*(1+I28),0)</f>
        <v/>
      </c>
      <c r="K28" s="13" t="n"/>
    </row>
    <row r="29">
      <c r="A29" s="13" t="inlineStr">
        <is>
          <t>34</t>
        </is>
      </c>
      <c r="B29" s="13" t="inlineStr">
        <is>
          <t>Transportation</t>
        </is>
      </c>
      <c r="C29" s="13" t="n"/>
      <c r="D29" s="14" t="n"/>
      <c r="E29" s="15" t="n"/>
      <c r="F29" s="13" t="n"/>
      <c r="G29" s="13" t="n"/>
      <c r="H29" s="16">
        <f>SubMarkup</f>
        <v/>
      </c>
      <c r="I29" s="16">
        <f>TradeContingency</f>
        <v/>
      </c>
      <c r="J29" s="15">
        <f>IFERROR(E29*(1+H29)*(1+I29),0)</f>
        <v/>
      </c>
      <c r="K29" s="13" t="n"/>
    </row>
    <row r="30">
      <c r="A30" s="13" t="inlineStr">
        <is>
          <t>35</t>
        </is>
      </c>
      <c r="B30" s="13" t="inlineStr">
        <is>
          <t>Waterway and Marine Construction</t>
        </is>
      </c>
      <c r="C30" s="13" t="n"/>
      <c r="D30" s="14" t="n"/>
      <c r="E30" s="15" t="n"/>
      <c r="F30" s="13" t="n"/>
      <c r="G30" s="13" t="n"/>
      <c r="H30" s="16">
        <f>SubMarkup</f>
        <v/>
      </c>
      <c r="I30" s="16">
        <f>TradeContingency</f>
        <v/>
      </c>
      <c r="J30" s="15">
        <f>IFERROR(E30*(1+H30)*(1+I30),0)</f>
        <v/>
      </c>
      <c r="K30" s="13" t="n"/>
    </row>
    <row r="31">
      <c r="B31" s="17" t="inlineStr">
        <is>
          <t>TRADE BIDS TOTAL</t>
        </is>
      </c>
      <c r="E31" s="18">
        <f>SUM(E5:E30)</f>
        <v/>
      </c>
      <c r="J31" s="18">
        <f>SUM(J5:J30)</f>
        <v/>
      </c>
    </row>
  </sheetData>
  <mergeCells count="2">
    <mergeCell ref="A2:K2"/>
    <mergeCell ref="A1:K1"/>
  </mergeCells>
  <dataValidations count="3">
    <dataValidation sqref="F5:F30 G5:G30" showDropDown="0" showInputMessage="0" showErrorMessage="0" allowBlank="1" type="list">
      <formula1>"Yes,No,N/A"</formula1>
    </dataValidation>
    <dataValidation sqref="A5:A30" showDropDown="0" showInputMessage="0" showErrorMessage="0" allowBlank="1" errorTitle="Invalid CSI Division" error="Pick a division from the dropdown (sourced from the CSI Reference tab)." promptTitle="CSI MasterFormat Division" prompt="Pick the CSI Level 1 division for this line item." type="list">
      <formula1>=CSI_Divisions</formula1>
    </dataValidation>
    <dataValidation sqref="L5:L30" showDropDown="0" showInputMessage="0" showErrorMessage="0" allowBlank="1" errorTitle="Invalid CSI Subdivision" error="Pick a subdivision that belongs to the division in the CSI Div column. Re-pick the division first if you don't see your subdivision." promptTitle="CSI MasterFormat Subdivision" prompt="Filtered by the division code in the CSI Div column (this same row)." type="list">
      <formula1>=INDIRECT("CSI_Div_" &amp; $A5)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9" customWidth="1" min="1" max="1"/>
    <col width="32" customWidth="1" min="2" max="2"/>
    <col width="16" customWidth="1" min="3" max="3"/>
    <col width="16" customWidth="1" min="4" max="4"/>
    <col width="16" customWidth="1" min="5" max="5"/>
    <col width="16" customWidth="1" min="6" max="6"/>
    <col width="9" customWidth="1" min="7" max="7"/>
    <col width="9" customWidth="1" min="8" max="8"/>
    <col width="16" customWidth="1" min="9" max="9"/>
    <col width="22" customWidth="1" min="10" max="10"/>
  </cols>
  <sheetData>
    <row r="1" ht="32" customHeight="1">
      <c r="A1" s="1" t="inlineStr">
        <is>
          <t>SELF-PERFORM WORK — GC Crew</t>
        </is>
      </c>
    </row>
    <row r="2" ht="32" customHeight="1">
      <c r="A2" s="11" t="inlineStr">
        <is>
          <t>Work the GC self-performs with its own crews (rare on true GC; common on Design-Build / CM-at-Risk). Common self-perform scopes: site work, concrete, carpentry, general labor, demolition. Direct Cost auto-sums Labor+Material+Equipment; Line Total applies SelfPerfOH + SelfPerfProfit defaults.</t>
        </is>
      </c>
    </row>
    <row r="4" ht="30" customHeight="1">
      <c r="A4" s="12" t="inlineStr">
        <is>
          <t>CSI Div</t>
        </is>
      </c>
      <c r="B4" s="12" t="inlineStr">
        <is>
          <t>Activity</t>
        </is>
      </c>
      <c r="C4" s="12" t="inlineStr">
        <is>
          <t>Labor Cost ($)</t>
        </is>
      </c>
      <c r="D4" s="12" t="inlineStr">
        <is>
          <t>Material Cost ($)</t>
        </is>
      </c>
      <c r="E4" s="12" t="inlineStr">
        <is>
          <t>Equipment Cost ($)</t>
        </is>
      </c>
      <c r="F4" s="12" t="inlineStr">
        <is>
          <t>Direct Cost ($)</t>
        </is>
      </c>
      <c r="G4" s="12" t="inlineStr">
        <is>
          <t>OH %</t>
        </is>
      </c>
      <c r="H4" s="12" t="inlineStr">
        <is>
          <t>Profit %</t>
        </is>
      </c>
      <c r="I4" s="12" t="inlineStr">
        <is>
          <t>Line Total ($)</t>
        </is>
      </c>
      <c r="J4" s="12" t="inlineStr">
        <is>
          <t>Notes</t>
        </is>
      </c>
    </row>
    <row r="5">
      <c r="A5" s="13" t="inlineStr">
        <is>
          <t>01</t>
        </is>
      </c>
      <c r="B5" s="13" t="inlineStr">
        <is>
          <t>Project Supervision (allocated)</t>
        </is>
      </c>
      <c r="C5" s="15" t="n"/>
      <c r="D5" s="15" t="n"/>
      <c r="E5" s="15" t="n"/>
      <c r="F5" s="15">
        <f>IFERROR(SUM(C5:E5),0)</f>
        <v/>
      </c>
      <c r="G5" s="16">
        <f>SelfPerfOH</f>
        <v/>
      </c>
      <c r="H5" s="16">
        <f>SelfPerfProfit</f>
        <v/>
      </c>
      <c r="I5" s="15">
        <f>IFERROR(F5*(1+G5)*(1+H5),0)</f>
        <v/>
      </c>
      <c r="J5" s="13" t="n"/>
    </row>
    <row r="6">
      <c r="A6" s="13" t="inlineStr">
        <is>
          <t>02</t>
        </is>
      </c>
      <c r="B6" s="13" t="inlineStr">
        <is>
          <t>Demolition</t>
        </is>
      </c>
      <c r="C6" s="15" t="n"/>
      <c r="D6" s="15" t="n"/>
      <c r="E6" s="15" t="n"/>
      <c r="F6" s="15">
        <f>IFERROR(SUM(C6:E6),0)</f>
        <v/>
      </c>
      <c r="G6" s="16">
        <f>SelfPerfOH</f>
        <v/>
      </c>
      <c r="H6" s="16">
        <f>SelfPerfProfit</f>
        <v/>
      </c>
      <c r="I6" s="15">
        <f>IFERROR(F6*(1+G6)*(1+H6),0)</f>
        <v/>
      </c>
      <c r="J6" s="13" t="n"/>
    </row>
    <row r="7">
      <c r="A7" s="13" t="inlineStr">
        <is>
          <t>03</t>
        </is>
      </c>
      <c r="B7" s="13" t="inlineStr">
        <is>
          <t>Concrete — flatwork</t>
        </is>
      </c>
      <c r="C7" s="15" t="n"/>
      <c r="D7" s="15" t="n"/>
      <c r="E7" s="15" t="n"/>
      <c r="F7" s="15">
        <f>IFERROR(SUM(C7:E7),0)</f>
        <v/>
      </c>
      <c r="G7" s="16">
        <f>SelfPerfOH</f>
        <v/>
      </c>
      <c r="H7" s="16">
        <f>SelfPerfProfit</f>
        <v/>
      </c>
      <c r="I7" s="15">
        <f>IFERROR(F7*(1+G7)*(1+H7),0)</f>
        <v/>
      </c>
      <c r="J7" s="13" t="n"/>
    </row>
    <row r="8">
      <c r="A8" s="13" t="inlineStr">
        <is>
          <t>06</t>
        </is>
      </c>
      <c r="B8" s="13" t="inlineStr">
        <is>
          <t>Rough carpentry</t>
        </is>
      </c>
      <c r="C8" s="15" t="n"/>
      <c r="D8" s="15" t="n"/>
      <c r="E8" s="15" t="n"/>
      <c r="F8" s="15">
        <f>IFERROR(SUM(C8:E8),0)</f>
        <v/>
      </c>
      <c r="G8" s="16">
        <f>SelfPerfOH</f>
        <v/>
      </c>
      <c r="H8" s="16">
        <f>SelfPerfProfit</f>
        <v/>
      </c>
      <c r="I8" s="15">
        <f>IFERROR(F8*(1+G8)*(1+H8),0)</f>
        <v/>
      </c>
      <c r="J8" s="13" t="n"/>
    </row>
    <row r="9">
      <c r="A9" s="13" t="inlineStr">
        <is>
          <t>31</t>
        </is>
      </c>
      <c r="B9" s="13" t="inlineStr">
        <is>
          <t>Site work / earthwork</t>
        </is>
      </c>
      <c r="C9" s="15" t="n"/>
      <c r="D9" s="15" t="n"/>
      <c r="E9" s="15" t="n"/>
      <c r="F9" s="15">
        <f>IFERROR(SUM(C9:E9),0)</f>
        <v/>
      </c>
      <c r="G9" s="16">
        <f>SelfPerfOH</f>
        <v/>
      </c>
      <c r="H9" s="16">
        <f>SelfPerfProfit</f>
        <v/>
      </c>
      <c r="I9" s="15">
        <f>IFERROR(F9*(1+G9)*(1+H9),0)</f>
        <v/>
      </c>
      <c r="J9" s="13" t="n"/>
    </row>
    <row r="10">
      <c r="A10" s="13" t="inlineStr"/>
      <c r="B10" s="13" t="inlineStr"/>
      <c r="C10" s="15" t="n"/>
      <c r="D10" s="15" t="n"/>
      <c r="E10" s="15" t="n"/>
      <c r="F10" s="15">
        <f>IFERROR(SUM(C10:E10),0)</f>
        <v/>
      </c>
      <c r="G10" s="16">
        <f>SelfPerfOH</f>
        <v/>
      </c>
      <c r="H10" s="16">
        <f>SelfPerfProfit</f>
        <v/>
      </c>
      <c r="I10" s="15">
        <f>IFERROR(F10*(1+G10)*(1+H10),0)</f>
        <v/>
      </c>
      <c r="J10" s="13" t="n"/>
    </row>
    <row r="11">
      <c r="A11" s="13" t="inlineStr"/>
      <c r="B11" s="13" t="inlineStr"/>
      <c r="C11" s="15" t="n"/>
      <c r="D11" s="15" t="n"/>
      <c r="E11" s="15" t="n"/>
      <c r="F11" s="15">
        <f>IFERROR(SUM(C11:E11),0)</f>
        <v/>
      </c>
      <c r="G11" s="16">
        <f>SelfPerfOH</f>
        <v/>
      </c>
      <c r="H11" s="16">
        <f>SelfPerfProfit</f>
        <v/>
      </c>
      <c r="I11" s="15">
        <f>IFERROR(F11*(1+G11)*(1+H11),0)</f>
        <v/>
      </c>
      <c r="J11" s="13" t="n"/>
    </row>
    <row r="12">
      <c r="A12" s="13" t="inlineStr"/>
      <c r="B12" s="13" t="inlineStr"/>
      <c r="C12" s="15" t="n"/>
      <c r="D12" s="15" t="n"/>
      <c r="E12" s="15" t="n"/>
      <c r="F12" s="15">
        <f>IFERROR(SUM(C12:E12),0)</f>
        <v/>
      </c>
      <c r="G12" s="16">
        <f>SelfPerfOH</f>
        <v/>
      </c>
      <c r="H12" s="16">
        <f>SelfPerfProfit</f>
        <v/>
      </c>
      <c r="I12" s="15">
        <f>IFERROR(F12*(1+G12)*(1+H12),0)</f>
        <v/>
      </c>
      <c r="J12" s="13" t="n"/>
    </row>
    <row r="13">
      <c r="B13" s="17" t="inlineStr">
        <is>
          <t>SELF-PERFORM TOTAL</t>
        </is>
      </c>
      <c r="F13" s="18">
        <f>SUM(F5:F12)</f>
        <v/>
      </c>
      <c r="I13" s="18">
        <f>SUM(I5:I12)</f>
        <v/>
      </c>
    </row>
  </sheetData>
  <mergeCells count="2">
    <mergeCell ref="A1:J1"/>
    <mergeCell ref="A2:J2"/>
  </mergeCells>
  <dataValidations count="1">
    <dataValidation sqref="A5:A12" showDropDown="0" showInputMessage="0" showErrorMessage="0" allowBlank="1" type="list">
      <formula1>"01,02,03,04,05,06,07,08,09,10,11,12,13,14,21,22,23,25,26,27,28,31,32,33,34,35"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8"/>
  <sheetViews>
    <sheetView showGridLines="0" workbookViewId="0">
      <selection activeCell="A1" sqref="A1"/>
    </sheetView>
  </sheetViews>
  <sheetFormatPr baseColWidth="8" defaultRowHeight="15"/>
  <cols>
    <col width="28" customWidth="1" min="1" max="1"/>
    <col width="32" customWidth="1" min="2" max="2"/>
    <col width="16" customWidth="1" min="3" max="3"/>
    <col width="12" customWidth="1" min="4" max="4"/>
    <col width="14" customWidth="1" min="5" max="5"/>
    <col width="13" customWidth="1" min="6" max="6"/>
    <col width="14" customWidth="1" min="7" max="7"/>
    <col width="22" customWidth="1" min="8" max="8"/>
    <col width="9" customWidth="1" min="9" max="9"/>
    <col width="14" customWidth="1" min="10" max="10"/>
  </cols>
  <sheetData>
    <row r="1" ht="32" customHeight="1">
      <c r="A1" s="1" t="inlineStr">
        <is>
          <t>GENERAL CONDITIONS — Division 01</t>
        </is>
      </c>
    </row>
    <row r="2" ht="32" customHeight="1">
      <c r="A2" s="11" t="inlineStr">
        <is>
          <t>Division 01 line items not part of any sub trade. Basis column drives the math: MONTHLY = Qty × Unit × Duration, LUMP = Qty × Unit, PER-SF = Qty × Unit (where Qty = project SF). Typically 5-10% of trade-cost subtotal on commercial work.</t>
        </is>
      </c>
    </row>
    <row r="4" ht="30" customHeight="1">
      <c r="A4" s="12" t="inlineStr">
        <is>
          <t>Category</t>
        </is>
      </c>
      <c r="B4" s="12" t="inlineStr">
        <is>
          <t>Item</t>
        </is>
      </c>
      <c r="C4" s="12" t="inlineStr">
        <is>
          <t>Basis</t>
        </is>
      </c>
      <c r="D4" s="12" t="inlineStr">
        <is>
          <t>Quantity</t>
        </is>
      </c>
      <c r="E4" s="12" t="inlineStr">
        <is>
          <t>Unit Cost ($)</t>
        </is>
      </c>
      <c r="F4" s="12" t="inlineStr">
        <is>
          <t>Duration (months)</t>
        </is>
      </c>
      <c r="G4" s="12" t="inlineStr">
        <is>
          <t>Line Total ($)</t>
        </is>
      </c>
      <c r="H4" s="12" t="inlineStr">
        <is>
          <t>Notes</t>
        </is>
      </c>
      <c r="I4" s="28" t="inlineStr">
        <is>
          <t>CSI Div</t>
        </is>
      </c>
      <c r="J4" s="28" t="inlineStr">
        <is>
          <t>CSI Subdivision</t>
        </is>
      </c>
    </row>
    <row r="5">
      <c r="A5" s="13" t="inlineStr">
        <is>
          <t>Supervision</t>
        </is>
      </c>
      <c r="B5" s="13" t="inlineStr">
        <is>
          <t>Project Manager (on-site allocation)</t>
        </is>
      </c>
      <c r="C5" s="13" t="inlineStr">
        <is>
          <t>MONTHLY</t>
        </is>
      </c>
      <c r="D5" s="19" t="n">
        <v>1</v>
      </c>
      <c r="E5" s="15" t="n">
        <v>0</v>
      </c>
      <c r="F5" s="19" t="n">
        <v>0</v>
      </c>
      <c r="G5" s="15">
        <f>IFERROR(IF(C5="MONTHLY",D5*E5*F5,D5*E5),0)</f>
        <v/>
      </c>
      <c r="H5" s="13" t="n"/>
    </row>
    <row r="6">
      <c r="A6" s="13" t="inlineStr">
        <is>
          <t>Supervision</t>
        </is>
      </c>
      <c r="B6" s="13" t="inlineStr">
        <is>
          <t>Superintendent</t>
        </is>
      </c>
      <c r="C6" s="13" t="inlineStr">
        <is>
          <t>MONTHLY</t>
        </is>
      </c>
      <c r="D6" s="19" t="n">
        <v>1</v>
      </c>
      <c r="E6" s="15" t="n">
        <v>0</v>
      </c>
      <c r="F6" s="19" t="n">
        <v>0</v>
      </c>
      <c r="G6" s="15">
        <f>IFERROR(IF(C6="MONTHLY",D6*E6*F6,D6*E6),0)</f>
        <v/>
      </c>
      <c r="H6" s="13" t="n"/>
    </row>
    <row r="7">
      <c r="A7" s="13" t="inlineStr">
        <is>
          <t>Supervision</t>
        </is>
      </c>
      <c r="B7" s="13" t="inlineStr">
        <is>
          <t>Assistant Superintendent</t>
        </is>
      </c>
      <c r="C7" s="13" t="inlineStr">
        <is>
          <t>MONTHLY</t>
        </is>
      </c>
      <c r="D7" s="19" t="n">
        <v>0</v>
      </c>
      <c r="E7" s="15" t="n">
        <v>0</v>
      </c>
      <c r="F7" s="19" t="n">
        <v>0</v>
      </c>
      <c r="G7" s="15">
        <f>IFERROR(IF(C7="MONTHLY",D7*E7*F7,D7*E7),0)</f>
        <v/>
      </c>
      <c r="H7" s="13" t="n"/>
    </row>
    <row r="8">
      <c r="A8" s="13" t="inlineStr">
        <is>
          <t>Supervision</t>
        </is>
      </c>
      <c r="B8" s="13" t="inlineStr">
        <is>
          <t>Project Engineer</t>
        </is>
      </c>
      <c r="C8" s="13" t="inlineStr">
        <is>
          <t>MONTHLY</t>
        </is>
      </c>
      <c r="D8" s="19" t="n">
        <v>0</v>
      </c>
      <c r="E8" s="15" t="n">
        <v>0</v>
      </c>
      <c r="F8" s="19" t="n">
        <v>0</v>
      </c>
      <c r="G8" s="15">
        <f>IFERROR(IF(C8="MONTHLY",D8*E8*F8,D8*E8),0)</f>
        <v/>
      </c>
      <c r="H8" s="13" t="n"/>
    </row>
    <row r="9">
      <c r="A9" s="13" t="inlineStr">
        <is>
          <t>Supervision</t>
        </is>
      </c>
      <c r="B9" s="13" t="inlineStr">
        <is>
          <t>Safety Officer</t>
        </is>
      </c>
      <c r="C9" s="13" t="inlineStr">
        <is>
          <t>MONTHLY</t>
        </is>
      </c>
      <c r="D9" s="19" t="n">
        <v>0</v>
      </c>
      <c r="E9" s="15" t="n">
        <v>0</v>
      </c>
      <c r="F9" s="19" t="n">
        <v>0</v>
      </c>
      <c r="G9" s="15">
        <f>IFERROR(IF(C9="MONTHLY",D9*E9*F9,D9*E9),0)</f>
        <v/>
      </c>
      <c r="H9" s="13" t="n"/>
    </row>
    <row r="10">
      <c r="A10" s="13" t="inlineStr">
        <is>
          <t>Field Office</t>
        </is>
      </c>
      <c r="B10" s="13" t="inlineStr">
        <is>
          <t>Trailer rental</t>
        </is>
      </c>
      <c r="C10" s="13" t="inlineStr">
        <is>
          <t>MONTHLY</t>
        </is>
      </c>
      <c r="D10" s="19" t="n">
        <v>1</v>
      </c>
      <c r="E10" s="15" t="n">
        <v>0</v>
      </c>
      <c r="F10" s="19" t="n">
        <v>0</v>
      </c>
      <c r="G10" s="15">
        <f>IFERROR(IF(C10="MONTHLY",D10*E10*F10,D10*E10),0)</f>
        <v/>
      </c>
      <c r="H10" s="13" t="n"/>
    </row>
    <row r="11">
      <c r="A11" s="13" t="inlineStr">
        <is>
          <t>Field Office</t>
        </is>
      </c>
      <c r="B11" s="13" t="inlineStr">
        <is>
          <t>Trailer set-up + tear-down</t>
        </is>
      </c>
      <c r="C11" s="13" t="inlineStr">
        <is>
          <t>LUMP</t>
        </is>
      </c>
      <c r="D11" s="19" t="n">
        <v>1</v>
      </c>
      <c r="E11" s="15" t="n">
        <v>0</v>
      </c>
      <c r="F11" s="19" t="n">
        <v>0</v>
      </c>
      <c r="G11" s="15">
        <f>IFERROR(IF(C11="MONTHLY",D11*E11*F11,D11*E11),0)</f>
        <v/>
      </c>
      <c r="H11" s="13" t="n"/>
    </row>
    <row r="12">
      <c r="A12" s="13" t="inlineStr">
        <is>
          <t>Field Office</t>
        </is>
      </c>
      <c r="B12" s="13" t="inlineStr">
        <is>
          <t>Power / utilities to trailer</t>
        </is>
      </c>
      <c r="C12" s="13" t="inlineStr">
        <is>
          <t>MONTHLY</t>
        </is>
      </c>
      <c r="D12" s="19" t="n">
        <v>1</v>
      </c>
      <c r="E12" s="15" t="n">
        <v>0</v>
      </c>
      <c r="F12" s="19" t="n">
        <v>0</v>
      </c>
      <c r="G12" s="15">
        <f>IFERROR(IF(C12="MONTHLY",D12*E12*F12,D12*E12),0)</f>
        <v/>
      </c>
      <c r="H12" s="13" t="n"/>
    </row>
    <row r="13">
      <c r="A13" s="13" t="inlineStr">
        <is>
          <t>Field Office</t>
        </is>
      </c>
      <c r="B13" s="13" t="inlineStr">
        <is>
          <t>Phone / internet</t>
        </is>
      </c>
      <c r="C13" s="13" t="inlineStr">
        <is>
          <t>MONTHLY</t>
        </is>
      </c>
      <c r="D13" s="19" t="n">
        <v>1</v>
      </c>
      <c r="E13" s="15" t="n">
        <v>0</v>
      </c>
      <c r="F13" s="19" t="n">
        <v>0</v>
      </c>
      <c r="G13" s="15">
        <f>IFERROR(IF(C13="MONTHLY",D13*E13*F13,D13*E13),0)</f>
        <v/>
      </c>
      <c r="H13" s="13" t="n"/>
    </row>
    <row r="14">
      <c r="A14" s="13" t="inlineStr">
        <is>
          <t>Field Office</t>
        </is>
      </c>
      <c r="B14" s="13" t="inlineStr">
        <is>
          <t>Office supplies + copies</t>
        </is>
      </c>
      <c r="C14" s="13" t="inlineStr">
        <is>
          <t>MONTHLY</t>
        </is>
      </c>
      <c r="D14" s="19" t="n">
        <v>1</v>
      </c>
      <c r="E14" s="15" t="n">
        <v>0</v>
      </c>
      <c r="F14" s="19" t="n">
        <v>0</v>
      </c>
      <c r="G14" s="15">
        <f>IFERROR(IF(C14="MONTHLY",D14*E14*F14,D14*E14),0)</f>
        <v/>
      </c>
      <c r="H14" s="13" t="n"/>
    </row>
    <row r="15">
      <c r="A15" s="13" t="inlineStr">
        <is>
          <t>Site Facilities</t>
        </is>
      </c>
      <c r="B15" s="13" t="inlineStr">
        <is>
          <t>Port-a-John (per unit per month)</t>
        </is>
      </c>
      <c r="C15" s="13" t="inlineStr">
        <is>
          <t>MONTHLY</t>
        </is>
      </c>
      <c r="D15" s="19" t="n">
        <v>1</v>
      </c>
      <c r="E15" s="15" t="n">
        <v>0</v>
      </c>
      <c r="F15" s="19" t="n">
        <v>0</v>
      </c>
      <c r="G15" s="15">
        <f>IFERROR(IF(C15="MONTHLY",D15*E15*F15,D15*E15),0)</f>
        <v/>
      </c>
      <c r="H15" s="13" t="n"/>
    </row>
    <row r="16">
      <c r="A16" s="13" t="inlineStr">
        <is>
          <t>Site Facilities</t>
        </is>
      </c>
      <c r="B16" s="13" t="inlineStr">
        <is>
          <t>Dumpsters (rolling)</t>
        </is>
      </c>
      <c r="C16" s="13" t="inlineStr">
        <is>
          <t>MONTHLY</t>
        </is>
      </c>
      <c r="D16" s="19" t="n">
        <v>1</v>
      </c>
      <c r="E16" s="15" t="n">
        <v>0</v>
      </c>
      <c r="F16" s="19" t="n">
        <v>0</v>
      </c>
      <c r="G16" s="15">
        <f>IFERROR(IF(C16="MONTHLY",D16*E16*F16,D16*E16),0)</f>
        <v/>
      </c>
      <c r="H16" s="13" t="n"/>
    </row>
    <row r="17">
      <c r="A17" s="13" t="inlineStr">
        <is>
          <t>Site Facilities</t>
        </is>
      </c>
      <c r="B17" s="13" t="inlineStr">
        <is>
          <t>Site fencing + gates</t>
        </is>
      </c>
      <c r="C17" s="13" t="inlineStr">
        <is>
          <t>LUMP</t>
        </is>
      </c>
      <c r="D17" s="19" t="n">
        <v>1</v>
      </c>
      <c r="E17" s="15" t="n">
        <v>0</v>
      </c>
      <c r="F17" s="19" t="n">
        <v>0</v>
      </c>
      <c r="G17" s="15">
        <f>IFERROR(IF(C17="MONTHLY",D17*E17*F17,D17*E17),0)</f>
        <v/>
      </c>
      <c r="H17" s="13" t="n"/>
    </row>
    <row r="18">
      <c r="A18" s="13" t="inlineStr">
        <is>
          <t>Site Facilities</t>
        </is>
      </c>
      <c r="B18" s="13" t="inlineStr">
        <is>
          <t>Site signage + safety signage</t>
        </is>
      </c>
      <c r="C18" s="13" t="inlineStr">
        <is>
          <t>LUMP</t>
        </is>
      </c>
      <c r="D18" s="19" t="n">
        <v>1</v>
      </c>
      <c r="E18" s="15" t="n">
        <v>0</v>
      </c>
      <c r="F18" s="19" t="n">
        <v>0</v>
      </c>
      <c r="G18" s="15">
        <f>IFERROR(IF(C18="MONTHLY",D18*E18*F18,D18*E18),0)</f>
        <v/>
      </c>
      <c r="H18" s="13" t="n"/>
    </row>
    <row r="19">
      <c r="A19" s="13" t="inlineStr">
        <is>
          <t>Site Facilities</t>
        </is>
      </c>
      <c r="B19" s="13" t="inlineStr">
        <is>
          <t>Site security (off-hours)</t>
        </is>
      </c>
      <c r="C19" s="13" t="inlineStr">
        <is>
          <t>MONTHLY</t>
        </is>
      </c>
      <c r="D19" s="19" t="n">
        <v>0</v>
      </c>
      <c r="E19" s="15" t="n">
        <v>0</v>
      </c>
      <c r="F19" s="19" t="n">
        <v>0</v>
      </c>
      <c r="G19" s="15">
        <f>IFERROR(IF(C19="MONTHLY",D19*E19*F19,D19*E19),0)</f>
        <v/>
      </c>
      <c r="H19" s="13" t="n"/>
    </row>
    <row r="20">
      <c r="A20" s="13" t="inlineStr">
        <is>
          <t>Temp Utilities</t>
        </is>
      </c>
      <c r="B20" s="13" t="inlineStr">
        <is>
          <t>Temp power (service + monthly)</t>
        </is>
      </c>
      <c r="C20" s="13" t="inlineStr">
        <is>
          <t>MONTHLY</t>
        </is>
      </c>
      <c r="D20" s="19" t="n">
        <v>1</v>
      </c>
      <c r="E20" s="15" t="n">
        <v>0</v>
      </c>
      <c r="F20" s="19" t="n">
        <v>0</v>
      </c>
      <c r="G20" s="15">
        <f>IFERROR(IF(C20="MONTHLY",D20*E20*F20,D20*E20),0)</f>
        <v/>
      </c>
      <c r="H20" s="13" t="n"/>
    </row>
    <row r="21">
      <c r="A21" s="13" t="inlineStr">
        <is>
          <t>Temp Utilities</t>
        </is>
      </c>
      <c r="B21" s="13" t="inlineStr">
        <is>
          <t>Temp water / hose bibs</t>
        </is>
      </c>
      <c r="C21" s="13" t="inlineStr">
        <is>
          <t>MONTHLY</t>
        </is>
      </c>
      <c r="D21" s="19" t="n">
        <v>1</v>
      </c>
      <c r="E21" s="15" t="n">
        <v>0</v>
      </c>
      <c r="F21" s="19" t="n">
        <v>0</v>
      </c>
      <c r="G21" s="15">
        <f>IFERROR(IF(C21="MONTHLY",D21*E21*F21,D21*E21),0)</f>
        <v/>
      </c>
      <c r="H21" s="13" t="n"/>
    </row>
    <row r="22">
      <c r="A22" s="13" t="inlineStr">
        <is>
          <t>Temp Utilities</t>
        </is>
      </c>
      <c r="B22" s="13" t="inlineStr">
        <is>
          <t>Temp lighting (interior)</t>
        </is>
      </c>
      <c r="C22" s="13" t="inlineStr">
        <is>
          <t>MONTHLY</t>
        </is>
      </c>
      <c r="D22" s="19" t="n">
        <v>1</v>
      </c>
      <c r="E22" s="15" t="n">
        <v>0</v>
      </c>
      <c r="F22" s="19" t="n">
        <v>0</v>
      </c>
      <c r="G22" s="15">
        <f>IFERROR(IF(C22="MONTHLY",D22*E22*F22,D22*E22),0)</f>
        <v/>
      </c>
      <c r="H22" s="13" t="n"/>
    </row>
    <row r="23">
      <c r="A23" s="13" t="inlineStr">
        <is>
          <t>Temp Utilities</t>
        </is>
      </c>
      <c r="B23" s="13" t="inlineStr">
        <is>
          <t>Temp heat (winter weeks)</t>
        </is>
      </c>
      <c r="C23" s="13" t="inlineStr">
        <is>
          <t>MONTHLY</t>
        </is>
      </c>
      <c r="D23" s="19" t="n">
        <v>0</v>
      </c>
      <c r="E23" s="15" t="n">
        <v>0</v>
      </c>
      <c r="F23" s="19" t="n">
        <v>0</v>
      </c>
      <c r="G23" s="15">
        <f>IFERROR(IF(C23="MONTHLY",D23*E23*F23,D23*E23),0)</f>
        <v/>
      </c>
      <c r="H23" s="13" t="n"/>
    </row>
    <row r="24">
      <c r="A24" s="13" t="inlineStr">
        <is>
          <t>Logistics</t>
        </is>
      </c>
      <c r="B24" s="13" t="inlineStr">
        <is>
          <t>Material hoisting / forklift rental</t>
        </is>
      </c>
      <c r="C24" s="13" t="inlineStr">
        <is>
          <t>MONTHLY</t>
        </is>
      </c>
      <c r="D24" s="19" t="n">
        <v>0</v>
      </c>
      <c r="E24" s="15" t="n">
        <v>0</v>
      </c>
      <c r="F24" s="19" t="n">
        <v>0</v>
      </c>
      <c r="G24" s="15">
        <f>IFERROR(IF(C24="MONTHLY",D24*E24*F24,D24*E24),0)</f>
        <v/>
      </c>
      <c r="H24" s="13" t="n"/>
    </row>
    <row r="25">
      <c r="A25" s="13" t="inlineStr">
        <is>
          <t>Logistics</t>
        </is>
      </c>
      <c r="B25" s="13" t="inlineStr">
        <is>
          <t>Crane mobilization for misc lifts</t>
        </is>
      </c>
      <c r="C25" s="13" t="inlineStr">
        <is>
          <t>LUMP</t>
        </is>
      </c>
      <c r="D25" s="19" t="n">
        <v>1</v>
      </c>
      <c r="E25" s="15" t="n">
        <v>0</v>
      </c>
      <c r="F25" s="19" t="n">
        <v>0</v>
      </c>
      <c r="G25" s="15">
        <f>IFERROR(IF(C25="MONTHLY",D25*E25*F25,D25*E25),0)</f>
        <v/>
      </c>
      <c r="H25" s="13" t="n"/>
    </row>
    <row r="26">
      <c r="A26" s="13" t="inlineStr">
        <is>
          <t>Logistics</t>
        </is>
      </c>
      <c r="B26" s="13" t="inlineStr">
        <is>
          <t>Equipment moves (between phases)</t>
        </is>
      </c>
      <c r="C26" s="13" t="inlineStr">
        <is>
          <t>LUMP</t>
        </is>
      </c>
      <c r="D26" s="19" t="n">
        <v>1</v>
      </c>
      <c r="E26" s="15" t="n">
        <v>0</v>
      </c>
      <c r="F26" s="19" t="n">
        <v>0</v>
      </c>
      <c r="G26" s="15">
        <f>IFERROR(IF(C26="MONTHLY",D26*E26*F26,D26*E26),0)</f>
        <v/>
      </c>
      <c r="H26" s="13" t="n"/>
    </row>
    <row r="27">
      <c r="A27" s="13" t="inlineStr">
        <is>
          <t>Logistics</t>
        </is>
      </c>
      <c r="B27" s="13" t="inlineStr">
        <is>
          <t>Traffic control / flagger (urban)</t>
        </is>
      </c>
      <c r="C27" s="13" t="inlineStr">
        <is>
          <t>MONTHLY</t>
        </is>
      </c>
      <c r="D27" s="19" t="n">
        <v>0</v>
      </c>
      <c r="E27" s="15" t="n">
        <v>0</v>
      </c>
      <c r="F27" s="19" t="n">
        <v>0</v>
      </c>
      <c r="G27" s="15">
        <f>IFERROR(IF(C27="MONTHLY",D27*E27*F27,D27*E27),0)</f>
        <v/>
      </c>
      <c r="H27" s="13" t="n"/>
    </row>
    <row r="28">
      <c r="A28" s="13" t="inlineStr">
        <is>
          <t>Logistics</t>
        </is>
      </c>
      <c r="B28" s="13" t="inlineStr">
        <is>
          <t>Snow removal (winter)</t>
        </is>
      </c>
      <c r="C28" s="13" t="inlineStr">
        <is>
          <t>MONTHLY</t>
        </is>
      </c>
      <c r="D28" s="19" t="n">
        <v>0</v>
      </c>
      <c r="E28" s="15" t="n">
        <v>0</v>
      </c>
      <c r="F28" s="19" t="n">
        <v>0</v>
      </c>
      <c r="G28" s="15">
        <f>IFERROR(IF(C28="MONTHLY",D28*E28*F28,D28*E28),0)</f>
        <v/>
      </c>
      <c r="H28" s="13" t="n"/>
    </row>
    <row r="29">
      <c r="A29" s="13" t="inlineStr">
        <is>
          <t>Closeout</t>
        </is>
      </c>
      <c r="B29" s="13" t="inlineStr">
        <is>
          <t>Final cleaning (lump sum)</t>
        </is>
      </c>
      <c r="C29" s="13" t="inlineStr">
        <is>
          <t>LUMP</t>
        </is>
      </c>
      <c r="D29" s="19" t="n">
        <v>1</v>
      </c>
      <c r="E29" s="15" t="n">
        <v>0</v>
      </c>
      <c r="F29" s="19" t="n">
        <v>0</v>
      </c>
      <c r="G29" s="15">
        <f>IFERROR(IF(C29="MONTHLY",D29*E29*F29,D29*E29),0)</f>
        <v/>
      </c>
      <c r="H29" s="13" t="n"/>
    </row>
    <row r="30">
      <c r="A30" s="13" t="inlineStr">
        <is>
          <t>Closeout</t>
        </is>
      </c>
      <c r="B30" s="13" t="inlineStr">
        <is>
          <t>As-built drawings (CAD service)</t>
        </is>
      </c>
      <c r="C30" s="13" t="inlineStr">
        <is>
          <t>LUMP</t>
        </is>
      </c>
      <c r="D30" s="19" t="n">
        <v>1</v>
      </c>
      <c r="E30" s="15" t="n">
        <v>0</v>
      </c>
      <c r="F30" s="19" t="n">
        <v>0</v>
      </c>
      <c r="G30" s="15">
        <f>IFERROR(IF(C30="MONTHLY",D30*E30*F30,D30*E30),0)</f>
        <v/>
      </c>
      <c r="H30" s="13" t="n"/>
    </row>
    <row r="31">
      <c r="A31" s="13" t="inlineStr">
        <is>
          <t>Closeout</t>
        </is>
      </c>
      <c r="B31" s="13" t="inlineStr">
        <is>
          <t>O&amp;M manuals + training</t>
        </is>
      </c>
      <c r="C31" s="13" t="inlineStr">
        <is>
          <t>LUMP</t>
        </is>
      </c>
      <c r="D31" s="19" t="n">
        <v>1</v>
      </c>
      <c r="E31" s="15" t="n">
        <v>0</v>
      </c>
      <c r="F31" s="19" t="n">
        <v>0</v>
      </c>
      <c r="G31" s="15">
        <f>IFERROR(IF(C31="MONTHLY",D31*E31*F31,D31*E31),0)</f>
        <v/>
      </c>
      <c r="H31" s="13" t="n"/>
    </row>
    <row r="32">
      <c r="A32" s="13" t="inlineStr">
        <is>
          <t>Closeout</t>
        </is>
      </c>
      <c r="B32" s="13" t="inlineStr">
        <is>
          <t>Substantial completion punch-list closeout</t>
        </is>
      </c>
      <c r="C32" s="13" t="inlineStr">
        <is>
          <t>LUMP</t>
        </is>
      </c>
      <c r="D32" s="19" t="n">
        <v>1</v>
      </c>
      <c r="E32" s="15" t="n">
        <v>0</v>
      </c>
      <c r="F32" s="19" t="n">
        <v>0</v>
      </c>
      <c r="G32" s="15">
        <f>IFERROR(IF(C32="MONTHLY",D32*E32*F32,D32*E32),0)</f>
        <v/>
      </c>
      <c r="H32" s="13" t="n"/>
    </row>
    <row r="33">
      <c r="A33" s="13" t="inlineStr">
        <is>
          <t>Office OH</t>
        </is>
      </c>
      <c r="B33" s="13" t="inlineStr">
        <is>
          <t>Project accounting allocation</t>
        </is>
      </c>
      <c r="C33" s="13" t="inlineStr">
        <is>
          <t>MONTHLY</t>
        </is>
      </c>
      <c r="D33" s="19" t="n">
        <v>1</v>
      </c>
      <c r="E33" s="15" t="n">
        <v>0</v>
      </c>
      <c r="F33" s="19" t="n">
        <v>0</v>
      </c>
      <c r="G33" s="15">
        <f>IFERROR(IF(C33="MONTHLY",D33*E33*F33,D33*E33),0)</f>
        <v/>
      </c>
      <c r="H33" s="13" t="n"/>
    </row>
    <row r="34">
      <c r="A34" s="13" t="inlineStr">
        <is>
          <t>Office OH</t>
        </is>
      </c>
      <c r="B34" s="13" t="inlineStr">
        <is>
          <t>Estimating allocation (post-bid)</t>
        </is>
      </c>
      <c r="C34" s="13" t="inlineStr">
        <is>
          <t>LUMP</t>
        </is>
      </c>
      <c r="D34" s="19" t="n">
        <v>1</v>
      </c>
      <c r="E34" s="15" t="n">
        <v>0</v>
      </c>
      <c r="F34" s="19" t="n">
        <v>0</v>
      </c>
      <c r="G34" s="15">
        <f>IFERROR(IF(C34="MONTHLY",D34*E34*F34,D34*E34),0)</f>
        <v/>
      </c>
      <c r="H34" s="13" t="n"/>
    </row>
    <row r="35">
      <c r="A35" s="13" t="inlineStr">
        <is>
          <t>Office OH</t>
        </is>
      </c>
      <c r="B35" s="13" t="inlineStr">
        <is>
          <t>Permit + inspection fees (allowance)</t>
        </is>
      </c>
      <c r="C35" s="13" t="inlineStr">
        <is>
          <t>LUMP</t>
        </is>
      </c>
      <c r="D35" s="19" t="n">
        <v>1</v>
      </c>
      <c r="E35" s="15" t="n">
        <v>0</v>
      </c>
      <c r="F35" s="19" t="n">
        <v>0</v>
      </c>
      <c r="G35" s="15">
        <f>IFERROR(IF(C35="MONTHLY",D35*E35*F35,D35*E35),0)</f>
        <v/>
      </c>
      <c r="H35" s="13" t="n"/>
    </row>
    <row r="36">
      <c r="A36" s="13" t="inlineStr"/>
      <c r="B36" s="13" t="inlineStr"/>
      <c r="C36" s="13" t="inlineStr"/>
      <c r="D36" s="19" t="n">
        <v>0</v>
      </c>
      <c r="E36" s="15" t="n">
        <v>0</v>
      </c>
      <c r="F36" s="19" t="n">
        <v>0</v>
      </c>
      <c r="G36" s="15">
        <f>IFERROR(IF(C36="MONTHLY",D36*E36*F36,D36*E36),0)</f>
        <v/>
      </c>
      <c r="H36" s="13" t="n"/>
    </row>
    <row r="37">
      <c r="A37" s="13" t="inlineStr"/>
      <c r="B37" s="13" t="inlineStr"/>
      <c r="C37" s="13" t="inlineStr"/>
      <c r="D37" s="19" t="n">
        <v>0</v>
      </c>
      <c r="E37" s="15" t="n">
        <v>0</v>
      </c>
      <c r="F37" s="19" t="n">
        <v>0</v>
      </c>
      <c r="G37" s="15">
        <f>IFERROR(IF(C37="MONTHLY",D37*E37*F37,D37*E37),0)</f>
        <v/>
      </c>
      <c r="H37" s="13" t="n"/>
    </row>
    <row r="38">
      <c r="B38" s="17" t="inlineStr">
        <is>
          <t>GENERAL CONDITIONS TOTAL</t>
        </is>
      </c>
      <c r="G38" s="18">
        <f>SUM(G5:G37)</f>
        <v/>
      </c>
    </row>
  </sheetData>
  <mergeCells count="2">
    <mergeCell ref="A2:H2"/>
    <mergeCell ref="A1:H1"/>
  </mergeCells>
  <dataValidations count="3">
    <dataValidation sqref="C5:C37" showDropDown="0" showInputMessage="0" showErrorMessage="0" allowBlank="1" type="list">
      <formula1>"MONTHLY,LUMP,PER-SF,PER-LF"</formula1>
    </dataValidation>
    <dataValidation sqref="I5:I35" showDropDown="0" showInputMessage="0" showErrorMessage="0" allowBlank="1" errorTitle="Invalid CSI Division" error="Pick a division from the dropdown (sourced from the CSI Reference tab)." promptTitle="CSI MasterFormat Division" prompt="Pick the CSI Level 1 division for this line item." type="list">
      <formula1>=CSI_Divisions</formula1>
    </dataValidation>
    <dataValidation sqref="J5:J35" showDropDown="0" showInputMessage="0" showErrorMessage="0" allowBlank="1" errorTitle="Invalid CSI Subdivision" error="Pick a subdivision that belongs to the division in the CSI Div column. Re-pick the division first if you don't see your subdivision." promptTitle="CSI MasterFormat Subdivision" prompt="Filtered by the division code in the CSI Div column (this same row)." type="list">
      <formula1>=INDIRECT("CSI_Div_" &amp; $I5)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showGridLines="0" workbookViewId="0">
      <selection activeCell="A1" sqref="A1"/>
    </sheetView>
  </sheetViews>
  <sheetFormatPr baseColWidth="8" defaultRowHeight="15"/>
  <cols>
    <col width="14" customWidth="1" min="1" max="1"/>
    <col width="38" customWidth="1" min="2" max="2"/>
    <col width="16" customWidth="1" min="3" max="3"/>
    <col width="30" customWidth="1" min="4" max="4"/>
  </cols>
  <sheetData>
    <row r="1" ht="32" customHeight="1">
      <c r="A1" s="1" t="inlineStr">
        <is>
          <t>ALLOWANCES &amp; CONTINGENCIES</t>
        </is>
      </c>
    </row>
    <row r="2">
      <c r="A2" s="11" t="inlineStr">
        <is>
          <t>Explicit allowances (called out in the bid for Owner-directed scope where price isn't yet defined) plus project-level contingency. Per-trade contingency is on the Trade Bids tab.</t>
        </is>
      </c>
    </row>
    <row r="4" ht="30" customHeight="1">
      <c r="A4" s="12" t="inlineStr">
        <is>
          <t>Type</t>
        </is>
      </c>
      <c r="B4" s="12" t="inlineStr">
        <is>
          <t>Description</t>
        </is>
      </c>
      <c r="C4" s="12" t="inlineStr">
        <is>
          <t>Amount ($)</t>
        </is>
      </c>
      <c r="D4" s="12" t="inlineStr">
        <is>
          <t>Basis / Notes</t>
        </is>
      </c>
    </row>
    <row r="5">
      <c r="A5" s="13" t="inlineStr">
        <is>
          <t>Allowance</t>
        </is>
      </c>
      <c r="B5" s="13" t="inlineStr">
        <is>
          <t>Finish hardware (Owner specifying TBD)</t>
        </is>
      </c>
      <c r="C5" s="15" t="n">
        <v>0</v>
      </c>
      <c r="D5" s="13" t="inlineStr">
        <is>
          <t>Owner selects from approved list</t>
        </is>
      </c>
    </row>
    <row r="6">
      <c r="A6" s="13" t="inlineStr">
        <is>
          <t>Allowance</t>
        </is>
      </c>
      <c r="B6" s="13" t="inlineStr">
        <is>
          <t>Appliances (Owner specifying TBD)</t>
        </is>
      </c>
      <c r="C6" s="15" t="n">
        <v>0</v>
      </c>
      <c r="D6" s="13" t="inlineStr">
        <is>
          <t>Owner-directed late selection</t>
        </is>
      </c>
    </row>
    <row r="7">
      <c r="A7" s="13" t="inlineStr">
        <is>
          <t>Allowance</t>
        </is>
      </c>
      <c r="B7" s="13" t="inlineStr">
        <is>
          <t>Specialty doors / glazing (TBD design)</t>
        </is>
      </c>
      <c r="C7" s="15" t="n">
        <v>0</v>
      </c>
      <c r="D7" s="13" t="inlineStr">
        <is>
          <t>Pending design refinement</t>
        </is>
      </c>
    </row>
    <row r="8">
      <c r="A8" s="13" t="inlineStr">
        <is>
          <t>Allowance</t>
        </is>
      </c>
      <c r="B8" s="13" t="inlineStr">
        <is>
          <t>Paint color selection (TBD)</t>
        </is>
      </c>
      <c r="C8" s="15" t="n">
        <v>0</v>
      </c>
      <c r="D8" s="13" t="inlineStr">
        <is>
          <t>Color premium if non-standard</t>
        </is>
      </c>
    </row>
    <row r="9">
      <c r="A9" s="13" t="inlineStr">
        <is>
          <t>Allowance</t>
        </is>
      </c>
      <c r="B9" s="13" t="inlineStr">
        <is>
          <t>Landscaping allowance</t>
        </is>
      </c>
      <c r="C9" s="15" t="n">
        <v>0</v>
      </c>
      <c r="D9" s="13" t="inlineStr">
        <is>
          <t>Owner-selected design</t>
        </is>
      </c>
    </row>
    <row r="10">
      <c r="A10" s="13" t="inlineStr">
        <is>
          <t>Allowance</t>
        </is>
      </c>
      <c r="B10" s="13" t="inlineStr">
        <is>
          <t>Permit + inspection fees actual</t>
        </is>
      </c>
      <c r="C10" s="15" t="n">
        <v>0</v>
      </c>
      <c r="D10" s="13" t="inlineStr">
        <is>
          <t>If actuals exceed Div 01 allowance</t>
        </is>
      </c>
    </row>
    <row r="11">
      <c r="A11" s="13" t="inlineStr"/>
      <c r="B11" s="13" t="inlineStr"/>
      <c r="C11" s="15" t="n">
        <v>0</v>
      </c>
      <c r="D11" s="13" t="inlineStr"/>
    </row>
    <row r="12">
      <c r="A12" s="13" t="inlineStr">
        <is>
          <t>Contingency</t>
        </is>
      </c>
      <c r="B12" s="13" t="inlineStr">
        <is>
          <t>Project-level contingency (unknowns)</t>
        </is>
      </c>
      <c r="C12" s="15" t="n">
        <v>0</v>
      </c>
      <c r="D12" s="13">
        <f>CostOfWork × ProjectContingency</f>
        <v/>
      </c>
    </row>
    <row r="13">
      <c r="A13" s="13" t="inlineStr"/>
      <c r="B13" s="13" t="inlineStr"/>
      <c r="C13" s="15" t="n">
        <v>0</v>
      </c>
      <c r="D13" s="13" t="inlineStr"/>
    </row>
    <row r="14">
      <c r="A14" s="13" t="inlineStr"/>
      <c r="B14" s="13" t="inlineStr"/>
      <c r="C14" s="15" t="n">
        <v>0</v>
      </c>
      <c r="D14" s="13" t="inlineStr"/>
    </row>
    <row r="15">
      <c r="B15" s="17" t="inlineStr">
        <is>
          <t>ALLOWANCES + CONTINGENCY TOTAL</t>
        </is>
      </c>
      <c r="C15" s="18">
        <f>SUM(C5:C14)</f>
        <v/>
      </c>
    </row>
  </sheetData>
  <mergeCells count="2">
    <mergeCell ref="A1:D1"/>
    <mergeCell ref="A2:D2"/>
  </mergeCells>
  <dataValidations count="1">
    <dataValidation sqref="A5:A14" showDropDown="0" showInputMessage="0" showErrorMessage="0" allowBlank="1" type="list">
      <formula1>"Allowance,Contingency"</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E25"/>
  <sheetViews>
    <sheetView showGridLines="0" workbookViewId="0">
      <selection activeCell="A1" sqref="A1"/>
    </sheetView>
  </sheetViews>
  <sheetFormatPr baseColWidth="8" defaultRowHeight="15"/>
  <cols>
    <col width="4" customWidth="1" min="1" max="1"/>
    <col width="48" customWidth="1" min="2" max="2"/>
    <col width="22" customWidth="1" min="3" max="3"/>
    <col width="16" customWidth="1" min="4" max="4"/>
    <col width="28" customWidth="1" min="5" max="5"/>
  </cols>
  <sheetData>
    <row r="1" ht="32" customHeight="1">
      <c r="B1" s="1" t="inlineStr">
        <is>
          <t>BID SUMMARY — Roll-Up to Final Prime Bid</t>
        </is>
      </c>
    </row>
    <row r="2">
      <c r="B2" s="20" t="inlineStr">
        <is>
          <t>Project: =ProjectName</t>
        </is>
      </c>
    </row>
    <row r="4">
      <c r="B4" s="8" t="inlineStr">
        <is>
          <t>COST OF WORK</t>
        </is>
      </c>
    </row>
    <row r="5">
      <c r="B5" s="4" t="inlineStr">
        <is>
          <t>Trade Bids (from Trade Bids tab)</t>
        </is>
      </c>
      <c r="C5" s="21">
        <f>'Trade Bids'!J31</f>
        <v/>
      </c>
    </row>
    <row r="6">
      <c r="B6" s="4" t="inlineStr">
        <is>
          <t>Self-Perform (from Self-Perform tab)</t>
        </is>
      </c>
      <c r="C6" s="21">
        <f>'Self-Perform'!I13</f>
        <v/>
      </c>
    </row>
    <row r="7">
      <c r="B7" s="4" t="inlineStr">
        <is>
          <t>General Conditions (Div 01)</t>
        </is>
      </c>
      <c r="C7" s="21">
        <f>'General Conditions'!G38</f>
        <v/>
      </c>
    </row>
    <row r="8">
      <c r="B8" s="4" t="inlineStr">
        <is>
          <t>Allowances + Contingency</t>
        </is>
      </c>
      <c r="C8" s="21">
        <f>'Allowances'!C15</f>
        <v/>
      </c>
    </row>
    <row r="9">
      <c r="B9" s="4" t="inlineStr">
        <is>
          <t>COST OF WORK SUBTOTAL</t>
        </is>
      </c>
      <c r="C9" s="18">
        <f>SUM(C5:C8)</f>
        <v/>
      </c>
    </row>
    <row r="11">
      <c r="B11" s="4" t="inlineStr">
        <is>
          <t>Corporate Overhead</t>
        </is>
      </c>
      <c r="C11" s="22">
        <f>C9*CorpOH</f>
        <v/>
      </c>
      <c r="D11" s="23">
        <f>CorpOH</f>
        <v/>
      </c>
    </row>
    <row r="12">
      <c r="B12" s="4" t="inlineStr">
        <is>
          <t>Corporate Profit</t>
        </is>
      </c>
      <c r="C12" s="22">
        <f>C9*CorpProfit</f>
        <v/>
      </c>
      <c r="D12" s="23">
        <f>CorpProfit</f>
        <v/>
      </c>
    </row>
    <row r="13">
      <c r="B13" s="4" t="inlineStr">
        <is>
          <t>Sales Tax (on est. material content)</t>
        </is>
      </c>
      <c r="C13" s="22">
        <f>C9*0.5*SalesTax</f>
        <v/>
      </c>
      <c r="D13" s="23">
        <f>SalesTax</f>
        <v/>
      </c>
      <c r="E13" s="11" t="inlineStr">
        <is>
          <t>Material is ~50% of trade cost — adjust per project</t>
        </is>
      </c>
    </row>
    <row r="14">
      <c r="B14" s="4" t="inlineStr">
        <is>
          <t>PRE-BOND SUBTOTAL</t>
        </is>
      </c>
      <c r="C14" s="18">
        <f>C9+C11+C12+C13</f>
        <v/>
      </c>
    </row>
    <row r="15">
      <c r="B15" s="4" t="inlineStr">
        <is>
          <t>Performance + Payment Bond</t>
        </is>
      </c>
      <c r="C15" s="22">
        <f>C14*BondPct/(1-BondPct)</f>
        <v/>
      </c>
      <c r="D15" s="23">
        <f>BondPct</f>
        <v/>
      </c>
    </row>
    <row r="17" ht="40" customHeight="1">
      <c r="B17" s="24" t="inlineStr">
        <is>
          <t>FINAL PRIME BID</t>
        </is>
      </c>
      <c r="C17" s="25">
        <f>C14+C15</f>
        <v/>
      </c>
    </row>
    <row r="20">
      <c r="B20" s="8" t="inlineStr">
        <is>
          <t>SANITY CHECKS</t>
        </is>
      </c>
    </row>
    <row r="21">
      <c r="B21" s="26" t="inlineStr">
        <is>
          <t>Trade % of total bid (sanity: 75-90% commercial)</t>
        </is>
      </c>
      <c r="C21" s="9">
        <f>IFERROR('Trade Bids'!J31/C17,0)</f>
        <v/>
      </c>
    </row>
    <row r="22">
      <c r="B22" s="26" t="inlineStr">
        <is>
          <t>Gen Conditions % of trade total (sanity: 5-12%)</t>
        </is>
      </c>
      <c r="C22" s="9">
        <f>IFERROR('General Conditions'!G38/'Trade Bids'!J31,0)</f>
        <v/>
      </c>
    </row>
    <row r="23">
      <c r="B23" s="26" t="inlineStr">
        <is>
          <t>Self-Perform % of total (varies — 0% true GC, 20-40% CMAR)</t>
        </is>
      </c>
      <c r="C23" s="9">
        <f>IFERROR('Self-Perform'!I13/C17,0)</f>
        <v/>
      </c>
    </row>
    <row r="24">
      <c r="B24" s="26" t="inlineStr">
        <is>
          <t>Allowance % of total (sanity: typically &lt;5%)</t>
        </is>
      </c>
      <c r="C24" s="9">
        <f>IFERROR('Allowances'!C15/C17,0)</f>
        <v/>
      </c>
    </row>
    <row r="25">
      <c r="B25" s="26" t="inlineStr">
        <is>
          <t>Effective markup over Cost of Work</t>
        </is>
      </c>
      <c r="C25" s="9">
        <f>IFERROR((C17-C9)/C9,0)</f>
        <v/>
      </c>
    </row>
  </sheetData>
  <mergeCells count="2">
    <mergeCell ref="B1:E1"/>
    <mergeCell ref="B2:E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2"/>
  <sheetViews>
    <sheetView showGridLines="0" workbookViewId="0">
      <selection activeCell="A1" sqref="A1"/>
    </sheetView>
  </sheetViews>
  <sheetFormatPr baseColWidth="8" defaultRowHeight="15"/>
  <cols>
    <col width="10" customWidth="1" min="1" max="1"/>
    <col width="56" customWidth="1" min="2" max="2"/>
    <col width="8" customWidth="1" min="3" max="3"/>
    <col width="14" customWidth="1" min="4" max="4"/>
    <col width="70" customWidth="1" min="5" max="5"/>
  </cols>
  <sheetData>
    <row r="1">
      <c r="A1" s="29" t="inlineStr">
        <is>
          <t>CSI MasterFormat 2020 — Divisions and Subdivisions</t>
        </is>
      </c>
    </row>
    <row r="2" ht="28" customHeight="1">
      <c r="A2" s="30" t="inlineStr">
        <is>
          <t>Reference data for the bid + log workbooks. Do not delete columns A, B, D, or E — the dropdowns in the other tabs source from these named ranges.</t>
        </is>
      </c>
    </row>
    <row r="4">
      <c r="A4" s="28" t="inlineStr">
        <is>
          <t>Div Code</t>
        </is>
      </c>
      <c r="B4" s="28" t="inlineStr">
        <is>
          <t>Division Title</t>
        </is>
      </c>
      <c r="C4" t="inlineStr"/>
      <c r="D4" s="28" t="inlineStr">
        <is>
          <t>Subdiv Code</t>
        </is>
      </c>
      <c r="E4" s="28" t="inlineStr">
        <is>
          <t>Subdivision Title (parent division shown in col C)</t>
        </is>
      </c>
    </row>
    <row r="5">
      <c r="A5" t="inlineStr">
        <is>
          <t>00</t>
        </is>
      </c>
      <c r="B5" t="inlineStr">
        <is>
          <t>Procurement and Contracting Requirements</t>
        </is>
      </c>
      <c r="C5" t="inlineStr">
        <is>
          <t>00</t>
        </is>
      </c>
      <c r="D5" t="inlineStr">
        <is>
          <t>00 10 00</t>
        </is>
      </c>
      <c r="E5" t="inlineStr">
        <is>
          <t>Solicitation</t>
        </is>
      </c>
    </row>
    <row r="6">
      <c r="A6" t="inlineStr">
        <is>
          <t>01</t>
        </is>
      </c>
      <c r="B6" t="inlineStr">
        <is>
          <t>General Requirements</t>
        </is>
      </c>
      <c r="C6" t="inlineStr">
        <is>
          <t>00</t>
        </is>
      </c>
      <c r="D6" t="inlineStr">
        <is>
          <t>00 20 00</t>
        </is>
      </c>
      <c r="E6" t="inlineStr">
        <is>
          <t>Instructions for Procurement</t>
        </is>
      </c>
    </row>
    <row r="7">
      <c r="A7" t="inlineStr">
        <is>
          <t>02</t>
        </is>
      </c>
      <c r="B7" t="inlineStr">
        <is>
          <t>Existing Conditions</t>
        </is>
      </c>
      <c r="C7" t="inlineStr">
        <is>
          <t>00</t>
        </is>
      </c>
      <c r="D7" t="inlineStr">
        <is>
          <t>00 30 00</t>
        </is>
      </c>
      <c r="E7" t="inlineStr">
        <is>
          <t>Available Information</t>
        </is>
      </c>
    </row>
    <row r="8">
      <c r="A8" t="inlineStr">
        <is>
          <t>03</t>
        </is>
      </c>
      <c r="B8" t="inlineStr">
        <is>
          <t>Concrete</t>
        </is>
      </c>
      <c r="C8" t="inlineStr">
        <is>
          <t>00</t>
        </is>
      </c>
      <c r="D8" t="inlineStr">
        <is>
          <t>00 40 00</t>
        </is>
      </c>
      <c r="E8" t="inlineStr">
        <is>
          <t>Procurement Forms and Supplements</t>
        </is>
      </c>
    </row>
    <row r="9">
      <c r="A9" t="inlineStr">
        <is>
          <t>04</t>
        </is>
      </c>
      <c r="B9" t="inlineStr">
        <is>
          <t>Masonry</t>
        </is>
      </c>
      <c r="C9" t="inlineStr">
        <is>
          <t>00</t>
        </is>
      </c>
      <c r="D9" t="inlineStr">
        <is>
          <t>00 50 00</t>
        </is>
      </c>
      <c r="E9" t="inlineStr">
        <is>
          <t>Contracting Forms and Supplements</t>
        </is>
      </c>
    </row>
    <row r="10">
      <c r="A10" t="inlineStr">
        <is>
          <t>05</t>
        </is>
      </c>
      <c r="B10" t="inlineStr">
        <is>
          <t>Metals</t>
        </is>
      </c>
      <c r="C10" t="inlineStr">
        <is>
          <t>00</t>
        </is>
      </c>
      <c r="D10" t="inlineStr">
        <is>
          <t>00 60 00</t>
        </is>
      </c>
      <c r="E10" t="inlineStr">
        <is>
          <t>Project Forms</t>
        </is>
      </c>
    </row>
    <row r="11">
      <c r="A11" t="inlineStr">
        <is>
          <t>06</t>
        </is>
      </c>
      <c r="B11" t="inlineStr">
        <is>
          <t>Wood, Plastics, and Composites</t>
        </is>
      </c>
      <c r="C11" t="inlineStr">
        <is>
          <t>00</t>
        </is>
      </c>
      <c r="D11" t="inlineStr">
        <is>
          <t>00 70 00</t>
        </is>
      </c>
      <c r="E11" t="inlineStr">
        <is>
          <t>Conditions of the Contract</t>
        </is>
      </c>
    </row>
    <row r="12">
      <c r="A12" t="inlineStr">
        <is>
          <t>07</t>
        </is>
      </c>
      <c r="B12" t="inlineStr">
        <is>
          <t>Thermal and Moisture Protection</t>
        </is>
      </c>
      <c r="C12" t="inlineStr">
        <is>
          <t>00</t>
        </is>
      </c>
      <c r="D12" t="inlineStr">
        <is>
          <t>00 80 00</t>
        </is>
      </c>
      <c r="E12" t="inlineStr">
        <is>
          <t>Revisions, Clarifications, and Modifications</t>
        </is>
      </c>
    </row>
    <row r="13">
      <c r="A13" t="inlineStr">
        <is>
          <t>08</t>
        </is>
      </c>
      <c r="B13" t="inlineStr">
        <is>
          <t>Openings</t>
        </is>
      </c>
      <c r="C13" t="inlineStr">
        <is>
          <t>01</t>
        </is>
      </c>
      <c r="D13" t="inlineStr">
        <is>
          <t>01 10 00</t>
        </is>
      </c>
      <c r="E13" t="inlineStr">
        <is>
          <t>Summary</t>
        </is>
      </c>
    </row>
    <row r="14">
      <c r="A14" t="inlineStr">
        <is>
          <t>09</t>
        </is>
      </c>
      <c r="B14" t="inlineStr">
        <is>
          <t>Finishes</t>
        </is>
      </c>
      <c r="C14" t="inlineStr">
        <is>
          <t>01</t>
        </is>
      </c>
      <c r="D14" t="inlineStr">
        <is>
          <t>01 20 00</t>
        </is>
      </c>
      <c r="E14" t="inlineStr">
        <is>
          <t>Price and Payment Procedures</t>
        </is>
      </c>
    </row>
    <row r="15">
      <c r="A15" t="inlineStr">
        <is>
          <t>10</t>
        </is>
      </c>
      <c r="B15" t="inlineStr">
        <is>
          <t>Specialties</t>
        </is>
      </c>
      <c r="C15" t="inlineStr">
        <is>
          <t>01</t>
        </is>
      </c>
      <c r="D15" t="inlineStr">
        <is>
          <t>01 30 00</t>
        </is>
      </c>
      <c r="E15" t="inlineStr">
        <is>
          <t>Administrative Requirements</t>
        </is>
      </c>
    </row>
    <row r="16">
      <c r="A16" t="inlineStr">
        <is>
          <t>11</t>
        </is>
      </c>
      <c r="B16" t="inlineStr">
        <is>
          <t>Equipment</t>
        </is>
      </c>
      <c r="C16" t="inlineStr">
        <is>
          <t>01</t>
        </is>
      </c>
      <c r="D16" t="inlineStr">
        <is>
          <t>01 40 00</t>
        </is>
      </c>
      <c r="E16" t="inlineStr">
        <is>
          <t>Quality Requirements</t>
        </is>
      </c>
    </row>
    <row r="17">
      <c r="A17" t="inlineStr">
        <is>
          <t>12</t>
        </is>
      </c>
      <c r="B17" t="inlineStr">
        <is>
          <t>Furnishings</t>
        </is>
      </c>
      <c r="C17" t="inlineStr">
        <is>
          <t>01</t>
        </is>
      </c>
      <c r="D17" t="inlineStr">
        <is>
          <t>01 50 00</t>
        </is>
      </c>
      <c r="E17" t="inlineStr">
        <is>
          <t>Temporary Facilities and Controls</t>
        </is>
      </c>
    </row>
    <row r="18">
      <c r="A18" t="inlineStr">
        <is>
          <t>13</t>
        </is>
      </c>
      <c r="B18" t="inlineStr">
        <is>
          <t>Special Construction</t>
        </is>
      </c>
      <c r="C18" t="inlineStr">
        <is>
          <t>01</t>
        </is>
      </c>
      <c r="D18" t="inlineStr">
        <is>
          <t>01 60 00</t>
        </is>
      </c>
      <c r="E18" t="inlineStr">
        <is>
          <t>Product Requirements</t>
        </is>
      </c>
    </row>
    <row r="19">
      <c r="A19" t="inlineStr">
        <is>
          <t>14</t>
        </is>
      </c>
      <c r="B19" t="inlineStr">
        <is>
          <t>Conveying Equipment</t>
        </is>
      </c>
      <c r="C19" t="inlineStr">
        <is>
          <t>01</t>
        </is>
      </c>
      <c r="D19" t="inlineStr">
        <is>
          <t>01 70 00</t>
        </is>
      </c>
      <c r="E19" t="inlineStr">
        <is>
          <t>Execution and Closeout Requirements</t>
        </is>
      </c>
    </row>
    <row r="20">
      <c r="A20" t="inlineStr">
        <is>
          <t>21</t>
        </is>
      </c>
      <c r="B20" t="inlineStr">
        <is>
          <t>Fire Suppression</t>
        </is>
      </c>
      <c r="C20" t="inlineStr">
        <is>
          <t>01</t>
        </is>
      </c>
      <c r="D20" t="inlineStr">
        <is>
          <t>01 80 00</t>
        </is>
      </c>
      <c r="E20" t="inlineStr">
        <is>
          <t>Performance Requirements</t>
        </is>
      </c>
    </row>
    <row r="21">
      <c r="A21" t="inlineStr">
        <is>
          <t>22</t>
        </is>
      </c>
      <c r="B21" t="inlineStr">
        <is>
          <t>Plumbing</t>
        </is>
      </c>
      <c r="C21" t="inlineStr">
        <is>
          <t>01</t>
        </is>
      </c>
      <c r="D21" t="inlineStr">
        <is>
          <t>01 90 00</t>
        </is>
      </c>
      <c r="E21" t="inlineStr">
        <is>
          <t>Life Cycle Activities</t>
        </is>
      </c>
    </row>
    <row r="22">
      <c r="A22" t="inlineStr">
        <is>
          <t>23</t>
        </is>
      </c>
      <c r="B22" t="inlineStr">
        <is>
          <t>Heating, Ventilating, and Air Conditioning (HVAC)</t>
        </is>
      </c>
      <c r="C22" t="inlineStr">
        <is>
          <t>02</t>
        </is>
      </c>
      <c r="D22" t="inlineStr">
        <is>
          <t>02 20 00</t>
        </is>
      </c>
      <c r="E22" t="inlineStr">
        <is>
          <t>Assessment</t>
        </is>
      </c>
    </row>
    <row r="23">
      <c r="A23" t="inlineStr">
        <is>
          <t>25</t>
        </is>
      </c>
      <c r="B23" t="inlineStr">
        <is>
          <t>Integrated Automation</t>
        </is>
      </c>
      <c r="C23" t="inlineStr">
        <is>
          <t>02</t>
        </is>
      </c>
      <c r="D23" t="inlineStr">
        <is>
          <t>02 30 00</t>
        </is>
      </c>
      <c r="E23" t="inlineStr">
        <is>
          <t>Subsurface Investigation</t>
        </is>
      </c>
    </row>
    <row r="24">
      <c r="A24" t="inlineStr">
        <is>
          <t>26</t>
        </is>
      </c>
      <c r="B24" t="inlineStr">
        <is>
          <t>Electrical</t>
        </is>
      </c>
      <c r="C24" t="inlineStr">
        <is>
          <t>02</t>
        </is>
      </c>
      <c r="D24" t="inlineStr">
        <is>
          <t>02 40 00</t>
        </is>
      </c>
      <c r="E24" t="inlineStr">
        <is>
          <t>Demolition and Structure Moving</t>
        </is>
      </c>
    </row>
    <row r="25">
      <c r="A25" t="inlineStr">
        <is>
          <t>27</t>
        </is>
      </c>
      <c r="B25" t="inlineStr">
        <is>
          <t>Communications</t>
        </is>
      </c>
      <c r="C25" t="inlineStr">
        <is>
          <t>02</t>
        </is>
      </c>
      <c r="D25" t="inlineStr">
        <is>
          <t>02 50 00</t>
        </is>
      </c>
      <c r="E25" t="inlineStr">
        <is>
          <t>Site Remediation</t>
        </is>
      </c>
    </row>
    <row r="26">
      <c r="A26" t="inlineStr">
        <is>
          <t>28</t>
        </is>
      </c>
      <c r="B26" t="inlineStr">
        <is>
          <t>Electronic Safety and Security</t>
        </is>
      </c>
      <c r="C26" t="inlineStr">
        <is>
          <t>02</t>
        </is>
      </c>
      <c r="D26" t="inlineStr">
        <is>
          <t>02 60 00</t>
        </is>
      </c>
      <c r="E26" t="inlineStr">
        <is>
          <t>Contaminated Site Material Removal</t>
        </is>
      </c>
    </row>
    <row r="27">
      <c r="A27" t="inlineStr">
        <is>
          <t>31</t>
        </is>
      </c>
      <c r="B27" t="inlineStr">
        <is>
          <t>Earthwork</t>
        </is>
      </c>
      <c r="C27" t="inlineStr">
        <is>
          <t>02</t>
        </is>
      </c>
      <c r="D27" t="inlineStr">
        <is>
          <t>02 70 00</t>
        </is>
      </c>
      <c r="E27" t="inlineStr">
        <is>
          <t>Water Remediation</t>
        </is>
      </c>
    </row>
    <row r="28">
      <c r="A28" t="inlineStr">
        <is>
          <t>32</t>
        </is>
      </c>
      <c r="B28" t="inlineStr">
        <is>
          <t>Exterior Improvements</t>
        </is>
      </c>
      <c r="C28" t="inlineStr">
        <is>
          <t>02</t>
        </is>
      </c>
      <c r="D28" t="inlineStr">
        <is>
          <t>02 80 00</t>
        </is>
      </c>
      <c r="E28" t="inlineStr">
        <is>
          <t>Facility Remediation</t>
        </is>
      </c>
    </row>
    <row r="29">
      <c r="A29" t="inlineStr">
        <is>
          <t>33</t>
        </is>
      </c>
      <c r="B29" t="inlineStr">
        <is>
          <t>Utilities</t>
        </is>
      </c>
      <c r="C29" t="inlineStr">
        <is>
          <t>03</t>
        </is>
      </c>
      <c r="D29" t="inlineStr">
        <is>
          <t>03 10 00</t>
        </is>
      </c>
      <c r="E29" t="inlineStr">
        <is>
          <t>Concrete Forming and Accessories</t>
        </is>
      </c>
    </row>
    <row r="30">
      <c r="A30" t="inlineStr">
        <is>
          <t>34</t>
        </is>
      </c>
      <c r="B30" t="inlineStr">
        <is>
          <t>Transportation</t>
        </is>
      </c>
      <c r="C30" t="inlineStr">
        <is>
          <t>03</t>
        </is>
      </c>
      <c r="D30" t="inlineStr">
        <is>
          <t>03 20 00</t>
        </is>
      </c>
      <c r="E30" t="inlineStr">
        <is>
          <t>Concrete Reinforcing</t>
        </is>
      </c>
    </row>
    <row r="31">
      <c r="A31" t="inlineStr">
        <is>
          <t>35</t>
        </is>
      </c>
      <c r="B31" t="inlineStr">
        <is>
          <t>Waterway and Marine Construction</t>
        </is>
      </c>
      <c r="C31" t="inlineStr">
        <is>
          <t>03</t>
        </is>
      </c>
      <c r="D31" t="inlineStr">
        <is>
          <t>03 30 00</t>
        </is>
      </c>
      <c r="E31" t="inlineStr">
        <is>
          <t>Cast-in-Place Concrete</t>
        </is>
      </c>
    </row>
    <row r="32">
      <c r="A32" t="inlineStr">
        <is>
          <t>40</t>
        </is>
      </c>
      <c r="B32" t="inlineStr">
        <is>
          <t>Process Interconnections</t>
        </is>
      </c>
      <c r="C32" t="inlineStr">
        <is>
          <t>03</t>
        </is>
      </c>
      <c r="D32" t="inlineStr">
        <is>
          <t>03 40 00</t>
        </is>
      </c>
      <c r="E32" t="inlineStr">
        <is>
          <t>Precast Concrete</t>
        </is>
      </c>
    </row>
    <row r="33">
      <c r="A33" t="inlineStr">
        <is>
          <t>41</t>
        </is>
      </c>
      <c r="B33" t="inlineStr">
        <is>
          <t>Material Processing and Handling Equipment</t>
        </is>
      </c>
      <c r="C33" t="inlineStr">
        <is>
          <t>03</t>
        </is>
      </c>
      <c r="D33" t="inlineStr">
        <is>
          <t>03 50 00</t>
        </is>
      </c>
      <c r="E33" t="inlineStr">
        <is>
          <t>Cast Decks and Underlayment</t>
        </is>
      </c>
    </row>
    <row r="34">
      <c r="A34" t="inlineStr">
        <is>
          <t>42</t>
        </is>
      </c>
      <c r="B34" t="inlineStr">
        <is>
          <t>Process Heating, Cooling, and Drying Equipment</t>
        </is>
      </c>
      <c r="C34" t="inlineStr">
        <is>
          <t>03</t>
        </is>
      </c>
      <c r="D34" t="inlineStr">
        <is>
          <t>03 60 00</t>
        </is>
      </c>
      <c r="E34" t="inlineStr">
        <is>
          <t>Grouting</t>
        </is>
      </c>
    </row>
    <row r="35">
      <c r="A35" t="inlineStr">
        <is>
          <t>43</t>
        </is>
      </c>
      <c r="B35" t="inlineStr">
        <is>
          <t>Process Gas and Liquid Handling, Purification, and Storage Equipment</t>
        </is>
      </c>
      <c r="C35" t="inlineStr">
        <is>
          <t>03</t>
        </is>
      </c>
      <c r="D35" t="inlineStr">
        <is>
          <t>03 70 00</t>
        </is>
      </c>
      <c r="E35" t="inlineStr">
        <is>
          <t>Mass Concrete</t>
        </is>
      </c>
    </row>
    <row r="36">
      <c r="A36" t="inlineStr">
        <is>
          <t>44</t>
        </is>
      </c>
      <c r="B36" t="inlineStr">
        <is>
          <t>Pollution and Waste Control Equipment</t>
        </is>
      </c>
      <c r="C36" t="inlineStr">
        <is>
          <t>03</t>
        </is>
      </c>
      <c r="D36" t="inlineStr">
        <is>
          <t>03 80 00</t>
        </is>
      </c>
      <c r="E36" t="inlineStr">
        <is>
          <t>Concrete Cutting and Boring</t>
        </is>
      </c>
    </row>
    <row r="37">
      <c r="A37" t="inlineStr">
        <is>
          <t>45</t>
        </is>
      </c>
      <c r="B37" t="inlineStr">
        <is>
          <t>Industry-Specific Manufacturing Equipment</t>
        </is>
      </c>
      <c r="C37" t="inlineStr">
        <is>
          <t>04</t>
        </is>
      </c>
      <c r="D37" t="inlineStr">
        <is>
          <t>04 01 00</t>
        </is>
      </c>
      <c r="E37" t="inlineStr">
        <is>
          <t>Maintenance of Masonry</t>
        </is>
      </c>
    </row>
    <row r="38">
      <c r="A38" t="inlineStr">
        <is>
          <t>46</t>
        </is>
      </c>
      <c r="B38" t="inlineStr">
        <is>
          <t>Water and Wastewater Equipment</t>
        </is>
      </c>
      <c r="C38" t="inlineStr">
        <is>
          <t>04</t>
        </is>
      </c>
      <c r="D38" t="inlineStr">
        <is>
          <t>04 05 00</t>
        </is>
      </c>
      <c r="E38" t="inlineStr">
        <is>
          <t>Common Work Results for Masonry</t>
        </is>
      </c>
    </row>
    <row r="39">
      <c r="A39" t="inlineStr">
        <is>
          <t>48</t>
        </is>
      </c>
      <c r="B39" t="inlineStr">
        <is>
          <t>Electrical Power Generation</t>
        </is>
      </c>
      <c r="C39" t="inlineStr">
        <is>
          <t>04</t>
        </is>
      </c>
      <c r="D39" t="inlineStr">
        <is>
          <t>04 20 00</t>
        </is>
      </c>
      <c r="E39" t="inlineStr">
        <is>
          <t>Unit Masonry</t>
        </is>
      </c>
    </row>
    <row r="40">
      <c r="C40" t="inlineStr">
        <is>
          <t>04</t>
        </is>
      </c>
      <c r="D40" t="inlineStr">
        <is>
          <t>04 40 00</t>
        </is>
      </c>
      <c r="E40" t="inlineStr">
        <is>
          <t>Stone Assemblies</t>
        </is>
      </c>
    </row>
    <row r="41">
      <c r="C41" t="inlineStr">
        <is>
          <t>04</t>
        </is>
      </c>
      <c r="D41" t="inlineStr">
        <is>
          <t>04 50 00</t>
        </is>
      </c>
      <c r="E41" t="inlineStr">
        <is>
          <t>Refractory Masonry</t>
        </is>
      </c>
    </row>
    <row r="42">
      <c r="C42" t="inlineStr">
        <is>
          <t>04</t>
        </is>
      </c>
      <c r="D42" t="inlineStr">
        <is>
          <t>04 60 00</t>
        </is>
      </c>
      <c r="E42" t="inlineStr">
        <is>
          <t>Corrosion-Resistant Masonry</t>
        </is>
      </c>
    </row>
    <row r="43">
      <c r="C43" t="inlineStr">
        <is>
          <t>04</t>
        </is>
      </c>
      <c r="D43" t="inlineStr">
        <is>
          <t>04 70 00</t>
        </is>
      </c>
      <c r="E43" t="inlineStr">
        <is>
          <t>Manufactured Masonry</t>
        </is>
      </c>
    </row>
    <row r="44">
      <c r="C44" t="inlineStr">
        <is>
          <t>05</t>
        </is>
      </c>
      <c r="D44" t="inlineStr">
        <is>
          <t>05 10 00</t>
        </is>
      </c>
      <c r="E44" t="inlineStr">
        <is>
          <t>Structural Metal Framing</t>
        </is>
      </c>
    </row>
    <row r="45">
      <c r="C45" t="inlineStr">
        <is>
          <t>05</t>
        </is>
      </c>
      <c r="D45" t="inlineStr">
        <is>
          <t>05 20 00</t>
        </is>
      </c>
      <c r="E45" t="inlineStr">
        <is>
          <t>Metal Joists</t>
        </is>
      </c>
    </row>
    <row r="46">
      <c r="C46" t="inlineStr">
        <is>
          <t>05</t>
        </is>
      </c>
      <c r="D46" t="inlineStr">
        <is>
          <t>05 30 00</t>
        </is>
      </c>
      <c r="E46" t="inlineStr">
        <is>
          <t>Metal Decking</t>
        </is>
      </c>
    </row>
    <row r="47">
      <c r="C47" t="inlineStr">
        <is>
          <t>05</t>
        </is>
      </c>
      <c r="D47" t="inlineStr">
        <is>
          <t>05 40 00</t>
        </is>
      </c>
      <c r="E47" t="inlineStr">
        <is>
          <t>Cold-Formed Metal Framing</t>
        </is>
      </c>
    </row>
    <row r="48">
      <c r="C48" t="inlineStr">
        <is>
          <t>05</t>
        </is>
      </c>
      <c r="D48" t="inlineStr">
        <is>
          <t>05 50 00</t>
        </is>
      </c>
      <c r="E48" t="inlineStr">
        <is>
          <t>Metal Fabrications</t>
        </is>
      </c>
    </row>
    <row r="49">
      <c r="C49" t="inlineStr">
        <is>
          <t>05</t>
        </is>
      </c>
      <c r="D49" t="inlineStr">
        <is>
          <t>05 70 00</t>
        </is>
      </c>
      <c r="E49" t="inlineStr">
        <is>
          <t>Decorative Metal</t>
        </is>
      </c>
    </row>
    <row r="50">
      <c r="C50" t="inlineStr">
        <is>
          <t>06</t>
        </is>
      </c>
      <c r="D50" t="inlineStr">
        <is>
          <t>06 10 00</t>
        </is>
      </c>
      <c r="E50" t="inlineStr">
        <is>
          <t>Rough Carpentry</t>
        </is>
      </c>
    </row>
    <row r="51">
      <c r="C51" t="inlineStr">
        <is>
          <t>06</t>
        </is>
      </c>
      <c r="D51" t="inlineStr">
        <is>
          <t>06 20 00</t>
        </is>
      </c>
      <c r="E51" t="inlineStr">
        <is>
          <t>Finish Carpentry</t>
        </is>
      </c>
    </row>
    <row r="52">
      <c r="C52" t="inlineStr">
        <is>
          <t>06</t>
        </is>
      </c>
      <c r="D52" t="inlineStr">
        <is>
          <t>06 40 00</t>
        </is>
      </c>
      <c r="E52" t="inlineStr">
        <is>
          <t>Architectural Woodwork</t>
        </is>
      </c>
    </row>
    <row r="53">
      <c r="C53" t="inlineStr">
        <is>
          <t>06</t>
        </is>
      </c>
      <c r="D53" t="inlineStr">
        <is>
          <t>06 50 00</t>
        </is>
      </c>
      <c r="E53" t="inlineStr">
        <is>
          <t>Structural Plastics</t>
        </is>
      </c>
    </row>
    <row r="54">
      <c r="C54" t="inlineStr">
        <is>
          <t>06</t>
        </is>
      </c>
      <c r="D54" t="inlineStr">
        <is>
          <t>06 60 00</t>
        </is>
      </c>
      <c r="E54" t="inlineStr">
        <is>
          <t>Plastic Fabrications</t>
        </is>
      </c>
    </row>
    <row r="55">
      <c r="C55" t="inlineStr">
        <is>
          <t>06</t>
        </is>
      </c>
      <c r="D55" t="inlineStr">
        <is>
          <t>06 70 00</t>
        </is>
      </c>
      <c r="E55" t="inlineStr">
        <is>
          <t>Structural Composites</t>
        </is>
      </c>
    </row>
    <row r="56">
      <c r="C56" t="inlineStr">
        <is>
          <t>06</t>
        </is>
      </c>
      <c r="D56" t="inlineStr">
        <is>
          <t>06 80 00</t>
        </is>
      </c>
      <c r="E56" t="inlineStr">
        <is>
          <t>Composite Fabrications</t>
        </is>
      </c>
    </row>
    <row r="57">
      <c r="C57" t="inlineStr">
        <is>
          <t>07</t>
        </is>
      </c>
      <c r="D57" t="inlineStr">
        <is>
          <t>07 10 00</t>
        </is>
      </c>
      <c r="E57" t="inlineStr">
        <is>
          <t>Dampproofing and Waterproofing</t>
        </is>
      </c>
    </row>
    <row r="58">
      <c r="C58" t="inlineStr">
        <is>
          <t>07</t>
        </is>
      </c>
      <c r="D58" t="inlineStr">
        <is>
          <t>07 20 00</t>
        </is>
      </c>
      <c r="E58" t="inlineStr">
        <is>
          <t>Thermal Protection</t>
        </is>
      </c>
    </row>
    <row r="59">
      <c r="C59" t="inlineStr">
        <is>
          <t>07</t>
        </is>
      </c>
      <c r="D59" t="inlineStr">
        <is>
          <t>07 30 00</t>
        </is>
      </c>
      <c r="E59" t="inlineStr">
        <is>
          <t>Steep Slope Roofing</t>
        </is>
      </c>
    </row>
    <row r="60">
      <c r="C60" t="inlineStr">
        <is>
          <t>07</t>
        </is>
      </c>
      <c r="D60" t="inlineStr">
        <is>
          <t>07 40 00</t>
        </is>
      </c>
      <c r="E60" t="inlineStr">
        <is>
          <t>Roofing and Siding Panels</t>
        </is>
      </c>
    </row>
    <row r="61">
      <c r="C61" t="inlineStr">
        <is>
          <t>07</t>
        </is>
      </c>
      <c r="D61" t="inlineStr">
        <is>
          <t>07 50 00</t>
        </is>
      </c>
      <c r="E61" t="inlineStr">
        <is>
          <t>Membrane Roofing</t>
        </is>
      </c>
    </row>
    <row r="62">
      <c r="C62" t="inlineStr">
        <is>
          <t>07</t>
        </is>
      </c>
      <c r="D62" t="inlineStr">
        <is>
          <t>07 60 00</t>
        </is>
      </c>
      <c r="E62" t="inlineStr">
        <is>
          <t>Flashing and Sheet Metal</t>
        </is>
      </c>
    </row>
    <row r="63">
      <c r="C63" t="inlineStr">
        <is>
          <t>07</t>
        </is>
      </c>
      <c r="D63" t="inlineStr">
        <is>
          <t>07 70 00</t>
        </is>
      </c>
      <c r="E63" t="inlineStr">
        <is>
          <t>Roof and Wall Specialties and Accessories</t>
        </is>
      </c>
    </row>
    <row r="64">
      <c r="C64" t="inlineStr">
        <is>
          <t>07</t>
        </is>
      </c>
      <c r="D64" t="inlineStr">
        <is>
          <t>07 80 00</t>
        </is>
      </c>
      <c r="E64" t="inlineStr">
        <is>
          <t>Fire and Smoke Protection</t>
        </is>
      </c>
    </row>
    <row r="65">
      <c r="C65" t="inlineStr">
        <is>
          <t>07</t>
        </is>
      </c>
      <c r="D65" t="inlineStr">
        <is>
          <t>07 90 00</t>
        </is>
      </c>
      <c r="E65" t="inlineStr">
        <is>
          <t>Joint Protection</t>
        </is>
      </c>
    </row>
    <row r="66">
      <c r="C66" t="inlineStr">
        <is>
          <t>08</t>
        </is>
      </c>
      <c r="D66" t="inlineStr">
        <is>
          <t>08 10 00</t>
        </is>
      </c>
      <c r="E66" t="inlineStr">
        <is>
          <t>Doors and Frames</t>
        </is>
      </c>
    </row>
    <row r="67">
      <c r="C67" t="inlineStr">
        <is>
          <t>08</t>
        </is>
      </c>
      <c r="D67" t="inlineStr">
        <is>
          <t>08 30 00</t>
        </is>
      </c>
      <c r="E67" t="inlineStr">
        <is>
          <t>Specialty Doors and Frames</t>
        </is>
      </c>
    </row>
    <row r="68">
      <c r="C68" t="inlineStr">
        <is>
          <t>08</t>
        </is>
      </c>
      <c r="D68" t="inlineStr">
        <is>
          <t>08 40 00</t>
        </is>
      </c>
      <c r="E68" t="inlineStr">
        <is>
          <t>Entrances, Storefronts, and Curtain Walls</t>
        </is>
      </c>
    </row>
    <row r="69">
      <c r="C69" t="inlineStr">
        <is>
          <t>08</t>
        </is>
      </c>
      <c r="D69" t="inlineStr">
        <is>
          <t>08 50 00</t>
        </is>
      </c>
      <c r="E69" t="inlineStr">
        <is>
          <t>Windows</t>
        </is>
      </c>
    </row>
    <row r="70">
      <c r="C70" t="inlineStr">
        <is>
          <t>08</t>
        </is>
      </c>
      <c r="D70" t="inlineStr">
        <is>
          <t>08 60 00</t>
        </is>
      </c>
      <c r="E70" t="inlineStr">
        <is>
          <t>Roof Windows and Skylights</t>
        </is>
      </c>
    </row>
    <row r="71">
      <c r="C71" t="inlineStr">
        <is>
          <t>08</t>
        </is>
      </c>
      <c r="D71" t="inlineStr">
        <is>
          <t>08 70 00</t>
        </is>
      </c>
      <c r="E71" t="inlineStr">
        <is>
          <t>Hardware</t>
        </is>
      </c>
    </row>
    <row r="72">
      <c r="C72" t="inlineStr">
        <is>
          <t>08</t>
        </is>
      </c>
      <c r="D72" t="inlineStr">
        <is>
          <t>08 80 00</t>
        </is>
      </c>
      <c r="E72" t="inlineStr">
        <is>
          <t>Glazing</t>
        </is>
      </c>
    </row>
    <row r="73">
      <c r="C73" t="inlineStr">
        <is>
          <t>08</t>
        </is>
      </c>
      <c r="D73" t="inlineStr">
        <is>
          <t>08 90 00</t>
        </is>
      </c>
      <c r="E73" t="inlineStr">
        <is>
          <t>Louvers and Vents</t>
        </is>
      </c>
    </row>
    <row r="74">
      <c r="C74" t="inlineStr">
        <is>
          <t>09</t>
        </is>
      </c>
      <c r="D74" t="inlineStr">
        <is>
          <t>09 20 00</t>
        </is>
      </c>
      <c r="E74" t="inlineStr">
        <is>
          <t>Plaster and Gypsum Board</t>
        </is>
      </c>
    </row>
    <row r="75">
      <c r="C75" t="inlineStr">
        <is>
          <t>09</t>
        </is>
      </c>
      <c r="D75" t="inlineStr">
        <is>
          <t>09 30 00</t>
        </is>
      </c>
      <c r="E75" t="inlineStr">
        <is>
          <t>Tiling</t>
        </is>
      </c>
    </row>
    <row r="76">
      <c r="C76" t="inlineStr">
        <is>
          <t>09</t>
        </is>
      </c>
      <c r="D76" t="inlineStr">
        <is>
          <t>09 50 00</t>
        </is>
      </c>
      <c r="E76" t="inlineStr">
        <is>
          <t>Ceilings</t>
        </is>
      </c>
    </row>
    <row r="77">
      <c r="C77" t="inlineStr">
        <is>
          <t>09</t>
        </is>
      </c>
      <c r="D77" t="inlineStr">
        <is>
          <t>09 60 00</t>
        </is>
      </c>
      <c r="E77" t="inlineStr">
        <is>
          <t>Flooring</t>
        </is>
      </c>
    </row>
    <row r="78">
      <c r="C78" t="inlineStr">
        <is>
          <t>09</t>
        </is>
      </c>
      <c r="D78" t="inlineStr">
        <is>
          <t>09 70 00</t>
        </is>
      </c>
      <c r="E78" t="inlineStr">
        <is>
          <t>Wall Finishes</t>
        </is>
      </c>
    </row>
    <row r="79">
      <c r="C79" t="inlineStr">
        <is>
          <t>09</t>
        </is>
      </c>
      <c r="D79" t="inlineStr">
        <is>
          <t>09 80 00</t>
        </is>
      </c>
      <c r="E79" t="inlineStr">
        <is>
          <t>Acoustic Treatment</t>
        </is>
      </c>
    </row>
    <row r="80">
      <c r="C80" t="inlineStr">
        <is>
          <t>09</t>
        </is>
      </c>
      <c r="D80" t="inlineStr">
        <is>
          <t>09 90 00</t>
        </is>
      </c>
      <c r="E80" t="inlineStr">
        <is>
          <t>Painting and Coating</t>
        </is>
      </c>
    </row>
    <row r="81">
      <c r="C81" t="inlineStr">
        <is>
          <t>10</t>
        </is>
      </c>
      <c r="D81" t="inlineStr">
        <is>
          <t>10 10 00</t>
        </is>
      </c>
      <c r="E81" t="inlineStr">
        <is>
          <t>Information Specialties</t>
        </is>
      </c>
    </row>
    <row r="82">
      <c r="C82" t="inlineStr">
        <is>
          <t>10</t>
        </is>
      </c>
      <c r="D82" t="inlineStr">
        <is>
          <t>10 20 00</t>
        </is>
      </c>
      <c r="E82" t="inlineStr">
        <is>
          <t>Interior Specialties</t>
        </is>
      </c>
    </row>
    <row r="83">
      <c r="C83" t="inlineStr">
        <is>
          <t>10</t>
        </is>
      </c>
      <c r="D83" t="inlineStr">
        <is>
          <t>10 30 00</t>
        </is>
      </c>
      <c r="E83" t="inlineStr">
        <is>
          <t>Fireplaces and Stoves</t>
        </is>
      </c>
    </row>
    <row r="84">
      <c r="C84" t="inlineStr">
        <is>
          <t>10</t>
        </is>
      </c>
      <c r="D84" t="inlineStr">
        <is>
          <t>10 40 00</t>
        </is>
      </c>
      <c r="E84" t="inlineStr">
        <is>
          <t>Safety Specialties</t>
        </is>
      </c>
    </row>
    <row r="85">
      <c r="C85" t="inlineStr">
        <is>
          <t>10</t>
        </is>
      </c>
      <c r="D85" t="inlineStr">
        <is>
          <t>10 50 00</t>
        </is>
      </c>
      <c r="E85" t="inlineStr">
        <is>
          <t>Storage Specialties</t>
        </is>
      </c>
    </row>
    <row r="86">
      <c r="C86" t="inlineStr">
        <is>
          <t>10</t>
        </is>
      </c>
      <c r="D86" t="inlineStr">
        <is>
          <t>10 60 00</t>
        </is>
      </c>
      <c r="E86" t="inlineStr">
        <is>
          <t>Pedestrian Specialties</t>
        </is>
      </c>
    </row>
    <row r="87">
      <c r="C87" t="inlineStr">
        <is>
          <t>10</t>
        </is>
      </c>
      <c r="D87" t="inlineStr">
        <is>
          <t>10 70 00</t>
        </is>
      </c>
      <c r="E87" t="inlineStr">
        <is>
          <t>Exterior Specialties</t>
        </is>
      </c>
    </row>
    <row r="88">
      <c r="C88" t="inlineStr">
        <is>
          <t>10</t>
        </is>
      </c>
      <c r="D88" t="inlineStr">
        <is>
          <t>10 80 00</t>
        </is>
      </c>
      <c r="E88" t="inlineStr">
        <is>
          <t>Other Specialties</t>
        </is>
      </c>
    </row>
    <row r="89">
      <c r="C89" t="inlineStr">
        <is>
          <t>11</t>
        </is>
      </c>
      <c r="D89" t="inlineStr">
        <is>
          <t>11 10 00</t>
        </is>
      </c>
      <c r="E89" t="inlineStr">
        <is>
          <t>Vehicle and Pedestrian Equipment</t>
        </is>
      </c>
    </row>
    <row r="90">
      <c r="C90" t="inlineStr">
        <is>
          <t>11</t>
        </is>
      </c>
      <c r="D90" t="inlineStr">
        <is>
          <t>11 20 00</t>
        </is>
      </c>
      <c r="E90" t="inlineStr">
        <is>
          <t>Commercial Equipment</t>
        </is>
      </c>
    </row>
    <row r="91">
      <c r="C91" t="inlineStr">
        <is>
          <t>11</t>
        </is>
      </c>
      <c r="D91" t="inlineStr">
        <is>
          <t>11 30 00</t>
        </is>
      </c>
      <c r="E91" t="inlineStr">
        <is>
          <t>Residential Equipment</t>
        </is>
      </c>
    </row>
    <row r="92">
      <c r="C92" t="inlineStr">
        <is>
          <t>11</t>
        </is>
      </c>
      <c r="D92" t="inlineStr">
        <is>
          <t>11 40 00</t>
        </is>
      </c>
      <c r="E92" t="inlineStr">
        <is>
          <t>Foodservice Equipment</t>
        </is>
      </c>
    </row>
    <row r="93">
      <c r="C93" t="inlineStr">
        <is>
          <t>11</t>
        </is>
      </c>
      <c r="D93" t="inlineStr">
        <is>
          <t>11 50 00</t>
        </is>
      </c>
      <c r="E93" t="inlineStr">
        <is>
          <t>Educational and Scientific Equipment</t>
        </is>
      </c>
    </row>
    <row r="94">
      <c r="C94" t="inlineStr">
        <is>
          <t>11</t>
        </is>
      </c>
      <c r="D94" t="inlineStr">
        <is>
          <t>11 60 00</t>
        </is>
      </c>
      <c r="E94" t="inlineStr">
        <is>
          <t>Entertainment Equipment</t>
        </is>
      </c>
    </row>
    <row r="95">
      <c r="C95" t="inlineStr">
        <is>
          <t>11</t>
        </is>
      </c>
      <c r="D95" t="inlineStr">
        <is>
          <t>11 70 00</t>
        </is>
      </c>
      <c r="E95" t="inlineStr">
        <is>
          <t>Healthcare Equipment</t>
        </is>
      </c>
    </row>
    <row r="96">
      <c r="C96" t="inlineStr">
        <is>
          <t>11</t>
        </is>
      </c>
      <c r="D96" t="inlineStr">
        <is>
          <t>11 80 00</t>
        </is>
      </c>
      <c r="E96" t="inlineStr">
        <is>
          <t>Collection and Disposal Equipment</t>
        </is>
      </c>
    </row>
    <row r="97">
      <c r="C97" t="inlineStr">
        <is>
          <t>12</t>
        </is>
      </c>
      <c r="D97" t="inlineStr">
        <is>
          <t>12 10 00</t>
        </is>
      </c>
      <c r="E97" t="inlineStr">
        <is>
          <t>Art</t>
        </is>
      </c>
    </row>
    <row r="98">
      <c r="C98" t="inlineStr">
        <is>
          <t>12</t>
        </is>
      </c>
      <c r="D98" t="inlineStr">
        <is>
          <t>12 20 00</t>
        </is>
      </c>
      <c r="E98" t="inlineStr">
        <is>
          <t>Window Treatments</t>
        </is>
      </c>
    </row>
    <row r="99">
      <c r="C99" t="inlineStr">
        <is>
          <t>12</t>
        </is>
      </c>
      <c r="D99" t="inlineStr">
        <is>
          <t>12 30 00</t>
        </is>
      </c>
      <c r="E99" t="inlineStr">
        <is>
          <t>Casework</t>
        </is>
      </c>
    </row>
    <row r="100">
      <c r="C100" t="inlineStr">
        <is>
          <t>12</t>
        </is>
      </c>
      <c r="D100" t="inlineStr">
        <is>
          <t>12 40 00</t>
        </is>
      </c>
      <c r="E100" t="inlineStr">
        <is>
          <t>Furnishings and Accessories</t>
        </is>
      </c>
    </row>
    <row r="101">
      <c r="C101" t="inlineStr">
        <is>
          <t>12</t>
        </is>
      </c>
      <c r="D101" t="inlineStr">
        <is>
          <t>12 50 00</t>
        </is>
      </c>
      <c r="E101" t="inlineStr">
        <is>
          <t>Furniture</t>
        </is>
      </c>
    </row>
    <row r="102">
      <c r="C102" t="inlineStr">
        <is>
          <t>12</t>
        </is>
      </c>
      <c r="D102" t="inlineStr">
        <is>
          <t>12 60 00</t>
        </is>
      </c>
      <c r="E102" t="inlineStr">
        <is>
          <t>Multiple Seating</t>
        </is>
      </c>
    </row>
    <row r="103">
      <c r="C103" t="inlineStr">
        <is>
          <t>12</t>
        </is>
      </c>
      <c r="D103" t="inlineStr">
        <is>
          <t>12 90 00</t>
        </is>
      </c>
      <c r="E103" t="inlineStr">
        <is>
          <t>Other Furnishings</t>
        </is>
      </c>
    </row>
    <row r="104">
      <c r="C104" t="inlineStr">
        <is>
          <t>13</t>
        </is>
      </c>
      <c r="D104" t="inlineStr">
        <is>
          <t>13 10 00</t>
        </is>
      </c>
      <c r="E104" t="inlineStr">
        <is>
          <t>Special Facility Components</t>
        </is>
      </c>
    </row>
    <row r="105">
      <c r="C105" t="inlineStr">
        <is>
          <t>13</t>
        </is>
      </c>
      <c r="D105" t="inlineStr">
        <is>
          <t>13 20 00</t>
        </is>
      </c>
      <c r="E105" t="inlineStr">
        <is>
          <t>Special Purpose Rooms</t>
        </is>
      </c>
    </row>
    <row r="106">
      <c r="C106" t="inlineStr">
        <is>
          <t>13</t>
        </is>
      </c>
      <c r="D106" t="inlineStr">
        <is>
          <t>13 30 00</t>
        </is>
      </c>
      <c r="E106" t="inlineStr">
        <is>
          <t>Special Structures</t>
        </is>
      </c>
    </row>
    <row r="107">
      <c r="C107" t="inlineStr">
        <is>
          <t>13</t>
        </is>
      </c>
      <c r="D107" t="inlineStr">
        <is>
          <t>13 40 00</t>
        </is>
      </c>
      <c r="E107" t="inlineStr">
        <is>
          <t>Integrated Construction</t>
        </is>
      </c>
    </row>
    <row r="108">
      <c r="C108" t="inlineStr">
        <is>
          <t>13</t>
        </is>
      </c>
      <c r="D108" t="inlineStr">
        <is>
          <t>13 50 00</t>
        </is>
      </c>
      <c r="E108" t="inlineStr">
        <is>
          <t>Special Instrumentation</t>
        </is>
      </c>
    </row>
    <row r="109">
      <c r="C109" t="inlineStr">
        <is>
          <t>14</t>
        </is>
      </c>
      <c r="D109" t="inlineStr">
        <is>
          <t>14 10 00</t>
        </is>
      </c>
      <c r="E109" t="inlineStr">
        <is>
          <t>Dumbwaiters</t>
        </is>
      </c>
    </row>
    <row r="110">
      <c r="C110" t="inlineStr">
        <is>
          <t>14</t>
        </is>
      </c>
      <c r="D110" t="inlineStr">
        <is>
          <t>14 20 00</t>
        </is>
      </c>
      <c r="E110" t="inlineStr">
        <is>
          <t>Elevators</t>
        </is>
      </c>
    </row>
    <row r="111">
      <c r="C111" t="inlineStr">
        <is>
          <t>14</t>
        </is>
      </c>
      <c r="D111" t="inlineStr">
        <is>
          <t>14 30 00</t>
        </is>
      </c>
      <c r="E111" t="inlineStr">
        <is>
          <t>Escalators and Moving Walks</t>
        </is>
      </c>
    </row>
    <row r="112">
      <c r="C112" t="inlineStr">
        <is>
          <t>14</t>
        </is>
      </c>
      <c r="D112" t="inlineStr">
        <is>
          <t>14 40 00</t>
        </is>
      </c>
      <c r="E112" t="inlineStr">
        <is>
          <t>Lifts</t>
        </is>
      </c>
    </row>
    <row r="113">
      <c r="C113" t="inlineStr">
        <is>
          <t>14</t>
        </is>
      </c>
      <c r="D113" t="inlineStr">
        <is>
          <t>14 70 00</t>
        </is>
      </c>
      <c r="E113" t="inlineStr">
        <is>
          <t>Turntables</t>
        </is>
      </c>
    </row>
    <row r="114">
      <c r="C114" t="inlineStr">
        <is>
          <t>14</t>
        </is>
      </c>
      <c r="D114" t="inlineStr">
        <is>
          <t>14 80 00</t>
        </is>
      </c>
      <c r="E114" t="inlineStr">
        <is>
          <t>Scaffolding</t>
        </is>
      </c>
    </row>
    <row r="115">
      <c r="C115" t="inlineStr">
        <is>
          <t>14</t>
        </is>
      </c>
      <c r="D115" t="inlineStr">
        <is>
          <t>14 90 00</t>
        </is>
      </c>
      <c r="E115" t="inlineStr">
        <is>
          <t>Other Conveying Equipment</t>
        </is>
      </c>
    </row>
    <row r="116">
      <c r="C116" t="inlineStr">
        <is>
          <t>21</t>
        </is>
      </c>
      <c r="D116" t="inlineStr">
        <is>
          <t>21 10 00</t>
        </is>
      </c>
      <c r="E116" t="inlineStr">
        <is>
          <t>Water-Based Fire-Suppression Systems</t>
        </is>
      </c>
    </row>
    <row r="117">
      <c r="C117" t="inlineStr">
        <is>
          <t>21</t>
        </is>
      </c>
      <c r="D117" t="inlineStr">
        <is>
          <t>21 20 00</t>
        </is>
      </c>
      <c r="E117" t="inlineStr">
        <is>
          <t>Fire-Extinguishing Systems</t>
        </is>
      </c>
    </row>
    <row r="118">
      <c r="C118" t="inlineStr">
        <is>
          <t>21</t>
        </is>
      </c>
      <c r="D118" t="inlineStr">
        <is>
          <t>21 30 00</t>
        </is>
      </c>
      <c r="E118" t="inlineStr">
        <is>
          <t>Fire Pumps</t>
        </is>
      </c>
    </row>
    <row r="119">
      <c r="C119" t="inlineStr">
        <is>
          <t>21</t>
        </is>
      </c>
      <c r="D119" t="inlineStr">
        <is>
          <t>21 40 00</t>
        </is>
      </c>
      <c r="E119" t="inlineStr">
        <is>
          <t>Fire-Suppression Water Storage</t>
        </is>
      </c>
    </row>
    <row r="120">
      <c r="C120" t="inlineStr">
        <is>
          <t>22</t>
        </is>
      </c>
      <c r="D120" t="inlineStr">
        <is>
          <t>22 10 00</t>
        </is>
      </c>
      <c r="E120" t="inlineStr">
        <is>
          <t>Plumbing Piping and Pumps</t>
        </is>
      </c>
    </row>
    <row r="121">
      <c r="C121" t="inlineStr">
        <is>
          <t>22</t>
        </is>
      </c>
      <c r="D121" t="inlineStr">
        <is>
          <t>22 30 00</t>
        </is>
      </c>
      <c r="E121" t="inlineStr">
        <is>
          <t>Plumbing Equipment</t>
        </is>
      </c>
    </row>
    <row r="122">
      <c r="C122" t="inlineStr">
        <is>
          <t>22</t>
        </is>
      </c>
      <c r="D122" t="inlineStr">
        <is>
          <t>22 40 00</t>
        </is>
      </c>
      <c r="E122" t="inlineStr">
        <is>
          <t>Plumbing Fixtures</t>
        </is>
      </c>
    </row>
    <row r="123">
      <c r="C123" t="inlineStr">
        <is>
          <t>22</t>
        </is>
      </c>
      <c r="D123" t="inlineStr">
        <is>
          <t>22 50 00</t>
        </is>
      </c>
      <c r="E123" t="inlineStr">
        <is>
          <t>Pool and Fountain Plumbing Systems</t>
        </is>
      </c>
    </row>
    <row r="124">
      <c r="C124" t="inlineStr">
        <is>
          <t>22</t>
        </is>
      </c>
      <c r="D124" t="inlineStr">
        <is>
          <t>22 60 00</t>
        </is>
      </c>
      <c r="E124" t="inlineStr">
        <is>
          <t>Gas and Vacuum Systems for Laboratory and Healthcare Facilities</t>
        </is>
      </c>
    </row>
    <row r="125">
      <c r="C125" t="inlineStr">
        <is>
          <t>22</t>
        </is>
      </c>
      <c r="D125" t="inlineStr">
        <is>
          <t>22 70 00</t>
        </is>
      </c>
      <c r="E125" t="inlineStr">
        <is>
          <t>Off-Grade Water Storage and Distribution</t>
        </is>
      </c>
    </row>
    <row r="126">
      <c r="C126" t="inlineStr">
        <is>
          <t>23</t>
        </is>
      </c>
      <c r="D126" t="inlineStr">
        <is>
          <t>23 10 00</t>
        </is>
      </c>
      <c r="E126" t="inlineStr">
        <is>
          <t>Facility Fuel Systems</t>
        </is>
      </c>
    </row>
    <row r="127">
      <c r="C127" t="inlineStr">
        <is>
          <t>23</t>
        </is>
      </c>
      <c r="D127" t="inlineStr">
        <is>
          <t>23 20 00</t>
        </is>
      </c>
      <c r="E127" t="inlineStr">
        <is>
          <t>HVAC Piping and Pumps</t>
        </is>
      </c>
    </row>
    <row r="128">
      <c r="C128" t="inlineStr">
        <is>
          <t>23</t>
        </is>
      </c>
      <c r="D128" t="inlineStr">
        <is>
          <t>23 30 00</t>
        </is>
      </c>
      <c r="E128" t="inlineStr">
        <is>
          <t>HVAC Air Distribution</t>
        </is>
      </c>
    </row>
    <row r="129">
      <c r="C129" t="inlineStr">
        <is>
          <t>23</t>
        </is>
      </c>
      <c r="D129" t="inlineStr">
        <is>
          <t>23 40 00</t>
        </is>
      </c>
      <c r="E129" t="inlineStr">
        <is>
          <t>HVAC Air Cleaning Devices</t>
        </is>
      </c>
    </row>
    <row r="130">
      <c r="C130" t="inlineStr">
        <is>
          <t>23</t>
        </is>
      </c>
      <c r="D130" t="inlineStr">
        <is>
          <t>23 50 00</t>
        </is>
      </c>
      <c r="E130" t="inlineStr">
        <is>
          <t>Central Heating Equipment</t>
        </is>
      </c>
    </row>
    <row r="131">
      <c r="C131" t="inlineStr">
        <is>
          <t>23</t>
        </is>
      </c>
      <c r="D131" t="inlineStr">
        <is>
          <t>23 60 00</t>
        </is>
      </c>
      <c r="E131" t="inlineStr">
        <is>
          <t>Central Cooling Equipment</t>
        </is>
      </c>
    </row>
    <row r="132">
      <c r="C132" t="inlineStr">
        <is>
          <t>23</t>
        </is>
      </c>
      <c r="D132" t="inlineStr">
        <is>
          <t>23 70 00</t>
        </is>
      </c>
      <c r="E132" t="inlineStr">
        <is>
          <t>Central HVAC Equipment</t>
        </is>
      </c>
    </row>
    <row r="133">
      <c r="C133" t="inlineStr">
        <is>
          <t>23</t>
        </is>
      </c>
      <c r="D133" t="inlineStr">
        <is>
          <t>23 80 00</t>
        </is>
      </c>
      <c r="E133" t="inlineStr">
        <is>
          <t>Decentralized HVAC Equipment</t>
        </is>
      </c>
    </row>
    <row r="134">
      <c r="C134" t="inlineStr">
        <is>
          <t>25</t>
        </is>
      </c>
      <c r="D134" t="inlineStr">
        <is>
          <t>25 10 00</t>
        </is>
      </c>
      <c r="E134" t="inlineStr">
        <is>
          <t>Integrated Automation Network Equipment</t>
        </is>
      </c>
    </row>
    <row r="135">
      <c r="C135" t="inlineStr">
        <is>
          <t>25</t>
        </is>
      </c>
      <c r="D135" t="inlineStr">
        <is>
          <t>25 30 00</t>
        </is>
      </c>
      <c r="E135" t="inlineStr">
        <is>
          <t>Integrated Automation Instrumentation and Terminal Devices</t>
        </is>
      </c>
    </row>
    <row r="136">
      <c r="C136" t="inlineStr">
        <is>
          <t>25</t>
        </is>
      </c>
      <c r="D136" t="inlineStr">
        <is>
          <t>25 50 00</t>
        </is>
      </c>
      <c r="E136" t="inlineStr">
        <is>
          <t>Integrated Automation Facility Controls</t>
        </is>
      </c>
    </row>
    <row r="137">
      <c r="C137" t="inlineStr">
        <is>
          <t>26</t>
        </is>
      </c>
      <c r="D137" t="inlineStr">
        <is>
          <t>26 10 00</t>
        </is>
      </c>
      <c r="E137" t="inlineStr">
        <is>
          <t>Medium-Voltage Electrical Distribution</t>
        </is>
      </c>
    </row>
    <row r="138">
      <c r="C138" t="inlineStr">
        <is>
          <t>26</t>
        </is>
      </c>
      <c r="D138" t="inlineStr">
        <is>
          <t>26 20 00</t>
        </is>
      </c>
      <c r="E138" t="inlineStr">
        <is>
          <t>Low-Voltage Electrical Distribution</t>
        </is>
      </c>
    </row>
    <row r="139">
      <c r="C139" t="inlineStr">
        <is>
          <t>26</t>
        </is>
      </c>
      <c r="D139" t="inlineStr">
        <is>
          <t>26 30 00</t>
        </is>
      </c>
      <c r="E139" t="inlineStr">
        <is>
          <t>Facility Electrical Power Generating and Storing Equipment</t>
        </is>
      </c>
    </row>
    <row r="140">
      <c r="C140" t="inlineStr">
        <is>
          <t>26</t>
        </is>
      </c>
      <c r="D140" t="inlineStr">
        <is>
          <t>26 40 00</t>
        </is>
      </c>
      <c r="E140" t="inlineStr">
        <is>
          <t>Electrical and Cathodic Protection</t>
        </is>
      </c>
    </row>
    <row r="141">
      <c r="C141" t="inlineStr">
        <is>
          <t>26</t>
        </is>
      </c>
      <c r="D141" t="inlineStr">
        <is>
          <t>26 50 00</t>
        </is>
      </c>
      <c r="E141" t="inlineStr">
        <is>
          <t>Lighting</t>
        </is>
      </c>
    </row>
    <row r="142">
      <c r="C142" t="inlineStr">
        <is>
          <t>27</t>
        </is>
      </c>
      <c r="D142" t="inlineStr">
        <is>
          <t>27 10 00</t>
        </is>
      </c>
      <c r="E142" t="inlineStr">
        <is>
          <t>Structured Cabling</t>
        </is>
      </c>
    </row>
    <row r="143">
      <c r="C143" t="inlineStr">
        <is>
          <t>27</t>
        </is>
      </c>
      <c r="D143" t="inlineStr">
        <is>
          <t>27 20 00</t>
        </is>
      </c>
      <c r="E143" t="inlineStr">
        <is>
          <t>Data Communications</t>
        </is>
      </c>
    </row>
    <row r="144">
      <c r="C144" t="inlineStr">
        <is>
          <t>27</t>
        </is>
      </c>
      <c r="D144" t="inlineStr">
        <is>
          <t>27 30 00</t>
        </is>
      </c>
      <c r="E144" t="inlineStr">
        <is>
          <t>Voice Communications</t>
        </is>
      </c>
    </row>
    <row r="145">
      <c r="C145" t="inlineStr">
        <is>
          <t>27</t>
        </is>
      </c>
      <c r="D145" t="inlineStr">
        <is>
          <t>27 40 00</t>
        </is>
      </c>
      <c r="E145" t="inlineStr">
        <is>
          <t>Audio-Video Communications</t>
        </is>
      </c>
    </row>
    <row r="146">
      <c r="C146" t="inlineStr">
        <is>
          <t>27</t>
        </is>
      </c>
      <c r="D146" t="inlineStr">
        <is>
          <t>27 50 00</t>
        </is>
      </c>
      <c r="E146" t="inlineStr">
        <is>
          <t>Distributed Communications and Monitoring Systems</t>
        </is>
      </c>
    </row>
    <row r="147">
      <c r="C147" t="inlineStr">
        <is>
          <t>28</t>
        </is>
      </c>
      <c r="D147" t="inlineStr">
        <is>
          <t>28 10 00</t>
        </is>
      </c>
      <c r="E147" t="inlineStr">
        <is>
          <t>Access Control</t>
        </is>
      </c>
    </row>
    <row r="148">
      <c r="C148" t="inlineStr">
        <is>
          <t>28</t>
        </is>
      </c>
      <c r="D148" t="inlineStr">
        <is>
          <t>28 20 00</t>
        </is>
      </c>
      <c r="E148" t="inlineStr">
        <is>
          <t>Video Surveillance</t>
        </is>
      </c>
    </row>
    <row r="149">
      <c r="C149" t="inlineStr">
        <is>
          <t>28</t>
        </is>
      </c>
      <c r="D149" t="inlineStr">
        <is>
          <t>28 30 00</t>
        </is>
      </c>
      <c r="E149" t="inlineStr">
        <is>
          <t>Security Detection, Alarm, and Monitoring</t>
        </is>
      </c>
    </row>
    <row r="150">
      <c r="C150" t="inlineStr">
        <is>
          <t>28</t>
        </is>
      </c>
      <c r="D150" t="inlineStr">
        <is>
          <t>28 40 00</t>
        </is>
      </c>
      <c r="E150" t="inlineStr">
        <is>
          <t>Electronic Detection and Alarm</t>
        </is>
      </c>
    </row>
    <row r="151">
      <c r="C151" t="inlineStr">
        <is>
          <t>28</t>
        </is>
      </c>
      <c r="D151" t="inlineStr">
        <is>
          <t>28 50 00</t>
        </is>
      </c>
      <c r="E151" t="inlineStr">
        <is>
          <t>Specialized Systems</t>
        </is>
      </c>
    </row>
    <row r="152">
      <c r="C152" t="inlineStr">
        <is>
          <t>31</t>
        </is>
      </c>
      <c r="D152" t="inlineStr">
        <is>
          <t>31 10 00</t>
        </is>
      </c>
      <c r="E152" t="inlineStr">
        <is>
          <t>Site Clearing</t>
        </is>
      </c>
    </row>
    <row r="153">
      <c r="C153" t="inlineStr">
        <is>
          <t>31</t>
        </is>
      </c>
      <c r="D153" t="inlineStr">
        <is>
          <t>31 20 00</t>
        </is>
      </c>
      <c r="E153" t="inlineStr">
        <is>
          <t>Earth Moving</t>
        </is>
      </c>
    </row>
    <row r="154">
      <c r="C154" t="inlineStr">
        <is>
          <t>31</t>
        </is>
      </c>
      <c r="D154" t="inlineStr">
        <is>
          <t>31 30 00</t>
        </is>
      </c>
      <c r="E154" t="inlineStr">
        <is>
          <t>Earthwork Methods</t>
        </is>
      </c>
    </row>
    <row r="155">
      <c r="C155" t="inlineStr">
        <is>
          <t>31</t>
        </is>
      </c>
      <c r="D155" t="inlineStr">
        <is>
          <t>31 40 00</t>
        </is>
      </c>
      <c r="E155" t="inlineStr">
        <is>
          <t>Shoring and Underpinning</t>
        </is>
      </c>
    </row>
    <row r="156">
      <c r="C156" t="inlineStr">
        <is>
          <t>31</t>
        </is>
      </c>
      <c r="D156" t="inlineStr">
        <is>
          <t>31 50 00</t>
        </is>
      </c>
      <c r="E156" t="inlineStr">
        <is>
          <t>Excavation Support and Protection</t>
        </is>
      </c>
    </row>
    <row r="157">
      <c r="C157" t="inlineStr">
        <is>
          <t>31</t>
        </is>
      </c>
      <c r="D157" t="inlineStr">
        <is>
          <t>31 60 00</t>
        </is>
      </c>
      <c r="E157" t="inlineStr">
        <is>
          <t>Special Foundations and Load-Bearing Elements</t>
        </is>
      </c>
    </row>
    <row r="158">
      <c r="C158" t="inlineStr">
        <is>
          <t>31</t>
        </is>
      </c>
      <c r="D158" t="inlineStr">
        <is>
          <t>31 70 00</t>
        </is>
      </c>
      <c r="E158" t="inlineStr">
        <is>
          <t>Tunneling and Mining</t>
        </is>
      </c>
    </row>
    <row r="159">
      <c r="C159" t="inlineStr">
        <is>
          <t>32</t>
        </is>
      </c>
      <c r="D159" t="inlineStr">
        <is>
          <t>32 10 00</t>
        </is>
      </c>
      <c r="E159" t="inlineStr">
        <is>
          <t>Bases, Ballasts, and Paving</t>
        </is>
      </c>
    </row>
    <row r="160">
      <c r="C160" t="inlineStr">
        <is>
          <t>32</t>
        </is>
      </c>
      <c r="D160" t="inlineStr">
        <is>
          <t>32 30 00</t>
        </is>
      </c>
      <c r="E160" t="inlineStr">
        <is>
          <t>Site Improvements</t>
        </is>
      </c>
    </row>
    <row r="161">
      <c r="C161" t="inlineStr">
        <is>
          <t>32</t>
        </is>
      </c>
      <c r="D161" t="inlineStr">
        <is>
          <t>32 70 00</t>
        </is>
      </c>
      <c r="E161" t="inlineStr">
        <is>
          <t>Wetlands</t>
        </is>
      </c>
    </row>
    <row r="162">
      <c r="C162" t="inlineStr">
        <is>
          <t>32</t>
        </is>
      </c>
      <c r="D162" t="inlineStr">
        <is>
          <t>32 80 00</t>
        </is>
      </c>
      <c r="E162" t="inlineStr">
        <is>
          <t>Irrigation</t>
        </is>
      </c>
    </row>
    <row r="163">
      <c r="C163" t="inlineStr">
        <is>
          <t>32</t>
        </is>
      </c>
      <c r="D163" t="inlineStr">
        <is>
          <t>32 90 00</t>
        </is>
      </c>
      <c r="E163" t="inlineStr">
        <is>
          <t>Planting</t>
        </is>
      </c>
    </row>
    <row r="164">
      <c r="C164" t="inlineStr">
        <is>
          <t>33</t>
        </is>
      </c>
      <c r="D164" t="inlineStr">
        <is>
          <t>33 10 00</t>
        </is>
      </c>
      <c r="E164" t="inlineStr">
        <is>
          <t>Water Utilities</t>
        </is>
      </c>
    </row>
    <row r="165">
      <c r="C165" t="inlineStr">
        <is>
          <t>33</t>
        </is>
      </c>
      <c r="D165" t="inlineStr">
        <is>
          <t>33 20 00</t>
        </is>
      </c>
      <c r="E165" t="inlineStr">
        <is>
          <t>Wells</t>
        </is>
      </c>
    </row>
    <row r="166">
      <c r="C166" t="inlineStr">
        <is>
          <t>33</t>
        </is>
      </c>
      <c r="D166" t="inlineStr">
        <is>
          <t>33 30 00</t>
        </is>
      </c>
      <c r="E166" t="inlineStr">
        <is>
          <t>Sanitary Sewerage Utilities</t>
        </is>
      </c>
    </row>
    <row r="167">
      <c r="C167" t="inlineStr">
        <is>
          <t>33</t>
        </is>
      </c>
      <c r="D167" t="inlineStr">
        <is>
          <t>33 40 00</t>
        </is>
      </c>
      <c r="E167" t="inlineStr">
        <is>
          <t>Storm Drainage Utilities</t>
        </is>
      </c>
    </row>
    <row r="168">
      <c r="C168" t="inlineStr">
        <is>
          <t>33</t>
        </is>
      </c>
      <c r="D168" t="inlineStr">
        <is>
          <t>33 50 00</t>
        </is>
      </c>
      <c r="E168" t="inlineStr">
        <is>
          <t>Fuel Distribution Utilities</t>
        </is>
      </c>
    </row>
    <row r="169">
      <c r="C169" t="inlineStr">
        <is>
          <t>33</t>
        </is>
      </c>
      <c r="D169" t="inlineStr">
        <is>
          <t>33 60 00</t>
        </is>
      </c>
      <c r="E169" t="inlineStr">
        <is>
          <t>Hydronic and Steam Energy Utilities</t>
        </is>
      </c>
    </row>
    <row r="170">
      <c r="C170" t="inlineStr">
        <is>
          <t>33</t>
        </is>
      </c>
      <c r="D170" t="inlineStr">
        <is>
          <t>33 70 00</t>
        </is>
      </c>
      <c r="E170" t="inlineStr">
        <is>
          <t>Electrical Utilities</t>
        </is>
      </c>
    </row>
    <row r="171">
      <c r="C171" t="inlineStr">
        <is>
          <t>33</t>
        </is>
      </c>
      <c r="D171" t="inlineStr">
        <is>
          <t>33 80 00</t>
        </is>
      </c>
      <c r="E171" t="inlineStr">
        <is>
          <t>Communications Utilities</t>
        </is>
      </c>
    </row>
    <row r="172">
      <c r="C172" t="inlineStr">
        <is>
          <t>34</t>
        </is>
      </c>
      <c r="D172" t="inlineStr">
        <is>
          <t>34 10 00</t>
        </is>
      </c>
      <c r="E172" t="inlineStr">
        <is>
          <t>Guideways/Railways</t>
        </is>
      </c>
    </row>
    <row r="173">
      <c r="C173" t="inlineStr">
        <is>
          <t>34</t>
        </is>
      </c>
      <c r="D173" t="inlineStr">
        <is>
          <t>34 20 00</t>
        </is>
      </c>
      <c r="E173" t="inlineStr">
        <is>
          <t>Traction Power</t>
        </is>
      </c>
    </row>
    <row r="174">
      <c r="C174" t="inlineStr">
        <is>
          <t>34</t>
        </is>
      </c>
      <c r="D174" t="inlineStr">
        <is>
          <t>34 40 00</t>
        </is>
      </c>
      <c r="E174" t="inlineStr">
        <is>
          <t>Transportation Signaling and Control Equipment</t>
        </is>
      </c>
    </row>
    <row r="175">
      <c r="C175" t="inlineStr">
        <is>
          <t>34</t>
        </is>
      </c>
      <c r="D175" t="inlineStr">
        <is>
          <t>34 70 00</t>
        </is>
      </c>
      <c r="E175" t="inlineStr">
        <is>
          <t>Transportation Construction and Equipment</t>
        </is>
      </c>
    </row>
    <row r="176">
      <c r="C176" t="inlineStr">
        <is>
          <t>34</t>
        </is>
      </c>
      <c r="D176" t="inlineStr">
        <is>
          <t>34 80 00</t>
        </is>
      </c>
      <c r="E176" t="inlineStr">
        <is>
          <t>Bridges</t>
        </is>
      </c>
    </row>
    <row r="177">
      <c r="C177" t="inlineStr">
        <is>
          <t>35</t>
        </is>
      </c>
      <c r="D177" t="inlineStr">
        <is>
          <t>35 10 00</t>
        </is>
      </c>
      <c r="E177" t="inlineStr">
        <is>
          <t>Waterway and Marine Signaling and Control Equipment</t>
        </is>
      </c>
    </row>
    <row r="178">
      <c r="C178" t="inlineStr">
        <is>
          <t>35</t>
        </is>
      </c>
      <c r="D178" t="inlineStr">
        <is>
          <t>35 20 00</t>
        </is>
      </c>
      <c r="E178" t="inlineStr">
        <is>
          <t>Waterway and Marine Construction and Equipment</t>
        </is>
      </c>
    </row>
    <row r="179">
      <c r="C179" t="inlineStr">
        <is>
          <t>35</t>
        </is>
      </c>
      <c r="D179" t="inlineStr">
        <is>
          <t>35 30 00</t>
        </is>
      </c>
      <c r="E179" t="inlineStr">
        <is>
          <t>Coastal Construction</t>
        </is>
      </c>
    </row>
    <row r="180">
      <c r="C180" t="inlineStr">
        <is>
          <t>35</t>
        </is>
      </c>
      <c r="D180" t="inlineStr">
        <is>
          <t>35 40 00</t>
        </is>
      </c>
      <c r="E180" t="inlineStr">
        <is>
          <t>Waterway Construction and Equipment</t>
        </is>
      </c>
    </row>
    <row r="181">
      <c r="C181" t="inlineStr">
        <is>
          <t>35</t>
        </is>
      </c>
      <c r="D181" t="inlineStr">
        <is>
          <t>35 50 00</t>
        </is>
      </c>
      <c r="E181" t="inlineStr">
        <is>
          <t>Marine Construction and Equipment</t>
        </is>
      </c>
    </row>
    <row r="182">
      <c r="C182" t="inlineStr">
        <is>
          <t>35</t>
        </is>
      </c>
      <c r="D182" t="inlineStr">
        <is>
          <t>35 70 00</t>
        </is>
      </c>
      <c r="E182" t="inlineStr">
        <is>
          <t>Dam Construction and Equipment</t>
        </is>
      </c>
    </row>
    <row r="183">
      <c r="C183" t="inlineStr">
        <is>
          <t>40</t>
        </is>
      </c>
      <c r="D183" t="inlineStr">
        <is>
          <t>40 10 00</t>
        </is>
      </c>
      <c r="E183" t="inlineStr">
        <is>
          <t>Gas and Vapor Process Piping</t>
        </is>
      </c>
    </row>
    <row r="184">
      <c r="C184" t="inlineStr">
        <is>
          <t>40</t>
        </is>
      </c>
      <c r="D184" t="inlineStr">
        <is>
          <t>40 20 00</t>
        </is>
      </c>
      <c r="E184" t="inlineStr">
        <is>
          <t>Liquids Process Piping</t>
        </is>
      </c>
    </row>
    <row r="185">
      <c r="C185" t="inlineStr">
        <is>
          <t>40</t>
        </is>
      </c>
      <c r="D185" t="inlineStr">
        <is>
          <t>40 30 00</t>
        </is>
      </c>
      <c r="E185" t="inlineStr">
        <is>
          <t>Solid and Mixed Materials Piping and Chutes</t>
        </is>
      </c>
    </row>
    <row r="186">
      <c r="C186" t="inlineStr">
        <is>
          <t>40</t>
        </is>
      </c>
      <c r="D186" t="inlineStr">
        <is>
          <t>40 40 00</t>
        </is>
      </c>
      <c r="E186" t="inlineStr">
        <is>
          <t>Process Piping and Equipment Protection</t>
        </is>
      </c>
    </row>
    <row r="187">
      <c r="C187" t="inlineStr">
        <is>
          <t>41</t>
        </is>
      </c>
      <c r="D187" t="inlineStr">
        <is>
          <t>41 10 00</t>
        </is>
      </c>
      <c r="E187" t="inlineStr">
        <is>
          <t>Bulk Material Processing Equipment</t>
        </is>
      </c>
    </row>
    <row r="188">
      <c r="C188" t="inlineStr">
        <is>
          <t>41</t>
        </is>
      </c>
      <c r="D188" t="inlineStr">
        <is>
          <t>41 20 00</t>
        </is>
      </c>
      <c r="E188" t="inlineStr">
        <is>
          <t>Piece Material Handling Equipment</t>
        </is>
      </c>
    </row>
    <row r="189">
      <c r="C189" t="inlineStr">
        <is>
          <t>41</t>
        </is>
      </c>
      <c r="D189" t="inlineStr">
        <is>
          <t>41 30 00</t>
        </is>
      </c>
      <c r="E189" t="inlineStr">
        <is>
          <t>Manufacturing Equipment</t>
        </is>
      </c>
    </row>
    <row r="190">
      <c r="C190" t="inlineStr">
        <is>
          <t>41</t>
        </is>
      </c>
      <c r="D190" t="inlineStr">
        <is>
          <t>41 40 00</t>
        </is>
      </c>
      <c r="E190" t="inlineStr">
        <is>
          <t>Container Processing and Packaging</t>
        </is>
      </c>
    </row>
    <row r="191">
      <c r="C191" t="inlineStr">
        <is>
          <t>41</t>
        </is>
      </c>
      <c r="D191" t="inlineStr">
        <is>
          <t>41 50 00</t>
        </is>
      </c>
      <c r="E191" t="inlineStr">
        <is>
          <t>Material Storage</t>
        </is>
      </c>
    </row>
    <row r="192">
      <c r="C192" t="inlineStr">
        <is>
          <t>42</t>
        </is>
      </c>
      <c r="D192" t="inlineStr">
        <is>
          <t>42 10 00</t>
        </is>
      </c>
      <c r="E192" t="inlineStr">
        <is>
          <t>Process Heating Equipment</t>
        </is>
      </c>
    </row>
    <row r="193">
      <c r="C193" t="inlineStr">
        <is>
          <t>42</t>
        </is>
      </c>
      <c r="D193" t="inlineStr">
        <is>
          <t>42 20 00</t>
        </is>
      </c>
      <c r="E193" t="inlineStr">
        <is>
          <t>Process Cooling Equipment</t>
        </is>
      </c>
    </row>
    <row r="194">
      <c r="C194" t="inlineStr">
        <is>
          <t>42</t>
        </is>
      </c>
      <c r="D194" t="inlineStr">
        <is>
          <t>42 30 00</t>
        </is>
      </c>
      <c r="E194" t="inlineStr">
        <is>
          <t>Process Drying Equipment</t>
        </is>
      </c>
    </row>
    <row r="195">
      <c r="C195" t="inlineStr">
        <is>
          <t>43</t>
        </is>
      </c>
      <c r="D195" t="inlineStr">
        <is>
          <t>43 10 00</t>
        </is>
      </c>
      <c r="E195" t="inlineStr">
        <is>
          <t>Gas Handling Equipment</t>
        </is>
      </c>
    </row>
    <row r="196">
      <c r="C196" t="inlineStr">
        <is>
          <t>43</t>
        </is>
      </c>
      <c r="D196" t="inlineStr">
        <is>
          <t>43 20 00</t>
        </is>
      </c>
      <c r="E196" t="inlineStr">
        <is>
          <t>Liquid Handling Equipment</t>
        </is>
      </c>
    </row>
    <row r="197">
      <c r="C197" t="inlineStr">
        <is>
          <t>43</t>
        </is>
      </c>
      <c r="D197" t="inlineStr">
        <is>
          <t>43 30 00</t>
        </is>
      </c>
      <c r="E197" t="inlineStr">
        <is>
          <t>Gas and Liquid Purification Equipment</t>
        </is>
      </c>
    </row>
    <row r="198">
      <c r="C198" t="inlineStr">
        <is>
          <t>43</t>
        </is>
      </c>
      <c r="D198" t="inlineStr">
        <is>
          <t>43 40 00</t>
        </is>
      </c>
      <c r="E198" t="inlineStr">
        <is>
          <t>Gas and Liquid Storage</t>
        </is>
      </c>
    </row>
    <row r="199">
      <c r="C199" t="inlineStr">
        <is>
          <t>44</t>
        </is>
      </c>
      <c r="D199" t="inlineStr">
        <is>
          <t>44 10 00</t>
        </is>
      </c>
      <c r="E199" t="inlineStr">
        <is>
          <t>Air Pollution Control</t>
        </is>
      </c>
    </row>
    <row r="200">
      <c r="C200" t="inlineStr">
        <is>
          <t>44</t>
        </is>
      </c>
      <c r="D200" t="inlineStr">
        <is>
          <t>44 20 00</t>
        </is>
      </c>
      <c r="E200" t="inlineStr">
        <is>
          <t>Noise Pollution Control</t>
        </is>
      </c>
    </row>
    <row r="201">
      <c r="C201" t="inlineStr">
        <is>
          <t>44</t>
        </is>
      </c>
      <c r="D201" t="inlineStr">
        <is>
          <t>44 40 00</t>
        </is>
      </c>
      <c r="E201" t="inlineStr">
        <is>
          <t>Water Treatment Equipment</t>
        </is>
      </c>
    </row>
    <row r="202">
      <c r="C202" t="inlineStr">
        <is>
          <t>44</t>
        </is>
      </c>
      <c r="D202" t="inlineStr">
        <is>
          <t>44 50 00</t>
        </is>
      </c>
      <c r="E202" t="inlineStr">
        <is>
          <t>Solid Waste Control</t>
        </is>
      </c>
    </row>
    <row r="203">
      <c r="C203" t="inlineStr">
        <is>
          <t>45</t>
        </is>
      </c>
      <c r="D203" t="inlineStr">
        <is>
          <t>45 10 00</t>
        </is>
      </c>
      <c r="E203" t="inlineStr">
        <is>
          <t>Specific-Use Manufacturing Equipment</t>
        </is>
      </c>
    </row>
    <row r="204">
      <c r="C204" t="inlineStr">
        <is>
          <t>46</t>
        </is>
      </c>
      <c r="D204" t="inlineStr">
        <is>
          <t>46 20 00</t>
        </is>
      </c>
      <c r="E204" t="inlineStr">
        <is>
          <t>Water and Wastewater Preliminary Treatment Equipment</t>
        </is>
      </c>
    </row>
    <row r="205">
      <c r="C205" t="inlineStr">
        <is>
          <t>46</t>
        </is>
      </c>
      <c r="D205" t="inlineStr">
        <is>
          <t>46 30 00</t>
        </is>
      </c>
      <c r="E205" t="inlineStr">
        <is>
          <t>Water and Wastewater Chemical Feed Equipment</t>
        </is>
      </c>
    </row>
    <row r="206">
      <c r="C206" t="inlineStr">
        <is>
          <t>46</t>
        </is>
      </c>
      <c r="D206" t="inlineStr">
        <is>
          <t>46 40 00</t>
        </is>
      </c>
      <c r="E206" t="inlineStr">
        <is>
          <t>Water and Wastewater Clarification and Mixing Equipment</t>
        </is>
      </c>
    </row>
    <row r="207">
      <c r="C207" t="inlineStr">
        <is>
          <t>46</t>
        </is>
      </c>
      <c r="D207" t="inlineStr">
        <is>
          <t>46 50 00</t>
        </is>
      </c>
      <c r="E207" t="inlineStr">
        <is>
          <t>Water and Wastewater Secondary Treatment Equipment</t>
        </is>
      </c>
    </row>
    <row r="208">
      <c r="C208" t="inlineStr">
        <is>
          <t>46</t>
        </is>
      </c>
      <c r="D208" t="inlineStr">
        <is>
          <t>46 60 00</t>
        </is>
      </c>
      <c r="E208" t="inlineStr">
        <is>
          <t>Water and Wastewater Advanced Treatment Equipment</t>
        </is>
      </c>
    </row>
    <row r="209">
      <c r="C209" t="inlineStr">
        <is>
          <t>46</t>
        </is>
      </c>
      <c r="D209" t="inlineStr">
        <is>
          <t>46 70 00</t>
        </is>
      </c>
      <c r="E209" t="inlineStr">
        <is>
          <t>Water and Wastewater Residuals Handling and Treatment</t>
        </is>
      </c>
    </row>
    <row r="210">
      <c r="C210" t="inlineStr">
        <is>
          <t>46</t>
        </is>
      </c>
      <c r="D210" t="inlineStr">
        <is>
          <t>46 80 00</t>
        </is>
      </c>
      <c r="E210" t="inlineStr">
        <is>
          <t>Water and Wastewater Disinfection</t>
        </is>
      </c>
    </row>
    <row r="211">
      <c r="C211" t="inlineStr">
        <is>
          <t>48</t>
        </is>
      </c>
      <c r="D211" t="inlineStr">
        <is>
          <t>48 10 00</t>
        </is>
      </c>
      <c r="E211" t="inlineStr">
        <is>
          <t>Electrical Power Generation Equipment</t>
        </is>
      </c>
    </row>
    <row r="212">
      <c r="C212" t="inlineStr">
        <is>
          <t>48</t>
        </is>
      </c>
      <c r="D212" t="inlineStr">
        <is>
          <t>48 70 00</t>
        </is>
      </c>
      <c r="E212" t="inlineStr">
        <is>
          <t>Electrical Power Generation Testing</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2026-05-17T15:19:27Z</dcterms:created>
  <dcterms:modified xmlns:dcterms="http://purl.org/dc/terms/" xmlns:xsi="http://www.w3.org/2001/XMLSchema-instance" xsi:type="dcterms:W3CDTF">2026-05-18T21:52:00Z</dcterms:modified>
</cp:coreProperties>
</file>