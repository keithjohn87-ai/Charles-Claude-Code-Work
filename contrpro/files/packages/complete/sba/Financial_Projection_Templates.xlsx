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 Y1-Y3" sheetId="3" state="visible" r:id="rId3"/>
    <sheet xmlns:r="http://schemas.openxmlformats.org/officeDocument/2006/relationships" name="Cashflow Y1-Y3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Ratios" sheetId="6" state="visible" r:id="rId6"/>
    <sheet xmlns:r="http://schemas.openxmlformats.org/officeDocument/2006/relationships" name="Sources &amp; Uses" sheetId="7" state="visible" r:id="rId7"/>
    <sheet xmlns:r="http://schemas.openxmlformats.org/officeDocument/2006/relationships" name="Lender Summary" sheetId="8" state="visible" r:id="rId8"/>
  </sheets>
  <definedNames>
    <definedName name="ASM_Starting_monthly_revenue">Assumptions!$B$5</definedName>
    <definedName name="ASM_Monthly_revenue_growth_pct">Assumptions!$B$6</definedName>
    <definedName name="ASM_Year_2_revenue_growth">Assumptions!$B$7</definedName>
    <definedName name="ASM_Year_3_revenue_growth">Assumptions!$B$8</definedName>
    <definedName name="ASM_Direct_labor_cost_pct_of_revenue">Assumptions!$B$10</definedName>
    <definedName name="ASM_Direct_materials_pct_of_revenue">Assumptions!$B$11</definedName>
    <definedName name="ASM_Direct_subcontractor_pct_of_revenue">Assumptions!$B$12</definedName>
    <definedName name="ASM_Burden___fringes___WC_on_labor_pct">Assumptions!$B$13</definedName>
    <definedName name="ASM_Overhead_pct_of_revenue">Assumptions!$B$15</definedName>
    <definedName name="ASM_Days_Sales_Outstanding">Assumptions!$B$17</definedName>
    <definedName name="ASM_Retainage_pct_held">Assumptions!$B$18</definedName>
    <definedName name="ASM_Retainage_release_days_postcompletion">Assumptions!$B$19</definedName>
    <definedName name="ASM_Days_Payable_Outstanding">Assumptions!$B$20</definedName>
    <definedName name="ASM_Inventory_days">Assumptions!$B$21</definedName>
    <definedName name="ASM_Owner_monthly_salary___draw">Assumptions!$B$23</definedName>
    <definedName name="ASM_Nonowner_payroll_Y1">Assumptions!$B$24</definedName>
    <definedName name="ASM_Payroll_Y23_growth_pct">Assumptions!$B$25</definedName>
    <definedName name="ASM_Existing_equipment_book_value">Assumptions!$B$27</definedName>
    <definedName name="ASM_Annual_depreciation_pct">Assumptions!$B$28</definedName>
    <definedName name="ASM_New_equipment_purchase_Y1">Assumptions!$B$29</definedName>
    <definedName name="ASM_Section_179___bonus_depreciation_Y1">Assumptions!$B$30</definedName>
    <definedName name="ASM_Requested_loan_amount">Assumptions!$B$32</definedName>
    <definedName name="ASM_Interest_rate">Assumptions!$B$33</definedName>
    <definedName name="ASM_Amortization">Assumptions!$B$34</definedName>
    <definedName name="ASM_SBA_guarantee_fee_pct">Assumptions!$B$35</definedName>
    <definedName name="ASM_Owner_cash_injection_at_closing">Assumptions!$B$36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_);_(@_)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08080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0EC"/>
      </patternFill>
    </fill>
    <fill>
      <patternFill patternType="solid">
        <fgColor rgb="00FFF8DC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5" fillId="0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2" fillId="0" borderId="1" pivotButton="0" quotePrefix="0" xfId="0"/>
    <xf numFmtId="0" fontId="5" fillId="3" borderId="0" pivotButton="0" quotePrefix="0" xfId="0"/>
    <xf numFmtId="0" fontId="5" fillId="5" borderId="0" pivotButton="0" quotePrefix="0" xfId="0"/>
    <xf numFmtId="164" fontId="2" fillId="5" borderId="1" pivotButton="0" quotePrefix="0" xfId="0"/>
    <xf numFmtId="0" fontId="2" fillId="0" borderId="0" pivotButton="0" quotePrefix="0" xfId="0"/>
    <xf numFmtId="165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164" fontId="0" fillId="0" borderId="1" pivotButton="0" quotePrefix="0" xfId="0"/>
    <xf numFmtId="164" fontId="5" fillId="5" borderId="1" pivotButton="0" quotePrefix="0" xfId="0"/>
    <xf numFmtId="4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FINANCIAL PROJECTION TEMPLATES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A 3-year financial projection workbook formatted to SBA loan-officer expectations,</t>
        </is>
      </c>
    </row>
    <row r="6">
      <c r="A6" s="2" t="inlineStr">
        <is>
          <t>tuned for construction-industry realities (work-in-progress accounting, retainage</t>
        </is>
      </c>
    </row>
    <row r="7">
      <c r="A7" s="2" t="inlineStr">
        <is>
          <t>receivables, progress billing, equipment-heavy depreciation). Designed so a contractor</t>
        </is>
      </c>
    </row>
    <row r="8">
      <c r="A8" s="2" t="inlineStr">
        <is>
          <t>can fill in the ONE assumptions tab and have a complete projection package ready for</t>
        </is>
      </c>
    </row>
    <row r="9">
      <c r="A9" s="2" t="inlineStr">
        <is>
          <t>an SBA 7(a) / 504 / Express loan application.</t>
        </is>
      </c>
    </row>
    <row r="10">
      <c r="A10" s="2" t="inlineStr"/>
    </row>
    <row r="11">
      <c r="A11" s="3" t="inlineStr">
        <is>
          <t>WORKFLOW</t>
        </is>
      </c>
    </row>
    <row r="12">
      <c r="A12" s="2" t="inlineStr">
        <is>
          <t xml:space="preserve">  1. Open the ASSUMPTIONS tab. Fill every CREAM-colored input cell.</t>
        </is>
      </c>
    </row>
    <row r="13">
      <c r="A13" s="2" t="inlineStr">
        <is>
          <t xml:space="preserve">     - Starting revenue + monthly growth rate</t>
        </is>
      </c>
    </row>
    <row r="14">
      <c r="A14" s="2" t="inlineStr">
        <is>
          <t xml:space="preserve">     - Direct cost ratio (labor + materials as % of revenue)</t>
        </is>
      </c>
    </row>
    <row r="15">
      <c r="A15" s="2" t="inlineStr">
        <is>
          <t xml:space="preserve">     - Indirect cost ratio (overhead)</t>
        </is>
      </c>
    </row>
    <row r="16">
      <c r="A16" s="2" t="inlineStr">
        <is>
          <t xml:space="preserve">     - Working capital cycle (DSO, retainage days)</t>
        </is>
      </c>
    </row>
    <row r="17">
      <c r="A17" s="2" t="inlineStr">
        <is>
          <t xml:space="preserve">     - Equipment + depreciation</t>
        </is>
      </c>
    </row>
    <row r="18">
      <c r="A18" s="2" t="inlineStr">
        <is>
          <t xml:space="preserve">     - Owner draw + payroll structure</t>
        </is>
      </c>
    </row>
    <row r="19">
      <c r="A19" s="2" t="inlineStr">
        <is>
          <t xml:space="preserve">     - SBA loan terms (size, rate, amortization)</t>
        </is>
      </c>
    </row>
    <row r="20">
      <c r="A20" s="2" t="inlineStr">
        <is>
          <t xml:space="preserve">  2. The P&amp;L, Cashflow, Balance Sheet, and Ratios tabs auto-populate from Assumptions.</t>
        </is>
      </c>
    </row>
    <row r="21">
      <c r="A21" s="2" t="inlineStr">
        <is>
          <t xml:space="preserve">  3. The SBA Sources &amp; Uses tab shows where the loan money goes (working capital,</t>
        </is>
      </c>
    </row>
    <row r="22">
      <c r="A22" s="2" t="inlineStr">
        <is>
          <t xml:space="preserve">     equipment, refinance, owner cash injection).</t>
        </is>
      </c>
    </row>
    <row r="23">
      <c r="A23" s="2" t="inlineStr">
        <is>
          <t xml:space="preserve">  4. The Lender Submission Summary tab is the 1-page roll-up most loan officers ask</t>
        </is>
      </c>
    </row>
    <row r="24">
      <c r="A24" s="2" t="inlineStr">
        <is>
          <t xml:space="preserve">     for upfront — copy/paste or print directly.</t>
        </is>
      </c>
    </row>
    <row r="25">
      <c r="A25" s="2" t="inlineStr"/>
    </row>
    <row r="26">
      <c r="A26" s="3" t="inlineStr">
        <is>
          <t>INPUT-CELL CONVENTION</t>
        </is>
      </c>
    </row>
    <row r="27">
      <c r="A27" s="2" t="inlineStr">
        <is>
          <t xml:space="preserve">  • CREAM-fill cells = your inputs.</t>
        </is>
      </c>
    </row>
    <row r="28">
      <c r="A28" s="2" t="inlineStr">
        <is>
          <t xml:space="preserve">  • BLUE-fill cells = computed (do NOT overwrite — they reference Assumptions).</t>
        </is>
      </c>
    </row>
    <row r="29">
      <c r="A29" s="2" t="inlineStr">
        <is>
          <t xml:space="preserve">  • GOLD-fill cells = key totals + final numbers.</t>
        </is>
      </c>
    </row>
    <row r="30">
      <c r="A30" s="2" t="inlineStr"/>
    </row>
    <row r="31">
      <c r="A31" s="3" t="inlineStr">
        <is>
          <t>CONSTRUCTION INDUSTRY NOTES</t>
        </is>
      </c>
    </row>
    <row r="32">
      <c r="A32" s="2" t="inlineStr">
        <is>
          <t xml:space="preserve">  • Work-in-progress (WIP) handling: revenue recognized as billings-to-date; the WIP</t>
        </is>
      </c>
    </row>
    <row r="33">
      <c r="A33" s="2" t="inlineStr">
        <is>
          <t xml:space="preserve">    asset captures over-billings / under-billings differential. Many lenders want to</t>
        </is>
      </c>
    </row>
    <row r="34">
      <c r="A34" s="2" t="inlineStr">
        <is>
          <t xml:space="preserve">    see WIP explicitly when underwriting a contractor.</t>
        </is>
      </c>
    </row>
    <row r="35">
      <c r="A35" s="2" t="inlineStr">
        <is>
          <t xml:space="preserve">  • Retainage: receivable held by the GC/owner — typically 5-10%, released at</t>
        </is>
      </c>
    </row>
    <row r="36">
      <c r="A36" s="2" t="inlineStr">
        <is>
          <t xml:space="preserve">    substantial completion (commercial) or final inspection (residential). Long</t>
        </is>
      </c>
    </row>
    <row r="37">
      <c r="A37" s="2" t="inlineStr">
        <is>
          <t xml:space="preserve">    receivable tail explains why contractors need working capital.</t>
        </is>
      </c>
    </row>
    <row r="38">
      <c r="A38" s="2" t="inlineStr">
        <is>
          <t xml:space="preserve">  • Equipment depreciation: Section 179 + bonus depreciation can swing first-year</t>
        </is>
      </c>
    </row>
    <row r="39">
      <c r="A39" s="2" t="inlineStr">
        <is>
          <t xml:space="preserve">    P&amp;L significantly. The workbook lets you toggle 'aggressive' vs 'straight-line'</t>
        </is>
      </c>
    </row>
    <row r="40">
      <c r="A40" s="2" t="inlineStr">
        <is>
          <t xml:space="preserve">    depreciation to see both pictures.</t>
        </is>
      </c>
    </row>
    <row r="41">
      <c r="A41" s="2" t="inlineStr">
        <is>
          <t xml:space="preserve">  • Cashflow vs P&amp;L divergence: progress billing means cash often lags or leads</t>
        </is>
      </c>
    </row>
    <row r="42">
      <c r="A42" s="2" t="inlineStr">
        <is>
          <t xml:space="preserve">    profit recognition — the Cashflow tab captures this gap explicitly.</t>
        </is>
      </c>
    </row>
    <row r="43">
      <c r="A43" s="2" t="inlineStr"/>
    </row>
    <row r="44">
      <c r="A44" s="3" t="inlineStr">
        <is>
          <t>WHAT THIS WORKBOOK DOES NOT DO</t>
        </is>
      </c>
    </row>
    <row r="45">
      <c r="A45" s="2" t="inlineStr">
        <is>
          <t xml:space="preserve">  • Tax planning (consult your CPA for entity selection, S-Corp election timing,</t>
        </is>
      </c>
    </row>
    <row r="46">
      <c r="A46" s="2" t="inlineStr">
        <is>
          <t xml:space="preserve">    Section 179 strategy).</t>
        </is>
      </c>
    </row>
    <row r="47">
      <c r="A47" s="2" t="inlineStr">
        <is>
          <t xml:space="preserve">  • Job-level cost accounting (this is for the BUSINESS-level projection — you'd</t>
        </is>
      </c>
    </row>
    <row r="48">
      <c r="A48" s="2" t="inlineStr">
        <is>
          <t xml:space="preserve">    still need job-cost in QuickBooks / Sage / Foundation for individual jobs).</t>
        </is>
      </c>
    </row>
    <row r="49">
      <c r="A49" s="2" t="inlineStr">
        <is>
          <t xml:space="preserve">  • Replace your CPA-prepared / reviewed financials at higher loan thresholds.</t>
        </is>
      </c>
    </row>
    <row r="50">
      <c r="A50" s="2" t="inlineStr"/>
    </row>
    <row r="51">
      <c r="A51" s="3" t="inlineStr">
        <is>
          <t>DOCUMENT VERSION</t>
        </is>
      </c>
    </row>
    <row r="52">
      <c r="A52" s="2" t="inlineStr">
        <is>
          <t>Financial_Projection_Templates.xlsx v1.0 — 2026-05-19</t>
        </is>
      </c>
    </row>
    <row r="53">
      <c r="A53" s="2" t="inlineStr">
        <is>
          <t>ContrPro Complete Tier · SBA Bonus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0" customWidth="1" min="3" max="3"/>
  </cols>
  <sheetData>
    <row r="1">
      <c r="A1" s="1" t="inlineStr">
        <is>
          <t>ASSUMPTIONS — fill every CREAM cell</t>
        </is>
      </c>
    </row>
    <row r="3" ht="26" customHeight="1">
      <c r="A3" s="4" t="inlineStr">
        <is>
          <t>Assumption</t>
        </is>
      </c>
      <c r="B3" s="4" t="inlineStr">
        <is>
          <t>Value</t>
        </is>
      </c>
      <c r="C3" s="4" t="inlineStr">
        <is>
          <t>Notes</t>
        </is>
      </c>
    </row>
    <row r="4">
      <c r="A4" s="5" t="inlineStr">
        <is>
          <t>--- REVENUE ---</t>
        </is>
      </c>
    </row>
    <row r="5">
      <c r="A5" s="6" t="inlineStr">
        <is>
          <t>Starting monthly revenue (M1)</t>
        </is>
      </c>
      <c r="B5" s="7" t="n">
        <v>50000</v>
      </c>
      <c r="C5" s="8" t="inlineStr">
        <is>
          <t>Your current run-rate or first month projected</t>
        </is>
      </c>
    </row>
    <row r="6">
      <c r="A6" s="6" t="inlineStr">
        <is>
          <t>Monthly revenue growth %</t>
        </is>
      </c>
      <c r="B6" s="9" t="n">
        <v>0.03</v>
      </c>
      <c r="C6" s="8" t="inlineStr">
        <is>
          <t>3%/mo = ~43%/yr compounded; tune to your reality</t>
        </is>
      </c>
    </row>
    <row r="7">
      <c r="A7" s="6" t="inlineStr">
        <is>
          <t>Year 2 revenue growth (annualized)</t>
        </is>
      </c>
      <c r="B7" s="9" t="n">
        <v>0.2</v>
      </c>
      <c r="C7" s="8" t="inlineStr">
        <is>
          <t>Slower in Y2 as you stabilize</t>
        </is>
      </c>
    </row>
    <row r="8">
      <c r="A8" s="6" t="inlineStr">
        <is>
          <t>Year 3 revenue growth (annualized)</t>
        </is>
      </c>
      <c r="B8" s="9" t="n">
        <v>0.15</v>
      </c>
      <c r="C8" s="8" t="inlineStr">
        <is>
          <t>Maturing growth</t>
        </is>
      </c>
    </row>
    <row r="9">
      <c r="A9" s="5" t="inlineStr">
        <is>
          <t>--- COST STRUCTURE ---</t>
        </is>
      </c>
    </row>
    <row r="10">
      <c r="A10" s="6" t="inlineStr">
        <is>
          <t>Direct labor cost % of revenue</t>
        </is>
      </c>
      <c r="B10" s="9" t="n">
        <v>0.3</v>
      </c>
      <c r="C10" s="8" t="inlineStr">
        <is>
          <t>Field crews + foremen labor</t>
        </is>
      </c>
    </row>
    <row r="11">
      <c r="A11" s="6" t="inlineStr">
        <is>
          <t>Direct materials % of revenue</t>
        </is>
      </c>
      <c r="B11" s="9" t="n">
        <v>0.32</v>
      </c>
      <c r="C11" s="8" t="inlineStr">
        <is>
          <t>Materials passed through to job</t>
        </is>
      </c>
    </row>
    <row r="12">
      <c r="A12" s="6" t="inlineStr">
        <is>
          <t>Direct subcontractor % of revenue</t>
        </is>
      </c>
      <c r="B12" s="9" t="n">
        <v>0.05</v>
      </c>
      <c r="C12" s="8" t="inlineStr">
        <is>
          <t>Subbed-out scopes</t>
        </is>
      </c>
    </row>
    <row r="13">
      <c r="A13" s="6" t="inlineStr">
        <is>
          <t>Burden / fringes / WC on labor %</t>
        </is>
      </c>
      <c r="B13" s="9" t="n">
        <v>0.35</v>
      </c>
      <c r="C13" s="8" t="inlineStr">
        <is>
          <t>On direct labor</t>
        </is>
      </c>
    </row>
    <row r="14">
      <c r="A14" s="6" t="inlineStr">
        <is>
          <t>Overhead % of revenue (Y1)</t>
        </is>
      </c>
      <c r="B14" s="9" t="n">
        <v>0.18</v>
      </c>
      <c r="C14" s="8" t="inlineStr">
        <is>
          <t>Office, insurance, owner+PM salaries</t>
        </is>
      </c>
    </row>
    <row r="15">
      <c r="A15" s="6" t="inlineStr">
        <is>
          <t>Overhead % of revenue (Y2-3)</t>
        </is>
      </c>
      <c r="B15" s="9" t="n">
        <v>0.15</v>
      </c>
      <c r="C15" s="8" t="inlineStr">
        <is>
          <t>Scales down as revenue grows</t>
        </is>
      </c>
    </row>
    <row r="16">
      <c r="A16" s="5" t="inlineStr">
        <is>
          <t>--- WORKING CAPITAL ---</t>
        </is>
      </c>
    </row>
    <row r="17">
      <c r="A17" s="6" t="inlineStr">
        <is>
          <t>Days Sales Outstanding (DSO)</t>
        </is>
      </c>
      <c r="B17" s="10" t="n">
        <v>60</v>
      </c>
      <c r="C17" s="8" t="inlineStr">
        <is>
          <t>Pay-app cycle (30 days net + 30 days slip = 60)</t>
        </is>
      </c>
    </row>
    <row r="18">
      <c r="A18" s="6" t="inlineStr">
        <is>
          <t>Retainage % held</t>
        </is>
      </c>
      <c r="B18" s="9" t="n">
        <v>0.05</v>
      </c>
      <c r="C18" s="8" t="inlineStr">
        <is>
          <t>5-10% typical; commercial higher than residential</t>
        </is>
      </c>
    </row>
    <row r="19">
      <c r="A19" s="6" t="inlineStr">
        <is>
          <t>Retainage release days post-completion</t>
        </is>
      </c>
      <c r="B19" s="10" t="n">
        <v>60</v>
      </c>
      <c r="C19" s="8" t="inlineStr">
        <is>
          <t>Time from sub-completion to retainage check</t>
        </is>
      </c>
    </row>
    <row r="20">
      <c r="A20" s="6" t="inlineStr">
        <is>
          <t>Days Payable Outstanding (DPO)</t>
        </is>
      </c>
      <c r="B20" s="10" t="n">
        <v>35</v>
      </c>
      <c r="C20" s="8" t="inlineStr">
        <is>
          <t>How long you stretch suppliers</t>
        </is>
      </c>
    </row>
    <row r="21">
      <c r="A21" s="6" t="inlineStr">
        <is>
          <t>Inventory days</t>
        </is>
      </c>
      <c r="B21" s="10" t="n">
        <v>12</v>
      </c>
      <c r="C21" s="8" t="inlineStr">
        <is>
          <t>Materials staged before install</t>
        </is>
      </c>
    </row>
    <row r="22">
      <c r="A22" s="5" t="inlineStr">
        <is>
          <t>--- OWNER + PAYROLL ---</t>
        </is>
      </c>
    </row>
    <row r="23">
      <c r="A23" s="6" t="inlineStr">
        <is>
          <t>Owner monthly salary / draw</t>
        </is>
      </c>
      <c r="B23" s="7" t="n">
        <v>8000</v>
      </c>
      <c r="C23" s="8" t="inlineStr">
        <is>
          <t>S-Corp salary or LLC owner draw</t>
        </is>
      </c>
    </row>
    <row r="24">
      <c r="A24" s="6" t="inlineStr">
        <is>
          <t>Non-owner payroll Y1 (annual)</t>
        </is>
      </c>
      <c r="B24" s="7" t="n">
        <v>180000</v>
      </c>
      <c r="C24" s="8" t="inlineStr">
        <is>
          <t>Sum of all non-owner W-2 wages</t>
        </is>
      </c>
    </row>
    <row r="25">
      <c r="A25" s="6" t="inlineStr">
        <is>
          <t>Payroll Y2-3 growth %</t>
        </is>
      </c>
      <c r="B25" s="9" t="n">
        <v>0.1</v>
      </c>
      <c r="C25" s="8" t="inlineStr">
        <is>
          <t>Add staff as revenue grows</t>
        </is>
      </c>
    </row>
    <row r="26">
      <c r="A26" s="5" t="inlineStr">
        <is>
          <t>--- EQUIPMENT ---</t>
        </is>
      </c>
    </row>
    <row r="27">
      <c r="A27" s="6" t="inlineStr">
        <is>
          <t>Existing equipment book value</t>
        </is>
      </c>
      <c r="B27" s="7" t="n">
        <v>75000</v>
      </c>
      <c r="C27" s="8" t="inlineStr">
        <is>
          <t>Trucks + tools + heavy equipment</t>
        </is>
      </c>
    </row>
    <row r="28">
      <c r="A28" s="6" t="inlineStr">
        <is>
          <t>Annual depreciation % (avg)</t>
        </is>
      </c>
      <c r="B28" s="9" t="n">
        <v>0.2</v>
      </c>
      <c r="C28" s="8" t="inlineStr">
        <is>
          <t>5-yr MACRS-ish; vehicles + light equipment</t>
        </is>
      </c>
    </row>
    <row r="29">
      <c r="A29" s="6" t="inlineStr">
        <is>
          <t>New equipment purchase Y1</t>
        </is>
      </c>
      <c r="B29" s="7" t="n">
        <v>50000</v>
      </c>
      <c r="C29" s="8" t="inlineStr">
        <is>
          <t>Major purchases in next 12 months</t>
        </is>
      </c>
    </row>
    <row r="30">
      <c r="A30" s="6" t="inlineStr">
        <is>
          <t>Section 179 / bonus depreciation Y1?</t>
        </is>
      </c>
      <c r="B30" s="11" t="inlineStr">
        <is>
          <t>Y</t>
        </is>
      </c>
      <c r="C30" s="8" t="inlineStr">
        <is>
          <t>Y = expense full purchase in Y1; N = depreciate</t>
        </is>
      </c>
    </row>
    <row r="31">
      <c r="A31" s="5" t="inlineStr">
        <is>
          <t>--- SBA LOAN ---</t>
        </is>
      </c>
    </row>
    <row r="32">
      <c r="A32" s="6" t="inlineStr">
        <is>
          <t>Requested loan amount</t>
        </is>
      </c>
      <c r="B32" s="7" t="n">
        <v>250000</v>
      </c>
      <c r="C32" s="8" t="inlineStr">
        <is>
          <t>Working capital + equipment combined</t>
        </is>
      </c>
    </row>
    <row r="33">
      <c r="A33" s="6" t="inlineStr">
        <is>
          <t>Interest rate (annual)</t>
        </is>
      </c>
      <c r="B33" s="9" t="n">
        <v>0.105</v>
      </c>
      <c r="C33" s="8" t="inlineStr">
        <is>
          <t>SBA 7(a) recent range = WSJ Prime + 1.5-2.75%</t>
        </is>
      </c>
    </row>
    <row r="34">
      <c r="A34" s="6" t="inlineStr">
        <is>
          <t>Amortization (months)</t>
        </is>
      </c>
      <c r="B34" s="10" t="n">
        <v>84</v>
      </c>
      <c r="C34" s="8" t="inlineStr">
        <is>
          <t>84 mo (7 yr) for WC; 240 mo (20 yr) for real estate</t>
        </is>
      </c>
    </row>
    <row r="35">
      <c r="A35" s="6" t="inlineStr">
        <is>
          <t>SBA guarantee fee %</t>
        </is>
      </c>
      <c r="B35" s="9" t="n">
        <v>0.029</v>
      </c>
      <c r="C35" s="8" t="inlineStr">
        <is>
          <t>Lender adds this for 7(a) loans &gt; $150K</t>
        </is>
      </c>
    </row>
    <row r="36">
      <c r="A36" s="6" t="inlineStr">
        <is>
          <t>Owner cash injection at closing</t>
        </is>
      </c>
      <c r="B36" s="7" t="n">
        <v>25000</v>
      </c>
      <c r="C36" s="8" t="inlineStr">
        <is>
          <t>Lender typically requires 10% equity</t>
        </is>
      </c>
    </row>
  </sheetData>
  <mergeCells count="7">
    <mergeCell ref="A1:C1"/>
    <mergeCell ref="A31:C31"/>
    <mergeCell ref="A22:C22"/>
    <mergeCell ref="A9:C9"/>
    <mergeCell ref="A4:C4"/>
    <mergeCell ref="A26:C26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PROFIT &amp; LOSS — Year 1 monthly + Year 2/Year 3 annual</t>
        </is>
      </c>
    </row>
    <row r="3" ht="26" customHeight="1">
      <c r="A3" s="4" t="inlineStr">
        <is>
          <t>Item</t>
        </is>
      </c>
      <c r="B3" s="4" t="inlineStr">
        <is>
          <t>M1</t>
        </is>
      </c>
      <c r="C3" s="4" t="inlineStr">
        <is>
          <t>M2</t>
        </is>
      </c>
      <c r="D3" s="4" t="inlineStr">
        <is>
          <t>M3</t>
        </is>
      </c>
      <c r="E3" s="4" t="inlineStr">
        <is>
          <t>M4</t>
        </is>
      </c>
      <c r="F3" s="4" t="inlineStr">
        <is>
          <t>M5</t>
        </is>
      </c>
      <c r="G3" s="4" t="inlineStr">
        <is>
          <t>M6</t>
        </is>
      </c>
      <c r="H3" s="4" t="inlineStr">
        <is>
          <t>M7</t>
        </is>
      </c>
      <c r="I3" s="4" t="inlineStr">
        <is>
          <t>M8</t>
        </is>
      </c>
      <c r="J3" s="4" t="inlineStr">
        <is>
          <t>M9</t>
        </is>
      </c>
      <c r="K3" s="4" t="inlineStr">
        <is>
          <t>M10</t>
        </is>
      </c>
      <c r="L3" s="4" t="inlineStr">
        <is>
          <t>M11</t>
        </is>
      </c>
      <c r="M3" s="4" t="inlineStr">
        <is>
          <t>M12</t>
        </is>
      </c>
      <c r="N3" s="4" t="inlineStr">
        <is>
          <t>Y1 Total</t>
        </is>
      </c>
      <c r="O3" s="4" t="inlineStr">
        <is>
          <t>Y2 Total</t>
        </is>
      </c>
      <c r="P3" s="4" t="inlineStr">
        <is>
          <t>Y3 Total</t>
        </is>
      </c>
    </row>
    <row r="4">
      <c r="A4" s="5" t="inlineStr">
        <is>
          <t>REVENUE</t>
        </is>
      </c>
    </row>
    <row r="5">
      <c r="A5" s="12" t="inlineStr">
        <is>
          <t>Revenue</t>
        </is>
      </c>
      <c r="B5" s="13">
        <f>Assumptions!$B$5</f>
        <v/>
      </c>
      <c r="C5" s="13">
        <f>B5*(1+Assumptions!$B$6)</f>
        <v/>
      </c>
      <c r="D5" s="13">
        <f>C5*(1+Assumptions!$B$6)</f>
        <v/>
      </c>
      <c r="E5" s="13">
        <f>D5*(1+Assumptions!$B$6)</f>
        <v/>
      </c>
      <c r="F5" s="13">
        <f>E5*(1+Assumptions!$B$6)</f>
        <v/>
      </c>
      <c r="G5" s="13">
        <f>F5*(1+Assumptions!$B$6)</f>
        <v/>
      </c>
      <c r="H5" s="13">
        <f>G5*(1+Assumptions!$B$6)</f>
        <v/>
      </c>
      <c r="I5" s="13">
        <f>H5*(1+Assumptions!$B$6)</f>
        <v/>
      </c>
      <c r="J5" s="13">
        <f>I5*(1+Assumptions!$B$6)</f>
        <v/>
      </c>
      <c r="K5" s="13">
        <f>J5*(1+Assumptions!$B$6)</f>
        <v/>
      </c>
      <c r="L5" s="13">
        <f>K5*(1+Assumptions!$B$6)</f>
        <v/>
      </c>
      <c r="M5" s="13">
        <f>L5*(1+Assumptions!$B$6)</f>
        <v/>
      </c>
      <c r="N5" s="13">
        <f>SUM(B5:M5)</f>
        <v/>
      </c>
      <c r="O5" s="13">
        <f>N5*(1+Assumptions!$B$7)</f>
        <v/>
      </c>
      <c r="P5" s="13">
        <f>O5*(1+Assumptions!$B$8)</f>
        <v/>
      </c>
    </row>
    <row r="7">
      <c r="A7" s="5" t="inlineStr">
        <is>
          <t>DIRECT COSTS</t>
        </is>
      </c>
    </row>
    <row r="8">
      <c r="A8" s="12" t="inlineStr">
        <is>
          <t>Direct labor</t>
        </is>
      </c>
      <c r="B8" s="13">
        <f>B5*Assumptions!$B$11</f>
        <v/>
      </c>
      <c r="C8" s="13">
        <f>C5*Assumptions!$B$11</f>
        <v/>
      </c>
      <c r="D8" s="13">
        <f>D5*Assumptions!$B$11</f>
        <v/>
      </c>
      <c r="E8" s="13">
        <f>E5*Assumptions!$B$11</f>
        <v/>
      </c>
      <c r="F8" s="13">
        <f>F5*Assumptions!$B$11</f>
        <v/>
      </c>
      <c r="G8" s="13">
        <f>G5*Assumptions!$B$11</f>
        <v/>
      </c>
      <c r="H8" s="13">
        <f>H5*Assumptions!$B$11</f>
        <v/>
      </c>
      <c r="I8" s="13">
        <f>I5*Assumptions!$B$11</f>
        <v/>
      </c>
      <c r="J8" s="13">
        <f>J5*Assumptions!$B$11</f>
        <v/>
      </c>
      <c r="K8" s="13">
        <f>K5*Assumptions!$B$11</f>
        <v/>
      </c>
      <c r="L8" s="13">
        <f>L5*Assumptions!$B$11</f>
        <v/>
      </c>
      <c r="M8" s="13">
        <f>M5*Assumptions!$B$11</f>
        <v/>
      </c>
      <c r="N8" s="13">
        <f>SUM(B8:M8)</f>
        <v/>
      </c>
      <c r="O8" s="13">
        <f>O5*Assumptions!$B$11</f>
        <v/>
      </c>
      <c r="P8" s="13">
        <f>P5*Assumptions!$B$11</f>
        <v/>
      </c>
    </row>
    <row r="9">
      <c r="A9" s="12" t="inlineStr">
        <is>
          <t>Burden on labor</t>
        </is>
      </c>
      <c r="B9" s="13">
        <f>B8*Assumptions!$B$14</f>
        <v/>
      </c>
      <c r="C9" s="13">
        <f>C8*Assumptions!$B$14</f>
        <v/>
      </c>
      <c r="D9" s="13">
        <f>D8*Assumptions!$B$14</f>
        <v/>
      </c>
      <c r="E9" s="13">
        <f>E8*Assumptions!$B$14</f>
        <v/>
      </c>
      <c r="F9" s="13">
        <f>F8*Assumptions!$B$14</f>
        <v/>
      </c>
      <c r="G9" s="13">
        <f>G8*Assumptions!$B$14</f>
        <v/>
      </c>
      <c r="H9" s="13">
        <f>H8*Assumptions!$B$14</f>
        <v/>
      </c>
      <c r="I9" s="13">
        <f>I8*Assumptions!$B$14</f>
        <v/>
      </c>
      <c r="J9" s="13">
        <f>J8*Assumptions!$B$14</f>
        <v/>
      </c>
      <c r="K9" s="13">
        <f>K8*Assumptions!$B$14</f>
        <v/>
      </c>
      <c r="L9" s="13">
        <f>L8*Assumptions!$B$14</f>
        <v/>
      </c>
      <c r="M9" s="13">
        <f>M8*Assumptions!$B$14</f>
        <v/>
      </c>
      <c r="N9" s="13">
        <f>SUM(B9:M9)</f>
        <v/>
      </c>
      <c r="O9" s="13">
        <f>O8*Assumptions!$B$14</f>
        <v/>
      </c>
      <c r="P9" s="13">
        <f>P8*Assumptions!$B$14</f>
        <v/>
      </c>
    </row>
    <row r="10">
      <c r="A10" s="12" t="inlineStr">
        <is>
          <t>Direct materials</t>
        </is>
      </c>
      <c r="B10" s="13">
        <f>B5*Assumptions!$B$12</f>
        <v/>
      </c>
      <c r="C10" s="13">
        <f>C5*Assumptions!$B$12</f>
        <v/>
      </c>
      <c r="D10" s="13">
        <f>D5*Assumptions!$B$12</f>
        <v/>
      </c>
      <c r="E10" s="13">
        <f>E5*Assumptions!$B$12</f>
        <v/>
      </c>
      <c r="F10" s="13">
        <f>F5*Assumptions!$B$12</f>
        <v/>
      </c>
      <c r="G10" s="13">
        <f>G5*Assumptions!$B$12</f>
        <v/>
      </c>
      <c r="H10" s="13">
        <f>H5*Assumptions!$B$12</f>
        <v/>
      </c>
      <c r="I10" s="13">
        <f>I5*Assumptions!$B$12</f>
        <v/>
      </c>
      <c r="J10" s="13">
        <f>J5*Assumptions!$B$12</f>
        <v/>
      </c>
      <c r="K10" s="13">
        <f>K5*Assumptions!$B$12</f>
        <v/>
      </c>
      <c r="L10" s="13">
        <f>L5*Assumptions!$B$12</f>
        <v/>
      </c>
      <c r="M10" s="13">
        <f>M5*Assumptions!$B$12</f>
        <v/>
      </c>
      <c r="N10" s="13">
        <f>SUM(B10:M10)</f>
        <v/>
      </c>
      <c r="O10" s="13">
        <f>O5*Assumptions!$B$12</f>
        <v/>
      </c>
      <c r="P10" s="13">
        <f>P5*Assumptions!$B$12</f>
        <v/>
      </c>
    </row>
    <row r="11">
      <c r="A11" s="12" t="inlineStr">
        <is>
          <t>Direct subs</t>
        </is>
      </c>
      <c r="B11" s="13">
        <f>B5*Assumptions!$B$13</f>
        <v/>
      </c>
      <c r="C11" s="13">
        <f>C5*Assumptions!$B$13</f>
        <v/>
      </c>
      <c r="D11" s="13">
        <f>D5*Assumptions!$B$13</f>
        <v/>
      </c>
      <c r="E11" s="13">
        <f>E5*Assumptions!$B$13</f>
        <v/>
      </c>
      <c r="F11" s="13">
        <f>F5*Assumptions!$B$13</f>
        <v/>
      </c>
      <c r="G11" s="13">
        <f>G5*Assumptions!$B$13</f>
        <v/>
      </c>
      <c r="H11" s="13">
        <f>H5*Assumptions!$B$13</f>
        <v/>
      </c>
      <c r="I11" s="13">
        <f>I5*Assumptions!$B$13</f>
        <v/>
      </c>
      <c r="J11" s="13">
        <f>J5*Assumptions!$B$13</f>
        <v/>
      </c>
      <c r="K11" s="13">
        <f>K5*Assumptions!$B$13</f>
        <v/>
      </c>
      <c r="L11" s="13">
        <f>L5*Assumptions!$B$13</f>
        <v/>
      </c>
      <c r="M11" s="13">
        <f>M5*Assumptions!$B$13</f>
        <v/>
      </c>
      <c r="N11" s="13">
        <f>SUM(B11:M11)</f>
        <v/>
      </c>
      <c r="O11" s="13">
        <f>O5*Assumptions!$B$13</f>
        <v/>
      </c>
      <c r="P11" s="13">
        <f>P5*Assumptions!$B$13</f>
        <v/>
      </c>
    </row>
    <row r="12">
      <c r="A12" s="14" t="inlineStr">
        <is>
          <t>Total direct costs</t>
        </is>
      </c>
      <c r="B12" s="13">
        <f>B8+B9+B10+B11</f>
        <v/>
      </c>
      <c r="C12" s="13">
        <f>C8+C9+C10+C11</f>
        <v/>
      </c>
      <c r="D12" s="13">
        <f>D8+D9+D10+D11</f>
        <v/>
      </c>
      <c r="E12" s="13">
        <f>E8+E9+E10+E11</f>
        <v/>
      </c>
      <c r="F12" s="13">
        <f>F8+F9+F10+F11</f>
        <v/>
      </c>
      <c r="G12" s="13">
        <f>G8+G9+G10+G11</f>
        <v/>
      </c>
      <c r="H12" s="13">
        <f>H8+H9+H10+H11</f>
        <v/>
      </c>
      <c r="I12" s="13">
        <f>I8+I9+I10+I11</f>
        <v/>
      </c>
      <c r="J12" s="13">
        <f>J8+J9+J10+J11</f>
        <v/>
      </c>
      <c r="K12" s="13">
        <f>K8+K9+K10+K11</f>
        <v/>
      </c>
      <c r="L12" s="13">
        <f>L8+L9+L10+L11</f>
        <v/>
      </c>
      <c r="M12" s="13">
        <f>M8+M9+M10+M11</f>
        <v/>
      </c>
      <c r="N12" s="13">
        <f>SUM(B12:M12)</f>
        <v/>
      </c>
      <c r="O12" s="13">
        <f>O8+O9+O10+O11</f>
        <v/>
      </c>
      <c r="P12" s="13">
        <f>P8+P9+P10+P11</f>
        <v/>
      </c>
    </row>
    <row r="13">
      <c r="A13" s="15" t="inlineStr">
        <is>
          <t>Gross profit</t>
        </is>
      </c>
      <c r="B13" s="16">
        <f>B5-B12</f>
        <v/>
      </c>
      <c r="C13" s="16">
        <f>C5-C12</f>
        <v/>
      </c>
      <c r="D13" s="16">
        <f>D5-D12</f>
        <v/>
      </c>
      <c r="E13" s="16">
        <f>E5-E12</f>
        <v/>
      </c>
      <c r="F13" s="16">
        <f>F5-F12</f>
        <v/>
      </c>
      <c r="G13" s="16">
        <f>G5-G12</f>
        <v/>
      </c>
      <c r="H13" s="16">
        <f>H5-H12</f>
        <v/>
      </c>
      <c r="I13" s="16">
        <f>I5-I12</f>
        <v/>
      </c>
      <c r="J13" s="16">
        <f>J5-J12</f>
        <v/>
      </c>
      <c r="K13" s="16">
        <f>K5-K12</f>
        <v/>
      </c>
      <c r="L13" s="16">
        <f>L5-L12</f>
        <v/>
      </c>
      <c r="M13" s="16">
        <f>M5-M12</f>
        <v/>
      </c>
      <c r="N13" s="16">
        <f>N5-N12</f>
        <v/>
      </c>
      <c r="O13" s="16">
        <f>O5-O12</f>
        <v/>
      </c>
      <c r="P13" s="16">
        <f>P5-P12</f>
        <v/>
      </c>
    </row>
    <row r="14">
      <c r="A14" s="17" t="inlineStr">
        <is>
          <t>GP margin %</t>
        </is>
      </c>
      <c r="B14" s="18">
        <f>IFERROR(B13/B5,0)</f>
        <v/>
      </c>
      <c r="C14" s="18">
        <f>IFERROR(C13/C5,0)</f>
        <v/>
      </c>
      <c r="D14" s="18">
        <f>IFERROR(D13/D5,0)</f>
        <v/>
      </c>
      <c r="E14" s="18">
        <f>IFERROR(E13/E5,0)</f>
        <v/>
      </c>
      <c r="F14" s="18">
        <f>IFERROR(F13/F5,0)</f>
        <v/>
      </c>
      <c r="G14" s="18">
        <f>IFERROR(G13/G5,0)</f>
        <v/>
      </c>
      <c r="H14" s="18">
        <f>IFERROR(H13/H5,0)</f>
        <v/>
      </c>
      <c r="I14" s="18">
        <f>IFERROR(I13/I5,0)</f>
        <v/>
      </c>
      <c r="J14" s="18">
        <f>IFERROR(J13/J5,0)</f>
        <v/>
      </c>
      <c r="K14" s="18">
        <f>IFERROR(K13/K5,0)</f>
        <v/>
      </c>
      <c r="L14" s="18">
        <f>IFERROR(L13/L5,0)</f>
        <v/>
      </c>
      <c r="M14" s="18">
        <f>IFERROR(M13/M5,0)</f>
        <v/>
      </c>
      <c r="N14" s="18">
        <f>IFERROR(N13/N5,0)</f>
        <v/>
      </c>
      <c r="O14" s="18">
        <f>IFERROR(O13/O5,0)</f>
        <v/>
      </c>
      <c r="P14" s="18">
        <f>IFERROR(P13/P5,0)</f>
        <v/>
      </c>
    </row>
    <row r="15">
      <c r="A15" s="5" t="inlineStr">
        <is>
          <t>OVERHEAD</t>
        </is>
      </c>
    </row>
    <row r="16">
      <c r="A16" t="inlineStr">
        <is>
          <t>Owner salary/draw</t>
        </is>
      </c>
      <c r="B16" s="13">
        <f>Assumptions!$B$24</f>
        <v/>
      </c>
      <c r="C16" s="13">
        <f>Assumptions!$B$24</f>
        <v/>
      </c>
      <c r="D16" s="13">
        <f>Assumptions!$B$24</f>
        <v/>
      </c>
      <c r="E16" s="13">
        <f>Assumptions!$B$24</f>
        <v/>
      </c>
      <c r="F16" s="13">
        <f>Assumptions!$B$24</f>
        <v/>
      </c>
      <c r="G16" s="13">
        <f>Assumptions!$B$24</f>
        <v/>
      </c>
      <c r="H16" s="13">
        <f>Assumptions!$B$24</f>
        <v/>
      </c>
      <c r="I16" s="13">
        <f>Assumptions!$B$24</f>
        <v/>
      </c>
      <c r="J16" s="13">
        <f>Assumptions!$B$24</f>
        <v/>
      </c>
      <c r="K16" s="13">
        <f>Assumptions!$B$24</f>
        <v/>
      </c>
      <c r="L16" s="13">
        <f>Assumptions!$B$24</f>
        <v/>
      </c>
      <c r="M16" s="13">
        <f>Assumptions!$B$24</f>
        <v/>
      </c>
      <c r="N16" s="13">
        <f>Assumptions!$B$24*12</f>
        <v/>
      </c>
      <c r="O16" s="13">
        <f>N16*(1+Assumptions!$B$26)</f>
        <v/>
      </c>
      <c r="P16" s="13">
        <f>O16*(1+Assumptions!$B$26)</f>
        <v/>
      </c>
    </row>
    <row r="17">
      <c r="A17" t="inlineStr">
        <is>
          <t>Non-owner payroll (monthly avg)</t>
        </is>
      </c>
      <c r="B17" s="13">
        <f>Assumptions!$B$25/12</f>
        <v/>
      </c>
      <c r="C17" s="13">
        <f>Assumptions!$B$25/12</f>
        <v/>
      </c>
      <c r="D17" s="13">
        <f>Assumptions!$B$25/12</f>
        <v/>
      </c>
      <c r="E17" s="13">
        <f>Assumptions!$B$25/12</f>
        <v/>
      </c>
      <c r="F17" s="13">
        <f>Assumptions!$B$25/12</f>
        <v/>
      </c>
      <c r="G17" s="13">
        <f>Assumptions!$B$25/12</f>
        <v/>
      </c>
      <c r="H17" s="13">
        <f>Assumptions!$B$25/12</f>
        <v/>
      </c>
      <c r="I17" s="13">
        <f>Assumptions!$B$25/12</f>
        <v/>
      </c>
      <c r="J17" s="13">
        <f>Assumptions!$B$25/12</f>
        <v/>
      </c>
      <c r="K17" s="13">
        <f>Assumptions!$B$25/12</f>
        <v/>
      </c>
      <c r="L17" s="13">
        <f>Assumptions!$B$25/12</f>
        <v/>
      </c>
      <c r="M17" s="13">
        <f>Assumptions!$B$25/12</f>
        <v/>
      </c>
      <c r="N17" s="13">
        <f>Assumptions!$B$25</f>
        <v/>
      </c>
      <c r="O17" s="13">
        <f>N17*(1+Assumptions!$B$26)</f>
        <v/>
      </c>
      <c r="P17" s="13">
        <f>O17*(1+Assumptions!$B$26)</f>
        <v/>
      </c>
    </row>
    <row r="18">
      <c r="A18" t="inlineStr">
        <is>
          <t>Other overhead (utilities, ins, etc.)</t>
        </is>
      </c>
      <c r="B18" s="13">
        <f>(B5*Assumptions!$B$15)-B16-B17</f>
        <v/>
      </c>
      <c r="C18" s="13">
        <f>(C5*Assumptions!$B$15)-C16-C17</f>
        <v/>
      </c>
      <c r="D18" s="13">
        <f>(D5*Assumptions!$B$15)-D16-D17</f>
        <v/>
      </c>
      <c r="E18" s="13">
        <f>(E5*Assumptions!$B$15)-E16-E17</f>
        <v/>
      </c>
      <c r="F18" s="13">
        <f>(F5*Assumptions!$B$15)-F16-F17</f>
        <v/>
      </c>
      <c r="G18" s="13">
        <f>(G5*Assumptions!$B$15)-G16-G17</f>
        <v/>
      </c>
      <c r="H18" s="13">
        <f>(H5*Assumptions!$B$15)-H16-H17</f>
        <v/>
      </c>
      <c r="I18" s="13">
        <f>(I5*Assumptions!$B$15)-I16-I17</f>
        <v/>
      </c>
      <c r="J18" s="13">
        <f>(J5*Assumptions!$B$15)-J16-J17</f>
        <v/>
      </c>
      <c r="K18" s="13">
        <f>(K5*Assumptions!$B$15)-K16-K17</f>
        <v/>
      </c>
      <c r="L18" s="13">
        <f>(L5*Assumptions!$B$15)-L16-L17</f>
        <v/>
      </c>
      <c r="M18" s="13">
        <f>(M5*Assumptions!$B$15)-M16-M17</f>
        <v/>
      </c>
      <c r="N18" s="13">
        <f>(N5*Assumptions!$B$15)-N16-N17</f>
        <v/>
      </c>
      <c r="O18" s="13">
        <f>(O5*Assumptions!$B$16)-O16-O17</f>
        <v/>
      </c>
      <c r="P18" s="13">
        <f>(P5*Assumptions!$B$16)-P16-P17</f>
        <v/>
      </c>
    </row>
    <row r="19">
      <c r="A19" t="inlineStr">
        <is>
          <t>Depreciation</t>
        </is>
      </c>
      <c r="B19" s="13">
        <f>(Assumptions!$B$29/12)*(Assumptions!$B$28+Assumptions!$B$30)</f>
        <v/>
      </c>
      <c r="C19" s="13">
        <f>(Assumptions!$B$29/12)*(Assumptions!$B$28+Assumptions!$B$30)</f>
        <v/>
      </c>
      <c r="D19" s="13">
        <f>(Assumptions!$B$29/12)*(Assumptions!$B$28+Assumptions!$B$30)</f>
        <v/>
      </c>
      <c r="E19" s="13">
        <f>(Assumptions!$B$29/12)*(Assumptions!$B$28+Assumptions!$B$30)</f>
        <v/>
      </c>
      <c r="F19" s="13">
        <f>(Assumptions!$B$29/12)*(Assumptions!$B$28+Assumptions!$B$30)</f>
        <v/>
      </c>
      <c r="G19" s="13">
        <f>(Assumptions!$B$29/12)*(Assumptions!$B$28+Assumptions!$B$30)</f>
        <v/>
      </c>
      <c r="H19" s="13">
        <f>(Assumptions!$B$29/12)*(Assumptions!$B$28+Assumptions!$B$30)</f>
        <v/>
      </c>
      <c r="I19" s="13">
        <f>(Assumptions!$B$29/12)*(Assumptions!$B$28+Assumptions!$B$30)</f>
        <v/>
      </c>
      <c r="J19" s="13">
        <f>(Assumptions!$B$29/12)*(Assumptions!$B$28+Assumptions!$B$30)</f>
        <v/>
      </c>
      <c r="K19" s="13">
        <f>(Assumptions!$B$29/12)*(Assumptions!$B$28+Assumptions!$B$30)</f>
        <v/>
      </c>
      <c r="L19" s="13">
        <f>(Assumptions!$B$29/12)*(Assumptions!$B$28+Assumptions!$B$30)</f>
        <v/>
      </c>
      <c r="M19" s="13">
        <f>(Assumptions!$B$29/12)*(Assumptions!$B$28+Assumptions!$B$30)</f>
        <v/>
      </c>
      <c r="N19" s="13">
        <f>Assumptions!$B$29*(Assumptions!$B$28+Assumptions!$B$30)</f>
        <v/>
      </c>
      <c r="O19" s="13">
        <f>Assumptions!$B$29*Assumptions!$B$28</f>
        <v/>
      </c>
      <c r="P19" s="13">
        <f>Assumptions!$B$29*Assumptions!$B$28</f>
        <v/>
      </c>
    </row>
    <row r="20">
      <c r="A20" s="14" t="inlineStr">
        <is>
          <t>Total OH</t>
        </is>
      </c>
      <c r="B20" s="13">
        <f>B16+B17+B18+B19</f>
        <v/>
      </c>
      <c r="C20" s="13">
        <f>C16+C17+C18+C19</f>
        <v/>
      </c>
      <c r="D20" s="13">
        <f>D16+D17+D18+D19</f>
        <v/>
      </c>
      <c r="E20" s="13">
        <f>E16+E17+E18+E19</f>
        <v/>
      </c>
      <c r="F20" s="13">
        <f>F16+F17+F18+F19</f>
        <v/>
      </c>
      <c r="G20" s="13">
        <f>G16+G17+G18+G19</f>
        <v/>
      </c>
      <c r="H20" s="13">
        <f>H16+H17+H18+H19</f>
        <v/>
      </c>
      <c r="I20" s="13">
        <f>I16+I17+I18+I19</f>
        <v/>
      </c>
      <c r="J20" s="13">
        <f>J16+J17+J18+J19</f>
        <v/>
      </c>
      <c r="K20" s="13">
        <f>K16+K17+K18+K19</f>
        <v/>
      </c>
      <c r="L20" s="13">
        <f>L16+L17+L18+L19</f>
        <v/>
      </c>
      <c r="M20" s="13">
        <f>M16+M17+M18+M19</f>
        <v/>
      </c>
      <c r="N20" s="13">
        <f>N16+N17+N18+N19</f>
        <v/>
      </c>
      <c r="O20" s="13">
        <f>O16+O17+O18+O19</f>
        <v/>
      </c>
      <c r="P20" s="13">
        <f>P16+P17+P18+P19</f>
        <v/>
      </c>
    </row>
    <row r="21">
      <c r="A21" s="15" t="inlineStr">
        <is>
          <t>Operating profit</t>
        </is>
      </c>
      <c r="B21" s="16">
        <f>B13-B20</f>
        <v/>
      </c>
      <c r="C21" s="16">
        <f>C13-C20</f>
        <v/>
      </c>
      <c r="D21" s="16">
        <f>D13-D20</f>
        <v/>
      </c>
      <c r="E21" s="16">
        <f>E13-E20</f>
        <v/>
      </c>
      <c r="F21" s="16">
        <f>F13-F20</f>
        <v/>
      </c>
      <c r="G21" s="16">
        <f>G13-G20</f>
        <v/>
      </c>
      <c r="H21" s="16">
        <f>H13-H20</f>
        <v/>
      </c>
      <c r="I21" s="16">
        <f>I13-I20</f>
        <v/>
      </c>
      <c r="J21" s="16">
        <f>J13-J20</f>
        <v/>
      </c>
      <c r="K21" s="16">
        <f>K13-K20</f>
        <v/>
      </c>
      <c r="L21" s="16">
        <f>L13-L20</f>
        <v/>
      </c>
      <c r="M21" s="16">
        <f>M13-M20</f>
        <v/>
      </c>
      <c r="N21" s="16">
        <f>N13-N20</f>
        <v/>
      </c>
      <c r="O21" s="16">
        <f>O13-O20</f>
        <v/>
      </c>
      <c r="P21" s="16">
        <f>P13-P20</f>
        <v/>
      </c>
    </row>
    <row r="22">
      <c r="A22" t="inlineStr">
        <is>
          <t>OP margin %</t>
        </is>
      </c>
      <c r="B22" s="18">
        <f>IFERROR(B21/B5,0)</f>
        <v/>
      </c>
      <c r="C22" s="18">
        <f>IFERROR(C21/C5,0)</f>
        <v/>
      </c>
      <c r="D22" s="18">
        <f>IFERROR(D21/D5,0)</f>
        <v/>
      </c>
      <c r="E22" s="18">
        <f>IFERROR(E21/E5,0)</f>
        <v/>
      </c>
      <c r="F22" s="18">
        <f>IFERROR(F21/F5,0)</f>
        <v/>
      </c>
      <c r="G22" s="18">
        <f>IFERROR(G21/G5,0)</f>
        <v/>
      </c>
      <c r="H22" s="18">
        <f>IFERROR(H21/H5,0)</f>
        <v/>
      </c>
      <c r="I22" s="18">
        <f>IFERROR(I21/I5,0)</f>
        <v/>
      </c>
      <c r="J22" s="18">
        <f>IFERROR(J21/J5,0)</f>
        <v/>
      </c>
      <c r="K22" s="18">
        <f>IFERROR(K21/K5,0)</f>
        <v/>
      </c>
      <c r="L22" s="18">
        <f>IFERROR(L21/L5,0)</f>
        <v/>
      </c>
      <c r="M22" s="18">
        <f>IFERROR(M21/M5,0)</f>
        <v/>
      </c>
      <c r="N22" s="18">
        <f>IFERROR(N21/N5,0)</f>
        <v/>
      </c>
      <c r="O22" s="18">
        <f>IFERROR(O21/O5,0)</f>
        <v/>
      </c>
      <c r="P22" s="18">
        <f>IFERROR(P21/P5,0)</f>
        <v/>
      </c>
    </row>
    <row r="23">
      <c r="A23" s="5" t="inlineStr">
        <is>
          <t>INTEREST</t>
        </is>
      </c>
    </row>
    <row r="24">
      <c r="A24" t="inlineStr">
        <is>
          <t>Interest expense (SBA loan)</t>
        </is>
      </c>
      <c r="B24" s="13">
        <f>(Assumptions!$B$32*Assumptions!$B$33)/12</f>
        <v/>
      </c>
      <c r="C24" s="13">
        <f>(Assumptions!$B$32*Assumptions!$B$33)/12</f>
        <v/>
      </c>
      <c r="D24" s="13">
        <f>(Assumptions!$B$32*Assumptions!$B$33)/12</f>
        <v/>
      </c>
      <c r="E24" s="13">
        <f>(Assumptions!$B$32*Assumptions!$B$33)/12</f>
        <v/>
      </c>
      <c r="F24" s="13">
        <f>(Assumptions!$B$32*Assumptions!$B$33)/12</f>
        <v/>
      </c>
      <c r="G24" s="13">
        <f>(Assumptions!$B$32*Assumptions!$B$33)/12</f>
        <v/>
      </c>
      <c r="H24" s="13">
        <f>(Assumptions!$B$32*Assumptions!$B$33)/12</f>
        <v/>
      </c>
      <c r="I24" s="13">
        <f>(Assumptions!$B$32*Assumptions!$B$33)/12</f>
        <v/>
      </c>
      <c r="J24" s="13">
        <f>(Assumptions!$B$32*Assumptions!$B$33)/12</f>
        <v/>
      </c>
      <c r="K24" s="13">
        <f>(Assumptions!$B$32*Assumptions!$B$33)/12</f>
        <v/>
      </c>
      <c r="L24" s="13">
        <f>(Assumptions!$B$32*Assumptions!$B$33)/12</f>
        <v/>
      </c>
      <c r="M24" s="13">
        <f>(Assumptions!$B$32*Assumptions!$B$33)/12</f>
        <v/>
      </c>
      <c r="N24" s="13">
        <f>Assumptions!$B$32*1.0*Assumptions!$B$33</f>
        <v/>
      </c>
      <c r="O24" s="13">
        <f>Assumptions!$B$32*0.85*Assumptions!$B$33</f>
        <v/>
      </c>
      <c r="P24" s="13">
        <f>Assumptions!$B$32*0.65*Assumptions!$B$33</f>
        <v/>
      </c>
    </row>
    <row r="25">
      <c r="A25" s="15" t="inlineStr">
        <is>
          <t>Net profit before tax</t>
        </is>
      </c>
      <c r="B25" s="16">
        <f>B21-B24</f>
        <v/>
      </c>
      <c r="C25" s="16">
        <f>C21-C24</f>
        <v/>
      </c>
      <c r="D25" s="16">
        <f>D21-D24</f>
        <v/>
      </c>
      <c r="E25" s="16">
        <f>E21-E24</f>
        <v/>
      </c>
      <c r="F25" s="16">
        <f>F21-F24</f>
        <v/>
      </c>
      <c r="G25" s="16">
        <f>G21-G24</f>
        <v/>
      </c>
      <c r="H25" s="16">
        <f>H21-H24</f>
        <v/>
      </c>
      <c r="I25" s="16">
        <f>I21-I24</f>
        <v/>
      </c>
      <c r="J25" s="16">
        <f>J21-J24</f>
        <v/>
      </c>
      <c r="K25" s="16">
        <f>K21-K24</f>
        <v/>
      </c>
      <c r="L25" s="16">
        <f>L21-L24</f>
        <v/>
      </c>
      <c r="M25" s="16">
        <f>M21-M24</f>
        <v/>
      </c>
      <c r="N25" s="16">
        <f>N21-N24</f>
        <v/>
      </c>
      <c r="O25" s="16">
        <f>O21-O24</f>
        <v/>
      </c>
      <c r="P25" s="16">
        <f>P21-P24</f>
        <v/>
      </c>
    </row>
    <row r="26">
      <c r="A26" t="inlineStr">
        <is>
          <t>Net margin %</t>
        </is>
      </c>
      <c r="B26" s="18">
        <f>IFERROR(B25/B5,0)</f>
        <v/>
      </c>
      <c r="C26" s="18">
        <f>IFERROR(C25/C5,0)</f>
        <v/>
      </c>
      <c r="D26" s="18">
        <f>IFERROR(D25/D5,0)</f>
        <v/>
      </c>
      <c r="E26" s="18">
        <f>IFERROR(E25/E5,0)</f>
        <v/>
      </c>
      <c r="F26" s="18">
        <f>IFERROR(F25/F5,0)</f>
        <v/>
      </c>
      <c r="G26" s="18">
        <f>IFERROR(G25/G5,0)</f>
        <v/>
      </c>
      <c r="H26" s="18">
        <f>IFERROR(H25/H5,0)</f>
        <v/>
      </c>
      <c r="I26" s="18">
        <f>IFERROR(I25/I5,0)</f>
        <v/>
      </c>
      <c r="J26" s="18">
        <f>IFERROR(J25/J5,0)</f>
        <v/>
      </c>
      <c r="K26" s="18">
        <f>IFERROR(K25/K5,0)</f>
        <v/>
      </c>
      <c r="L26" s="18">
        <f>IFERROR(L25/L5,0)</f>
        <v/>
      </c>
      <c r="M26" s="18">
        <f>IFERROR(M25/M5,0)</f>
        <v/>
      </c>
      <c r="N26" s="18">
        <f>IFERROR(N25/N5,0)</f>
        <v/>
      </c>
      <c r="O26" s="18">
        <f>IFERROR(O25/O5,0)</f>
        <v/>
      </c>
      <c r="P26" s="18">
        <f>IFERROR(P25/P5,0)</f>
        <v/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CASHFLOW SUMMARY — Annual</t>
        </is>
      </c>
    </row>
    <row r="3" ht="26" customHeight="1">
      <c r="A3" s="4" t="inlineStr">
        <is>
          <t>Line Item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</row>
    <row r="4">
      <c r="A4" s="19" t="inlineStr">
        <is>
          <t>Operating cash inflow (revenue × collection rate)</t>
        </is>
      </c>
      <c r="B4" s="20">
        <f>'P&amp;L Y1-Y3'!N5*0.92</f>
        <v/>
      </c>
      <c r="C4" s="20">
        <f>'P&amp;L Y1-Y3'!O5*0.95</f>
        <v/>
      </c>
      <c r="D4" s="20">
        <f>'P&amp;L Y1-Y3'!P5*0.96</f>
        <v/>
      </c>
    </row>
    <row r="5">
      <c r="A5" s="19" t="inlineStr">
        <is>
          <t>Less: direct costs paid</t>
        </is>
      </c>
      <c r="B5" s="20">
        <f>'P&amp;L Y1-Y3'!N12</f>
        <v/>
      </c>
      <c r="C5" s="20">
        <f>'P&amp;L Y1-Y3'!O12</f>
        <v/>
      </c>
      <c r="D5" s="20">
        <f>'P&amp;L Y1-Y3'!P12</f>
        <v/>
      </c>
    </row>
    <row r="6">
      <c r="A6" s="19" t="inlineStr">
        <is>
          <t>Less: overhead paid (cash)</t>
        </is>
      </c>
      <c r="B6" s="20">
        <f>'P&amp;L Y1-Y3'!N20-'P&amp;L Y1-Y3'!N19</f>
        <v/>
      </c>
      <c r="C6" s="20">
        <f>'P&amp;L Y1-Y3'!O20-'P&amp;L Y1-Y3'!O19</f>
        <v/>
      </c>
      <c r="D6" s="20">
        <f>'P&amp;L Y1-Y3'!P20-'P&amp;L Y1-Y3'!P19</f>
        <v/>
      </c>
    </row>
    <row r="7">
      <c r="A7" s="19" t="inlineStr">
        <is>
          <t>Less: interest paid</t>
        </is>
      </c>
      <c r="B7" s="20">
        <f>'P&amp;L Y1-Y3'!N24</f>
        <v/>
      </c>
      <c r="C7" s="20">
        <f>'P&amp;L Y1-Y3'!O24</f>
        <v/>
      </c>
      <c r="D7" s="20">
        <f>'P&amp;L Y1-Y3'!P24</f>
        <v/>
      </c>
    </row>
    <row r="8">
      <c r="A8" s="6" t="inlineStr">
        <is>
          <t>Operating cashflow</t>
        </is>
      </c>
      <c r="B8" s="21">
        <f>B4-B5-B6-B7</f>
        <v/>
      </c>
      <c r="C8" s="21">
        <f>C4-C5-C6-C7</f>
        <v/>
      </c>
      <c r="D8" s="21">
        <f>D4-D5-D6-D7</f>
        <v/>
      </c>
    </row>
    <row r="9">
      <c r="A9" s="19" t="inlineStr"/>
      <c r="B9" s="20" t="inlineStr"/>
      <c r="C9" s="20" t="inlineStr"/>
      <c r="D9" s="20" t="inlineStr"/>
    </row>
    <row r="10">
      <c r="A10" s="19" t="inlineStr">
        <is>
          <t>SBA loan proceeds</t>
        </is>
      </c>
      <c r="B10" s="20">
        <f>Assumptions!$B$32</f>
        <v/>
      </c>
      <c r="C10" s="20" t="n">
        <v>0</v>
      </c>
      <c r="D10" s="20" t="n">
        <v>0</v>
      </c>
    </row>
    <row r="11">
      <c r="A11" s="19" t="inlineStr">
        <is>
          <t>Owner cash injection</t>
        </is>
      </c>
      <c r="B11" s="20">
        <f>Assumptions!$B$36</f>
        <v/>
      </c>
      <c r="C11" s="20" t="n">
        <v>0</v>
      </c>
      <c r="D11" s="20" t="n">
        <v>0</v>
      </c>
    </row>
    <row r="12">
      <c r="A12" s="19" t="inlineStr">
        <is>
          <t>Equipment purchases</t>
        </is>
      </c>
      <c r="B12" s="20">
        <f>-Assumptions!$B$30</f>
        <v/>
      </c>
      <c r="C12" s="20">
        <f>-Assumptions!$B$30*0.5</f>
        <v/>
      </c>
      <c r="D12" s="20">
        <f>-Assumptions!$B$30*0.5</f>
        <v/>
      </c>
    </row>
    <row r="13">
      <c r="A13" s="19" t="inlineStr">
        <is>
          <t>Loan principal payments</t>
        </is>
      </c>
      <c r="B13" s="20">
        <f>-Assumptions!$B$32/(Assumptions!$B$34/12)*12+'P&amp;L Y1-Y3'!N24</f>
        <v/>
      </c>
      <c r="C13" s="20">
        <f>-Assumptions!$B$32/(Assumptions!$B$34/12)*12+'P&amp;L Y1-Y3'!O24</f>
        <v/>
      </c>
      <c r="D13" s="20">
        <f>-Assumptions!$B$32/(Assumptions!$B$34/12)*12+'P&amp;L Y1-Y3'!P24</f>
        <v/>
      </c>
    </row>
    <row r="14">
      <c r="A14" s="6" t="inlineStr">
        <is>
          <t>Net cashflow</t>
        </is>
      </c>
      <c r="B14" s="21">
        <f>B8+SUM(B10:B13)</f>
        <v/>
      </c>
      <c r="C14" s="21">
        <f>C8+SUM(C10:C13)</f>
        <v/>
      </c>
      <c r="D14" s="21">
        <f>D8+SUM(D10:D13)</f>
        <v/>
      </c>
    </row>
    <row r="15">
      <c r="A15" s="6" t="inlineStr">
        <is>
          <t>Cumulative cash</t>
        </is>
      </c>
      <c r="B15" s="21">
        <f>B14</f>
        <v/>
      </c>
      <c r="C15" s="21">
        <f>B15+C14</f>
        <v/>
      </c>
      <c r="D15" s="21">
        <f>C15+D14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BALANCE SHEET — End of Y1 / Y2 / Y3</t>
        </is>
      </c>
    </row>
    <row r="3" ht="26" customHeight="1">
      <c r="A3" s="4" t="inlineStr">
        <is>
          <t>Account</t>
        </is>
      </c>
      <c r="B3" s="4" t="inlineStr">
        <is>
          <t>End of Y1</t>
        </is>
      </c>
      <c r="C3" s="4" t="inlineStr">
        <is>
          <t>End of Y2</t>
        </is>
      </c>
      <c r="D3" s="4" t="inlineStr">
        <is>
          <t>End of Y3</t>
        </is>
      </c>
    </row>
    <row r="4">
      <c r="A4" s="14" t="inlineStr">
        <is>
          <t>--- ASSETS ---</t>
        </is>
      </c>
    </row>
    <row r="5">
      <c r="A5" s="19" t="inlineStr">
        <is>
          <t>Cash</t>
        </is>
      </c>
      <c r="B5" s="20">
        <f>'Cashflow Y1-Y3'!B15</f>
        <v/>
      </c>
      <c r="C5" s="20">
        <f>'Cashflow Y1-Y3'!C15</f>
        <v/>
      </c>
      <c r="D5" s="20">
        <f>'Cashflow Y1-Y3'!D15</f>
        <v/>
      </c>
    </row>
    <row r="6">
      <c r="A6" s="19" t="inlineStr">
        <is>
          <t>Accounts receivable (current)</t>
        </is>
      </c>
      <c r="B6" s="20">
        <f>'P&amp;L Y1-Y3'!N5/12*(Assumptions!$B$18/30)</f>
        <v/>
      </c>
      <c r="C6" s="20">
        <f>'P&amp;L Y1-Y3'!O5/12*(Assumptions!$B$18/30)</f>
        <v/>
      </c>
      <c r="D6" s="20">
        <f>'P&amp;L Y1-Y3'!P5/12*(Assumptions!$B$18/30)</f>
        <v/>
      </c>
    </row>
    <row r="7">
      <c r="A7" s="19" t="inlineStr">
        <is>
          <t>Retainage receivable</t>
        </is>
      </c>
      <c r="B7" s="20">
        <f>'P&amp;L Y1-Y3'!N5*Assumptions!$B$19</f>
        <v/>
      </c>
      <c r="C7" s="20">
        <f>'P&amp;L Y1-Y3'!O5*Assumptions!$B$19</f>
        <v/>
      </c>
      <c r="D7" s="20">
        <f>'P&amp;L Y1-Y3'!P5*Assumptions!$B$19</f>
        <v/>
      </c>
    </row>
    <row r="8">
      <c r="A8" s="19" t="inlineStr">
        <is>
          <t>Inventory / WIP</t>
        </is>
      </c>
      <c r="B8" s="20">
        <f>'P&amp;L Y1-Y3'!N5/12*(Assumptions!$B$21/30)</f>
        <v/>
      </c>
      <c r="C8" s="20">
        <f>'P&amp;L Y1-Y3'!O5/12*(Assumptions!$B$21/30)</f>
        <v/>
      </c>
      <c r="D8" s="20">
        <f>'P&amp;L Y1-Y3'!P5/12*(Assumptions!$B$21/30)</f>
        <v/>
      </c>
    </row>
    <row r="9">
      <c r="A9" s="19" t="inlineStr">
        <is>
          <t>Equipment + vehicles (net of depr)</t>
        </is>
      </c>
      <c r="B9" s="20">
        <f>Assumptions!$B$28+Assumptions!$B$30-'P&amp;L Y1-Y3'!N19</f>
        <v/>
      </c>
      <c r="C9" s="20">
        <f>B8-'P&amp;L Y1-Y3'!O19</f>
        <v/>
      </c>
      <c r="D9" s="20">
        <f>C8-'P&amp;L Y1-Y3'!P19</f>
        <v/>
      </c>
    </row>
    <row r="10">
      <c r="A10" s="6" t="inlineStr">
        <is>
          <t>Total assets</t>
        </is>
      </c>
      <c r="B10" s="20">
        <f>SUM(B5:B8)</f>
        <v/>
      </c>
      <c r="C10" s="20">
        <f>SUM(C5:C8)</f>
        <v/>
      </c>
      <c r="D10" s="20">
        <f>SUM(D5:D8)</f>
        <v/>
      </c>
    </row>
    <row r="11">
      <c r="A11" s="14" t="inlineStr">
        <is>
          <t>--- LIABILITIES ---</t>
        </is>
      </c>
    </row>
    <row r="12">
      <c r="A12" s="19" t="inlineStr">
        <is>
          <t>Accounts payable</t>
        </is>
      </c>
      <c r="B12" s="20">
        <f>'P&amp;L Y1-Y3'!N12/12*(Assumptions!$B$20/30)</f>
        <v/>
      </c>
      <c r="C12" s="20">
        <f>'P&amp;L Y1-Y3'!O12/12*(Assumptions!$B$20/30)</f>
        <v/>
      </c>
      <c r="D12" s="20">
        <f>'P&amp;L Y1-Y3'!P12/12*(Assumptions!$B$20/30)</f>
        <v/>
      </c>
    </row>
    <row r="13">
      <c r="A13" s="19" t="inlineStr">
        <is>
          <t>SBA loan balance</t>
        </is>
      </c>
      <c r="B13" s="20">
        <f>Assumptions!$B$32-Assumptions!$B$32/(Assumptions!$B$34/12)*12</f>
        <v/>
      </c>
      <c r="C13" s="20">
        <f>B12-Assumptions!$B$32/(Assumptions!$B$34/12)*12</f>
        <v/>
      </c>
      <c r="D13" s="20">
        <f>C12-Assumptions!$B$32/(Assumptions!$B$34/12)*12</f>
        <v/>
      </c>
    </row>
    <row r="14">
      <c r="A14" s="6" t="inlineStr">
        <is>
          <t>Total liabilities</t>
        </is>
      </c>
      <c r="B14" s="20">
        <f>B11+B12</f>
        <v/>
      </c>
      <c r="C14" s="20">
        <f>C11+C12</f>
        <v/>
      </c>
      <c r="D14" s="20">
        <f>D11+D12</f>
        <v/>
      </c>
    </row>
    <row r="15">
      <c r="A15" s="14" t="inlineStr">
        <is>
          <t>--- EQUITY ---</t>
        </is>
      </c>
    </row>
    <row r="16">
      <c r="A16" s="19" t="inlineStr">
        <is>
          <t>Owner equity (starting + injection + retained)</t>
        </is>
      </c>
      <c r="B16" s="20">
        <f>Assumptions!$B$36+'P&amp;L Y1-Y3'!N25</f>
        <v/>
      </c>
      <c r="C16" s="20">
        <f>B15+'P&amp;L Y1-Y3'!O25</f>
        <v/>
      </c>
      <c r="D16" s="20">
        <f>C15+'P&amp;L Y1-Y3'!P25</f>
        <v/>
      </c>
    </row>
    <row r="17">
      <c r="A17" s="14" t="inlineStr">
        <is>
          <t>--- CHECK ---</t>
        </is>
      </c>
    </row>
    <row r="18">
      <c r="A18" s="6" t="inlineStr">
        <is>
          <t>Total liab + equity</t>
        </is>
      </c>
      <c r="B18" s="20">
        <f>B13+B15</f>
        <v/>
      </c>
      <c r="C18" s="20">
        <f>C13+C15</f>
        <v/>
      </c>
      <c r="D18" s="20">
        <f>D13+D15</f>
        <v/>
      </c>
    </row>
    <row r="19">
      <c r="A19" s="6" t="inlineStr">
        <is>
          <t>Balance check (should equal Total assets)</t>
        </is>
      </c>
      <c r="B19" s="20">
        <f>B17-B9</f>
        <v/>
      </c>
      <c r="C19" s="20">
        <f>C17-C9</f>
        <v/>
      </c>
      <c r="D19" s="20">
        <f>D17-D9</f>
        <v/>
      </c>
    </row>
  </sheetData>
  <mergeCells count="5">
    <mergeCell ref="A1:D1"/>
    <mergeCell ref="A17:D17"/>
    <mergeCell ref="A4:D4"/>
    <mergeCell ref="A15:D15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36" customWidth="1" min="5" max="5"/>
  </cols>
  <sheetData>
    <row r="1">
      <c r="A1" s="1" t="inlineStr">
        <is>
          <t>RATIOS + COVERAGE</t>
        </is>
      </c>
    </row>
    <row r="3" ht="26" customHeight="1">
      <c r="A3" s="4" t="inlineStr">
        <is>
          <t>Ratio</t>
        </is>
      </c>
      <c r="B3" s="4" t="inlineStr">
        <is>
          <t>Y1</t>
        </is>
      </c>
      <c r="C3" s="4" t="inlineStr">
        <is>
          <t>Y2</t>
        </is>
      </c>
      <c r="D3" s="4" t="inlineStr">
        <is>
          <t>Y3</t>
        </is>
      </c>
      <c r="E3" s="4" t="inlineStr">
        <is>
          <t>Lender target</t>
        </is>
      </c>
    </row>
    <row r="4">
      <c r="A4" s="6" t="inlineStr">
        <is>
          <t>Debt Service Coverage Ratio (DSCR)</t>
        </is>
      </c>
      <c r="B4" s="22">
        <f>('P&amp;L Y1-Y3'!N21+'P&amp;L Y1-Y3'!N19)/(Assumptions!$B$32/(Assumptions!$B$34/12)*12)</f>
        <v/>
      </c>
      <c r="C4" s="22">
        <f>('P&amp;L Y1-Y3'!O21+'P&amp;L Y1-Y3'!O19)/(Assumptions!$B$32/(Assumptions!$B$34/12)*12)</f>
        <v/>
      </c>
      <c r="D4" s="22">
        <f>('P&amp;L Y1-Y3'!P21+'P&amp;L Y1-Y3'!P19)/(Assumptions!$B$32/(Assumptions!$B$34/12)*12)</f>
        <v/>
      </c>
      <c r="E4" s="8" t="inlineStr">
        <is>
          <t>SBA wants ≥ 1.25 (1.15 minimum)</t>
        </is>
      </c>
    </row>
    <row r="5">
      <c r="A5" s="6" t="inlineStr">
        <is>
          <t>Current ratio</t>
        </is>
      </c>
      <c r="B5" s="22">
        <f>('Balance Sheet'!B5+'Balance Sheet'!B6+'Balance Sheet'!B7+'Balance Sheet'!B8)/'Balance Sheet'!B11</f>
        <v/>
      </c>
      <c r="C5" s="22">
        <f>('Balance Sheet'!C5+'Balance Sheet'!C6+'Balance Sheet'!C7+'Balance Sheet'!C8)/'Balance Sheet'!C11</f>
        <v/>
      </c>
      <c r="D5" s="22">
        <f>('Balance Sheet'!D5+'Balance Sheet'!D6+'Balance Sheet'!D7+'Balance Sheet'!D8)/'Balance Sheet'!D11</f>
        <v/>
      </c>
      <c r="E5" s="8" t="inlineStr">
        <is>
          <t>Target ≥ 1.5</t>
        </is>
      </c>
    </row>
    <row r="6">
      <c r="A6" s="6" t="inlineStr">
        <is>
          <t>Debt-to-equity</t>
        </is>
      </c>
      <c r="B6" s="22">
        <f>'Balance Sheet'!B13/'Balance Sheet'!B15</f>
        <v/>
      </c>
      <c r="C6" s="22">
        <f>'Balance Sheet'!C13/'Balance Sheet'!C15</f>
        <v/>
      </c>
      <c r="D6" s="22">
        <f>'Balance Sheet'!D13/'Balance Sheet'!D15</f>
        <v/>
      </c>
      <c r="E6" s="8" t="inlineStr">
        <is>
          <t>Target ≤ 3.0 (≤ 2.0 ideal)</t>
        </is>
      </c>
    </row>
    <row r="7">
      <c r="A7" s="6" t="inlineStr">
        <is>
          <t>Gross margin %</t>
        </is>
      </c>
      <c r="B7" s="23">
        <f>'P&amp;L Y1-Y3'!N14</f>
        <v/>
      </c>
      <c r="C7" s="23">
        <f>'P&amp;L Y1-Y3'!O14</f>
        <v/>
      </c>
      <c r="D7" s="23">
        <f>'P&amp;L Y1-Y3'!P14</f>
        <v/>
      </c>
      <c r="E7" s="8" t="inlineStr">
        <is>
          <t>Construction: 20-35% typical</t>
        </is>
      </c>
    </row>
    <row r="8">
      <c r="A8" s="6" t="inlineStr">
        <is>
          <t>Net margin %</t>
        </is>
      </c>
      <c r="B8" s="23">
        <f>'P&amp;L Y1-Y3'!N26</f>
        <v/>
      </c>
      <c r="C8" s="23">
        <f>'P&amp;L Y1-Y3'!O26</f>
        <v/>
      </c>
      <c r="D8" s="23">
        <f>'P&amp;L Y1-Y3'!P26</f>
        <v/>
      </c>
      <c r="E8" s="8" t="inlineStr">
        <is>
          <t>Construction: 5-12% typical</t>
        </is>
      </c>
    </row>
    <row r="9">
      <c r="A9" s="6" t="inlineStr">
        <is>
          <t>Working capital</t>
        </is>
      </c>
      <c r="B9" s="24">
        <f>'Balance Sheet'!B5+'Balance Sheet'!B6+'Balance Sheet'!B7+'Balance Sheet'!B8-'Balance Sheet'!B11</f>
        <v/>
      </c>
      <c r="C9" s="24">
        <f>'Balance Sheet'!C5+'Balance Sheet'!C6+'Balance Sheet'!C7+'Balance Sheet'!C8-'Balance Sheet'!C11</f>
        <v/>
      </c>
      <c r="D9" s="24">
        <f>'Balance Sheet'!D5+'Balance Sheet'!D6+'Balance Sheet'!D7+'Balance Sheet'!D8-'Balance Sheet'!D11</f>
        <v/>
      </c>
      <c r="E9" s="8" t="inlineStr">
        <is>
          <t>Positive + growing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SBA LOAN — SOURCES &amp; USES</t>
        </is>
      </c>
    </row>
    <row r="3" ht="26" customHeight="1">
      <c r="A3" s="4" t="inlineStr">
        <is>
          <t>Item</t>
        </is>
      </c>
      <c r="B3" s="4" t="inlineStr">
        <is>
          <t>Amount</t>
        </is>
      </c>
    </row>
    <row r="4">
      <c r="A4" s="5" t="inlineStr">
        <is>
          <t>SOURCES</t>
        </is>
      </c>
    </row>
    <row r="5">
      <c r="A5" s="19" t="inlineStr">
        <is>
          <t>SBA loan proceeds (net of guarantee fee)</t>
        </is>
      </c>
      <c r="B5" s="20">
        <f>Assumptions!$B$32*(1-Assumptions!$B$35)</f>
        <v/>
      </c>
    </row>
    <row r="6">
      <c r="A6" s="19" t="inlineStr">
        <is>
          <t>Owner cash injection</t>
        </is>
      </c>
      <c r="B6" s="20">
        <f>Assumptions!$B$36</f>
        <v/>
      </c>
    </row>
    <row r="7">
      <c r="A7" s="19" t="inlineStr">
        <is>
          <t>Existing cash on hand</t>
        </is>
      </c>
      <c r="B7" s="20" t="n">
        <v>0</v>
      </c>
    </row>
    <row r="8">
      <c r="A8" s="6" t="inlineStr">
        <is>
          <t>Total sources</t>
        </is>
      </c>
      <c r="B8" s="21">
        <f>SUM(B5:B7)</f>
        <v/>
      </c>
    </row>
    <row r="10">
      <c r="A10" s="5" t="inlineStr">
        <is>
          <t>USES</t>
        </is>
      </c>
    </row>
    <row r="11">
      <c r="A11" s="19" t="inlineStr">
        <is>
          <t>Working capital (12-month operating reserve)</t>
        </is>
      </c>
      <c r="B11" s="20">
        <f>'Cashflow Y1-Y3'!B5*-1*0.25</f>
        <v/>
      </c>
    </row>
    <row r="12">
      <c r="A12" s="19" t="inlineStr">
        <is>
          <t>Equipment purchases</t>
        </is>
      </c>
      <c r="B12" s="20">
        <f>Assumptions!$B$30</f>
        <v/>
      </c>
    </row>
    <row r="13">
      <c r="A13" s="19" t="inlineStr">
        <is>
          <t>Refinance existing high-rate debt</t>
        </is>
      </c>
      <c r="B13" s="20" t="n">
        <v>0</v>
      </c>
    </row>
    <row r="14">
      <c r="A14" s="19" t="inlineStr">
        <is>
          <t>Acquisition / goodwill (if applicable)</t>
        </is>
      </c>
      <c r="B14" s="20" t="n">
        <v>0</v>
      </c>
    </row>
    <row r="15">
      <c r="A15" s="19" t="inlineStr">
        <is>
          <t>SBA guarantee fee + closing costs</t>
        </is>
      </c>
      <c r="B15" s="20">
        <f>Assumptions!$B$32*(Assumptions!$B$35+0.01)</f>
        <v/>
      </c>
    </row>
    <row r="16">
      <c r="A16" s="6" t="inlineStr">
        <is>
          <t>Total uses</t>
        </is>
      </c>
      <c r="B16" s="21">
        <f>SUM(B11:B15)</f>
        <v/>
      </c>
    </row>
    <row r="18">
      <c r="A18" s="6" t="inlineStr">
        <is>
          <t>Difference (should be 0)</t>
        </is>
      </c>
      <c r="B18" s="20">
        <f>B8-B16</f>
        <v/>
      </c>
    </row>
  </sheetData>
  <mergeCells count="3">
    <mergeCell ref="A4:B4"/>
    <mergeCell ref="A10:B10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LENDER SUBMISSION SUMMARY (1-page)</t>
        </is>
      </c>
    </row>
    <row r="3">
      <c r="A3" s="25" t="inlineStr">
        <is>
          <t>Borrower legal name</t>
        </is>
      </c>
      <c r="B3" s="26" t="inlineStr"/>
    </row>
    <row r="4">
      <c r="A4" s="25" t="inlineStr">
        <is>
          <t>EIN</t>
        </is>
      </c>
      <c r="B4" s="26" t="inlineStr"/>
    </row>
    <row r="5">
      <c r="A5" s="25" t="inlineStr">
        <is>
          <t>Business address</t>
        </is>
      </c>
      <c r="B5" s="26" t="inlineStr"/>
    </row>
    <row r="6">
      <c r="A6" s="25" t="inlineStr">
        <is>
          <t>Years in business</t>
        </is>
      </c>
      <c r="B6" s="26" t="inlineStr"/>
    </row>
    <row r="7">
      <c r="A7" s="25" t="inlineStr">
        <is>
          <t>NAICS code</t>
        </is>
      </c>
      <c r="B7" s="26" t="inlineStr">
        <is>
          <t>236220 = Commercial</t>
        </is>
      </c>
    </row>
    <row r="8">
      <c r="A8" s="25" t="inlineStr">
        <is>
          <t>Number of employees</t>
        </is>
      </c>
      <c r="B8" s="26" t="inlineStr"/>
    </row>
    <row r="10">
      <c r="A10" s="25" t="inlineStr">
        <is>
          <t>Loan amount requested</t>
        </is>
      </c>
      <c r="B10" s="27">
        <f>Assumptions!$B$32</f>
        <v/>
      </c>
    </row>
    <row r="11">
      <c r="A11" s="25" t="inlineStr">
        <is>
          <t>Loan type (7a / 504 / Express / Microloan)</t>
        </is>
      </c>
      <c r="B11" s="26" t="inlineStr">
        <is>
          <t>7(a)</t>
        </is>
      </c>
    </row>
    <row r="12">
      <c r="A12" s="25" t="inlineStr">
        <is>
          <t>Loan use (primary)</t>
        </is>
      </c>
      <c r="B12" s="26" t="inlineStr">
        <is>
          <t>Working capital + equipment</t>
        </is>
      </c>
    </row>
    <row r="13">
      <c r="A13" s="25" t="inlineStr">
        <is>
          <t>Amortization</t>
        </is>
      </c>
      <c r="B13" s="26">
        <f>Assumptions!$B$34&amp;" months"</f>
        <v/>
      </c>
    </row>
    <row r="14">
      <c r="A14" s="25" t="inlineStr">
        <is>
          <t>Owner equity injection</t>
        </is>
      </c>
      <c r="B14" s="27">
        <f>Assumptions!$B$36</f>
        <v/>
      </c>
    </row>
    <row r="16">
      <c r="A16" s="25" t="inlineStr">
        <is>
          <t>Y1 revenue (projected)</t>
        </is>
      </c>
      <c r="B16" s="27">
        <f>'P&amp;L Y1-Y3'!N5</f>
        <v/>
      </c>
    </row>
    <row r="17">
      <c r="A17" s="25" t="inlineStr">
        <is>
          <t>Y1 EBITDA (≈ OP + Depr)</t>
        </is>
      </c>
      <c r="B17" s="27">
        <f>'P&amp;L Y1-Y3'!N21+'P&amp;L Y1-Y3'!N19</f>
        <v/>
      </c>
    </row>
    <row r="18">
      <c r="A18" s="25" t="inlineStr">
        <is>
          <t>Y1 DSCR</t>
        </is>
      </c>
      <c r="B18" s="28">
        <f>Ratios!B4</f>
        <v/>
      </c>
    </row>
    <row r="19">
      <c r="A19" s="25" t="inlineStr">
        <is>
          <t>Y2 DSCR</t>
        </is>
      </c>
      <c r="B19" s="28">
        <f>Ratios!C4</f>
        <v/>
      </c>
    </row>
    <row r="20">
      <c r="A20" s="25" t="inlineStr">
        <is>
          <t>Y3 DSCR</t>
        </is>
      </c>
      <c r="B20" s="28">
        <f>Ratios!D4</f>
        <v/>
      </c>
    </row>
    <row r="22">
      <c r="A22" s="25" t="inlineStr">
        <is>
          <t>Existing senior debt (total)</t>
        </is>
      </c>
      <c r="B22" s="27" t="n">
        <v>0</v>
      </c>
    </row>
    <row r="23">
      <c r="A23" s="25" t="inlineStr">
        <is>
          <t>Personal credit score (owner)</t>
        </is>
      </c>
      <c r="B23" s="26" t="inlineStr"/>
    </row>
    <row r="24">
      <c r="A24" s="25" t="inlineStr">
        <is>
          <t>Personal liquidity (owner)</t>
        </is>
      </c>
      <c r="B24" s="26" t="inlineStr"/>
    </row>
    <row r="25">
      <c r="A25" s="25" t="inlineStr">
        <is>
          <t>Real estate collateral available?</t>
        </is>
      </c>
      <c r="B25" s="26" t="inlineStr">
        <is>
          <t>Y/N</t>
        </is>
      </c>
    </row>
    <row r="26">
      <c r="A26" s="25" t="inlineStr">
        <is>
          <t>UCC collateral available?</t>
        </is>
      </c>
      <c r="B26" s="26" t="inlineStr">
        <is>
          <t>Y/N</t>
        </is>
      </c>
    </row>
    <row r="28">
      <c r="A28" s="25" t="inlineStr">
        <is>
          <t>Prepared by</t>
        </is>
      </c>
      <c r="B28" s="26" t="inlineStr"/>
    </row>
    <row r="29">
      <c r="A29" s="25" t="inlineStr">
        <is>
          <t>Date prepared</t>
        </is>
      </c>
      <c r="B29" s="26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2026-05-20T00:07:14Z</dcterms:created>
  <dcterms:modified xmlns:dcterms="http://purl.org/dc/terms/" xmlns:xsi="http://www.w3.org/2001/XMLSchema-instance" xsi:type="dcterms:W3CDTF">2026-05-20T00:07:14Z</dcterms:modified>
</cp:coreProperties>
</file>