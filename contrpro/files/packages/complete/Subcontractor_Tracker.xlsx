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ubcontractor Master List" sheetId="2" state="visible" r:id="rId2"/>
    <sheet xmlns:r="http://schemas.openxmlformats.org/officeDocument/2006/relationships" name="Trade Summary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CSI Reference" sheetId="5" state="hidden" r:id="rId5"/>
  </sheets>
  <definedNames>
    <definedName name="CSI_Divisions">'CSI Reference'!$A$4:$A$38</definedName>
    <definedName name="CSI_Table">'CSI Reference'!$A$4:$B$38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1E3A5F"/>
      <sz val="22"/>
    </font>
    <font>
      <name val="Calibri"/>
      <i val="1"/>
      <color rgb="00808080"/>
      <sz val="11"/>
    </font>
    <font>
      <name val="Calibri"/>
      <b val="1"/>
      <color rgb="001E3A5F"/>
      <sz val="12"/>
    </font>
    <font>
      <name val="Calibri"/>
      <sz val="11"/>
    </font>
    <font>
      <name val="Calibri"/>
      <i val="1"/>
      <color rgb="00808080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FFFFFF"/>
      <sz val="14"/>
    </font>
    <font>
      <name val="Calibri"/>
      <b val="1"/>
      <color rgb="001E3A5F"/>
      <sz val="18"/>
    </font>
  </fonts>
  <fills count="4">
    <fill>
      <patternFill/>
    </fill>
    <fill>
      <patternFill patternType="gray125"/>
    </fill>
    <fill>
      <patternFill patternType="solid">
        <fgColor rgb="00D6E0EC"/>
      </patternFill>
    </fill>
    <fill>
      <patternFill patternType="solid">
        <fgColor rgb="001E3A5F"/>
      </patternFill>
    </fill>
  </fills>
  <borders count="6">
    <border>
      <left/>
      <right/>
      <top/>
      <bottom/>
      <diagonal/>
    </border>
    <border>
      <left style="thin">
        <color rgb="00B0B7BF"/>
      </left>
      <right style="thin">
        <color rgb="00B0B7BF"/>
      </right>
      <top style="thin">
        <color rgb="00B0B7BF"/>
      </top>
      <bottom style="thin">
        <color rgb="00B0B7BF"/>
      </bottom>
    </border>
    <border>
      <left/>
      <right/>
      <top style="thin">
        <color rgb="00B0B7BF"/>
      </top>
      <bottom/>
      <diagonal/>
    </border>
    <border>
      <left/>
      <right style="thin">
        <color rgb="00B0B7BF"/>
      </right>
      <top style="thin">
        <color rgb="00B0B7BF"/>
      </top>
      <bottom/>
      <diagonal/>
    </border>
    <border>
      <left/>
      <right/>
      <top style="thin">
        <color rgb="00B0B7BF"/>
      </top>
      <bottom style="thin">
        <color rgb="00B0B7BF"/>
      </bottom>
      <diagonal/>
    </border>
    <border>
      <left/>
      <right style="thin">
        <color rgb="00B0B7BF"/>
      </right>
      <top style="thin">
        <color rgb="00B0B7BF"/>
      </top>
      <bottom style="thin">
        <color rgb="00B0B7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inden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0" borderId="1" pivotButton="0" quotePrefix="0" xfId="0"/>
    <xf numFmtId="1" fontId="0" fillId="0" borderId="1" pivotButton="0" quotePrefix="0" xfId="0"/>
    <xf numFmtId="0" fontId="7" fillId="2" borderId="1" applyAlignment="1" pivotButton="0" quotePrefix="0" xfId="0">
      <alignment horizontal="right"/>
    </xf>
    <xf numFmtId="1" fontId="7" fillId="2" borderId="1" pivotButton="0" quotePrefix="0" xfId="0"/>
    <xf numFmtId="0" fontId="8" fillId="3" borderId="0" applyAlignment="1" pivotButton="0" quotePrefix="0" xfId="0">
      <alignment vertical="center" indent="1"/>
    </xf>
    <xf numFmtId="0" fontId="7" fillId="2" borderId="1" applyAlignment="1" pivotButton="0" quotePrefix="0" xfId="0">
      <alignment vertical="center" indent="1"/>
    </xf>
    <xf numFmtId="0" fontId="0" fillId="0" borderId="4" pivotButton="0" quotePrefix="0" xfId="0"/>
    <xf numFmtId="0" fontId="0" fillId="0" borderId="5" pivotButton="0" quotePrefix="0" xfId="0"/>
    <xf numFmtId="1" fontId="9" fillId="0" borderId="1" applyAlignment="1" pivotButton="0" quotePrefix="0" xfId="0">
      <alignment horizontal="right" vertical="center" indent="1"/>
    </xf>
    <xf numFmtId="165" fontId="9" fillId="0" borderId="1" applyAlignment="1" pivotButton="0" quotePrefix="0" xfId="0">
      <alignment horizontal="right" vertical="center" indent="1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indent="1"/>
    </xf>
    <xf numFmtId="1" fontId="7" fillId="0" borderId="1" applyAlignment="1" pivotButton="0" quotePrefix="0" xfId="0">
      <alignment horizontal="right" vertical="center" indent="1"/>
    </xf>
    <xf numFmtId="49" fontId="4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dxfs count="5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5700"/>
      </font>
      <fill>
        <patternFill patternType="solid">
          <fgColor rgb="00FFEB9C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9C0006"/>
        <sz val="18"/>
      </font>
      <fill>
        <patternFill patternType="solid">
          <fgColor rgb="00FFC7CE"/>
        </patternFill>
      </fill>
    </dxf>
    <dxf>
      <font>
        <b val="1"/>
        <color rgb="00006100"/>
        <sz val="18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5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2" ht="32" customHeight="1">
      <c r="B2" s="1" t="inlineStr">
        <is>
          <t>ContrPro - Subcontractor Tracker</t>
        </is>
      </c>
    </row>
    <row r="3">
      <c r="B3" s="2" t="inlineStr">
        <is>
          <t>Your master list of subs - who they are, what they do, and whether their paperwork is current. Professional tier (entry).</t>
        </is>
      </c>
    </row>
    <row r="5" ht="22" customHeight="1">
      <c r="B5" s="3" t="inlineStr">
        <is>
          <t>What this workbook is</t>
        </is>
      </c>
    </row>
    <row r="6" ht="48" customHeight="1">
      <c r="B6" s="4" t="inlineStr">
        <is>
          <t>Four tabs you use, one hidden lookup. Subcontractor Master List is where every sub lives - contact info, trade, license, COI, W9. Trade Summary rolls them up by trade. Dashboard shows totals and compliance flags at a glance. CSI Reference is a hidden canonical list - leave it alone.</t>
        </is>
      </c>
    </row>
    <row r="7" ht="32" customHeight="1">
      <c r="B7" s="4" t="inlineStr">
        <is>
          <t>This is the LEAN version. Track who you work with and confirm their paperwork is current. Nothing more. The Pro version handles prequalification, performance scoring, and work history.</t>
        </is>
      </c>
    </row>
    <row r="9" ht="22" customHeight="1">
      <c r="B9" s="3" t="inlineStr">
        <is>
          <t>What to track (minimum)</t>
        </is>
      </c>
    </row>
    <row r="10" ht="32" customHeight="1">
      <c r="B10" s="4" t="inlineStr">
        <is>
          <t>Contact - Company, primary contact, phone, email, address. Email and phone are the two you actually use, but address matters for W9 / 1099 prep at year-end.</t>
        </is>
      </c>
    </row>
    <row r="11" ht="32" customHeight="1">
      <c r="B11" s="4" t="inlineStr">
        <is>
          <t>Trade - The trade dropdown (General, Mechanical, Electrical, etc.) is your filter. CSI Division pulls the canonical 2-digit code; Division Name auto-fills via VLOOKUP.</t>
        </is>
      </c>
    </row>
    <row r="12" ht="32" customHeight="1">
      <c r="B12" s="4" t="inlineStr">
        <is>
          <t>Compliance - License #, License State, License Status (Active/Expired/Pending/Unknown), COI on File, W9 on File. These are the three rows you check before the sub steps on site.</t>
        </is>
      </c>
    </row>
    <row r="13" ht="18" customHeight="1">
      <c r="B13" s="4" t="inlineStr">
        <is>
          <t>Preferred - Yes / No / Reserved. 'Reserved' means in your rotation but only for specific scopes.</t>
        </is>
      </c>
    </row>
    <row r="14" ht="32" customHeight="1">
      <c r="B14" s="4" t="inlineStr">
        <is>
          <t>Last Used Date - When you last sent them a PO or pay app. Anyone with no entry inside 12 months should be re-verified before re-awarding.</t>
        </is>
      </c>
    </row>
    <row r="16" ht="22" customHeight="1">
      <c r="B16" s="3" t="inlineStr">
        <is>
          <t>Before you award - the 3-check rule</t>
        </is>
      </c>
    </row>
    <row r="17" ht="18" customHeight="1">
      <c r="B17" s="4" t="inlineStr">
        <is>
          <t>1. License Status = Active and License State matches the project's state of work.</t>
        </is>
      </c>
    </row>
    <row r="18" ht="32" customHeight="1">
      <c r="B18" s="4" t="inlineStr">
        <is>
          <t>2. COI on File = Yes and the cert is current. If your tracker says Yes but the PDF on file is expired, that is still a No - update this tracker the same day the cert expires.</t>
        </is>
      </c>
    </row>
    <row r="19" ht="18" customHeight="1">
      <c r="B19" s="4" t="inlineStr">
        <is>
          <t>3. W9 on File = Yes. No W9 means you cannot issue a 1099 in January. Get it before the first PO.</t>
        </is>
      </c>
    </row>
    <row r="20" ht="18" customHeight="1">
      <c r="B20" s="4" t="inlineStr">
        <is>
          <t>Three greens or you do not award. This tracker is the receipt that says you checked.</t>
        </is>
      </c>
    </row>
    <row r="22" ht="22" customHeight="1">
      <c r="B22" s="3" t="inlineStr">
        <is>
          <t>When to graduate to the Pro tracker</t>
        </is>
      </c>
    </row>
    <row r="23" ht="18" customHeight="1">
      <c r="B23" s="4" t="inlineStr">
        <is>
          <t>Move to Subcontractor_Tracker_Pro.xlsx when you need any of these:</t>
        </is>
      </c>
    </row>
    <row r="24" ht="18" customHeight="1">
      <c r="B24" s="4" t="inlineStr">
        <is>
          <t xml:space="preserve">  - Performance scoring (rating subs after each job)</t>
        </is>
      </c>
    </row>
    <row r="25" ht="18" customHeight="1">
      <c r="B25" s="4" t="inlineStr">
        <is>
          <t xml:space="preserve">  - Work history (which jobs each sub has been on, $$ run through them)</t>
        </is>
      </c>
    </row>
    <row r="26" ht="18" customHeight="1">
      <c r="B26" s="4" t="inlineStr">
        <is>
          <t xml:space="preserve">  - Pricing / hourly rate / markup data for estimating</t>
        </is>
      </c>
    </row>
    <row r="27" ht="18" customHeight="1">
      <c r="B27" s="4" t="inlineStr">
        <is>
          <t xml:space="preserve">  - Prequalification questionnaire and capacity tracking</t>
        </is>
      </c>
    </row>
    <row r="28" ht="18" customHeight="1">
      <c r="B28" s="4" t="inlineStr">
        <is>
          <t xml:space="preserve">  - Insurance limits, bonding capacity, EMR (experience mod rate)</t>
        </is>
      </c>
    </row>
    <row r="29" ht="32" customHeight="1">
      <c r="B29" s="4" t="inlineStr">
        <is>
          <t>If you are awarding more than ~25 subs a year or running multiple PMs picking subs, you have outgrown this tracker. Pro is where you go next.</t>
        </is>
      </c>
    </row>
    <row r="31" ht="22" customHeight="1">
      <c r="B31" s="3" t="inlineStr">
        <is>
          <t>Tab-by-tab quick start</t>
        </is>
      </c>
    </row>
    <row r="32" ht="48" customHeight="1">
      <c r="B32" s="4" t="inlineStr">
        <is>
          <t>1. Subcontractor Master List - one row per sub. Fill in company, contact, phone, email, address, Trade (dropdown), CSI Division (dropdown), CSI Code (text like 22 10 00), license info, COI / W9 / Preferred (dropdowns), Last Used Date, Notes.</t>
        </is>
      </c>
    </row>
    <row r="33" ht="18" customHeight="1">
      <c r="B33" s="4" t="inlineStr">
        <is>
          <t>2. Trade Summary - DO NOT edit. Rolls up counts by Trade automatically.</t>
        </is>
      </c>
    </row>
    <row r="34" ht="18" customHeight="1">
      <c r="B34" s="4" t="inlineStr">
        <is>
          <t>3. Dashboard - DO NOT edit. Read-only totals and risk flags.</t>
        </is>
      </c>
    </row>
    <row r="35" ht="18" customHeight="1">
      <c r="B35" s="4" t="inlineStr">
        <is>
          <t>4. CSI Reference - hidden by default. Unhide only if you need to inspect the canonical list.</t>
        </is>
      </c>
    </row>
    <row r="37" ht="22" customHeight="1">
      <c r="B37" s="3" t="inlineStr">
        <is>
          <t>Color coding cheat sheet</t>
        </is>
      </c>
    </row>
    <row r="38" ht="18" customHeight="1">
      <c r="B38" s="4" t="inlineStr">
        <is>
          <t>License Status: green = Active, yellow = Pending, red = Expired or Unknown.</t>
        </is>
      </c>
    </row>
    <row r="39" ht="18" customHeight="1">
      <c r="B39" s="4" t="inlineStr">
        <is>
          <t>COI on File: green = Yes, red = No or Expired.</t>
        </is>
      </c>
    </row>
    <row r="40" ht="18" customHeight="1">
      <c r="B40" s="4" t="inlineStr">
        <is>
          <t>W9 on File: green = Yes, red = No.</t>
        </is>
      </c>
    </row>
    <row r="41" ht="18" customHeight="1">
      <c r="B41" s="4" t="inlineStr">
        <is>
          <t>Preferred: green when Yes. No styling for No or Reserved.</t>
        </is>
      </c>
    </row>
    <row r="42" ht="18" customHeight="1">
      <c r="B42" s="4" t="inlineStr">
        <is>
          <t>Dashboard risk panel: counts in red = subs missing a required record.</t>
        </is>
      </c>
    </row>
    <row r="44" ht="22" customHeight="1">
      <c r="B44" s="3" t="inlineStr">
        <is>
          <t>Maintenance cadence</t>
        </is>
      </c>
    </row>
    <row r="45" ht="18" customHeight="1">
      <c r="B45" s="4" t="inlineStr">
        <is>
          <t>Monthly: scan License Status and COI columns. Anything red gets a follow-up email today.</t>
        </is>
      </c>
    </row>
    <row r="46" ht="32" customHeight="1">
      <c r="B46" s="4" t="inlineStr">
        <is>
          <t>Quarterly: re-run the 3-check rule on every Preferred = Yes sub. A Preferred sub with stale paper is worse than an unknown sub.</t>
        </is>
      </c>
    </row>
    <row r="47" ht="32" customHeight="1">
      <c r="B47" s="4" t="inlineStr">
        <is>
          <t>At year-end: confirm every sub you paid this year has W9 on File = Yes. The 1099 deadline is January 31 and IRS penalties are per-form.</t>
        </is>
      </c>
    </row>
    <row r="49" ht="22" customHeight="1">
      <c r="B49" s="3" t="inlineStr">
        <is>
          <t>Tabs in this workbook</t>
        </is>
      </c>
    </row>
    <row r="50" ht="18" customHeight="1">
      <c r="B50" s="4" t="inlineStr">
        <is>
          <t>Instructions  -  this tab</t>
        </is>
      </c>
    </row>
    <row r="51" ht="18" customHeight="1">
      <c r="B51" s="4" t="inlineStr">
        <is>
          <t>Subcontractor Master List  -  the main worksheet</t>
        </is>
      </c>
    </row>
    <row r="52" ht="18" customHeight="1">
      <c r="B52" s="4" t="inlineStr">
        <is>
          <t>Trade Summary  -  count roll-up by trade</t>
        </is>
      </c>
    </row>
    <row r="53" ht="18" customHeight="1">
      <c r="B53" s="4" t="inlineStr">
        <is>
          <t>Dashboard  -  totals and risk flags</t>
        </is>
      </c>
    </row>
    <row r="54" ht="18" customHeight="1">
      <c r="B54" s="4" t="inlineStr">
        <is>
          <t>CSI Reference  -  canonical division list (hidden)</t>
        </is>
      </c>
    </row>
    <row r="57">
      <c r="B57" s="5" t="inlineStr">
        <is>
          <t>ContrPro - built for builders. Questions: support@contrpro.com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6" customWidth="1" min="3" max="3"/>
    <col width="28" customWidth="1" min="4" max="4"/>
    <col width="30" customWidth="1" min="5" max="5"/>
    <col width="18" customWidth="1" min="6" max="6"/>
    <col width="12" customWidth="1" min="7" max="7"/>
    <col width="12" customWidth="1" min="8" max="8"/>
    <col width="26" customWidth="1" min="9" max="9"/>
    <col width="18" customWidth="1" min="10" max="10"/>
    <col width="12" customWidth="1" min="11" max="11"/>
    <col width="14" customWidth="1" min="12" max="12"/>
    <col width="12" customWidth="1" min="13" max="13"/>
    <col width="12" customWidth="1" min="14" max="14"/>
    <col width="12" customWidth="1" min="15" max="15"/>
    <col width="14" customWidth="1" min="16" max="16"/>
    <col width="38" customWidth="1" min="17" max="17"/>
  </cols>
  <sheetData>
    <row r="1" ht="28" customHeight="1">
      <c r="A1" s="1" t="inlineStr">
        <is>
          <t>Subcontractor Master List</t>
        </is>
      </c>
    </row>
    <row r="3" ht="28" customHeight="1">
      <c r="A3" s="6" t="inlineStr">
        <is>
          <t>Company Name</t>
        </is>
      </c>
      <c r="B3" s="6" t="inlineStr">
        <is>
          <t>Primary Contact</t>
        </is>
      </c>
      <c r="C3" s="6" t="inlineStr">
        <is>
          <t>Phone</t>
        </is>
      </c>
      <c r="D3" s="6" t="inlineStr">
        <is>
          <t>Email</t>
        </is>
      </c>
      <c r="E3" s="6" t="inlineStr">
        <is>
          <t>Address</t>
        </is>
      </c>
      <c r="F3" s="6" t="inlineStr">
        <is>
          <t>Trade</t>
        </is>
      </c>
      <c r="G3" s="6" t="inlineStr">
        <is>
          <t>CSI Division</t>
        </is>
      </c>
      <c r="H3" s="6" t="inlineStr">
        <is>
          <t>CSI Code</t>
        </is>
      </c>
      <c r="I3" s="6" t="inlineStr">
        <is>
          <t>Division Name</t>
        </is>
      </c>
      <c r="J3" s="6" t="inlineStr">
        <is>
          <t>License Number</t>
        </is>
      </c>
      <c r="K3" s="6" t="inlineStr">
        <is>
          <t>License State</t>
        </is>
      </c>
      <c r="L3" s="6" t="inlineStr">
        <is>
          <t>License Status</t>
        </is>
      </c>
      <c r="M3" s="6" t="inlineStr">
        <is>
          <t>COI on File?</t>
        </is>
      </c>
      <c r="N3" s="6" t="inlineStr">
        <is>
          <t>W9 on File?</t>
        </is>
      </c>
      <c r="O3" s="6" t="inlineStr">
        <is>
          <t>Preferred?</t>
        </is>
      </c>
      <c r="P3" s="6" t="inlineStr">
        <is>
          <t>Last Used Date</t>
        </is>
      </c>
      <c r="Q3" s="6" t="inlineStr">
        <is>
          <t>Notes</t>
        </is>
      </c>
    </row>
    <row r="4" ht="32" customHeight="1">
      <c r="A4" s="7" t="inlineStr">
        <is>
          <t>EXAMPLE - Pacific Steel Erectors</t>
        </is>
      </c>
      <c r="B4" s="8" t="inlineStr">
        <is>
          <t>Marcus Reyes</t>
        </is>
      </c>
      <c r="C4" s="8" t="inlineStr">
        <is>
          <t>(555) 213-8842</t>
        </is>
      </c>
      <c r="D4" s="8" t="inlineStr">
        <is>
          <t>marcus@pacificsteel.example</t>
        </is>
      </c>
      <c r="E4" s="7" t="inlineStr">
        <is>
          <t>1240 Industrial Way, Tacoma WA 98421</t>
        </is>
      </c>
      <c r="F4" s="8" t="inlineStr">
        <is>
          <t>Structural Steel</t>
        </is>
      </c>
      <c r="G4" s="9" t="inlineStr">
        <is>
          <t>05</t>
        </is>
      </c>
      <c r="H4" s="9" t="inlineStr">
        <is>
          <t>05 12 00</t>
        </is>
      </c>
      <c r="I4" s="7">
        <f>IFERROR(VLOOKUP(G4,CSI_Table,2,FALSE),"")</f>
        <v/>
      </c>
      <c r="J4" s="8" t="inlineStr">
        <is>
          <t>WA-CTR-104882</t>
        </is>
      </c>
      <c r="K4" s="8" t="inlineStr">
        <is>
          <t>WA</t>
        </is>
      </c>
      <c r="L4" s="8" t="inlineStr">
        <is>
          <t>Active</t>
        </is>
      </c>
      <c r="M4" s="8" t="inlineStr">
        <is>
          <t>Yes</t>
        </is>
      </c>
      <c r="N4" s="8" t="inlineStr">
        <is>
          <t>Yes</t>
        </is>
      </c>
      <c r="O4" s="8" t="inlineStr">
        <is>
          <t>Yes</t>
        </is>
      </c>
      <c r="P4" s="10" t="inlineStr">
        <is>
          <t>2026-04-12</t>
        </is>
      </c>
      <c r="Q4" s="7" t="inlineStr">
        <is>
          <t>Solid steel erection crew. Used on Riverside Office Bldg. COI thru 2026-09-30. Preferred for steel &gt;50 tons.</t>
        </is>
      </c>
    </row>
    <row r="5" ht="32" customHeight="1">
      <c r="A5" s="7" t="inlineStr">
        <is>
          <t>EXAMPLE - Apex Plumbing &amp; Mechanical</t>
        </is>
      </c>
      <c r="B5" s="8" t="inlineStr">
        <is>
          <t>Dana Whitfield</t>
        </is>
      </c>
      <c r="C5" s="8" t="inlineStr">
        <is>
          <t>(555) 661-0034</t>
        </is>
      </c>
      <c r="D5" s="8" t="inlineStr">
        <is>
          <t>dana@apexpm.example</t>
        </is>
      </c>
      <c r="E5" s="7" t="inlineStr">
        <is>
          <t>5612 Service Rd, Portland OR 97211</t>
        </is>
      </c>
      <c r="F5" s="8" t="inlineStr">
        <is>
          <t>Plumbing</t>
        </is>
      </c>
      <c r="G5" s="9" t="inlineStr">
        <is>
          <t>22</t>
        </is>
      </c>
      <c r="H5" s="9" t="inlineStr">
        <is>
          <t>22 10 00</t>
        </is>
      </c>
      <c r="I5" s="7">
        <f>IFERROR(VLOOKUP(G5,CSI_Table,2,FALSE),"")</f>
        <v/>
      </c>
      <c r="J5" s="8" t="inlineStr">
        <is>
          <t>OR-PLB-77231</t>
        </is>
      </c>
      <c r="K5" s="8" t="inlineStr">
        <is>
          <t>OR</t>
        </is>
      </c>
      <c r="L5" s="8" t="inlineStr">
        <is>
          <t>Active</t>
        </is>
      </c>
      <c r="M5" s="8" t="inlineStr">
        <is>
          <t>Yes</t>
        </is>
      </c>
      <c r="N5" s="8" t="inlineStr">
        <is>
          <t>Yes</t>
        </is>
      </c>
      <c r="O5" s="8" t="inlineStr">
        <is>
          <t>Yes</t>
        </is>
      </c>
      <c r="P5" s="10" t="inlineStr">
        <is>
          <t>2026-05-02</t>
        </is>
      </c>
      <c r="Q5" s="7" t="inlineStr">
        <is>
          <t>Apex handles plumbing rough-in and fixtures. Estimator: Dana. COI thru 2026-12-31. Pay app cadence is monthly.</t>
        </is>
      </c>
    </row>
    <row r="6" ht="32" customHeight="1">
      <c r="A6" s="7" t="inlineStr">
        <is>
          <t>EXAMPLE - Bayside Electric LLC</t>
        </is>
      </c>
      <c r="B6" s="8" t="inlineStr">
        <is>
          <t>Renee Hu</t>
        </is>
      </c>
      <c r="C6" s="8" t="inlineStr">
        <is>
          <t>(555) 408-2917</t>
        </is>
      </c>
      <c r="D6" s="8" t="inlineStr">
        <is>
          <t>renee@baysideelec.example</t>
        </is>
      </c>
      <c r="E6" s="7" t="inlineStr">
        <is>
          <t>888 Harbor Blvd, Oakland CA 94606</t>
        </is>
      </c>
      <c r="F6" s="8" t="inlineStr">
        <is>
          <t>Electrical</t>
        </is>
      </c>
      <c r="G6" s="9" t="inlineStr">
        <is>
          <t>26</t>
        </is>
      </c>
      <c r="H6" s="9" t="inlineStr">
        <is>
          <t>26 50 00</t>
        </is>
      </c>
      <c r="I6" s="7">
        <f>IFERROR(VLOOKUP(G6,CSI_Table,2,FALSE),"")</f>
        <v/>
      </c>
      <c r="J6" s="8" t="inlineStr">
        <is>
          <t>CA-C10-1004821</t>
        </is>
      </c>
      <c r="K6" s="8" t="inlineStr">
        <is>
          <t>CA</t>
        </is>
      </c>
      <c r="L6" s="8" t="inlineStr">
        <is>
          <t>Active</t>
        </is>
      </c>
      <c r="M6" s="8" t="inlineStr">
        <is>
          <t>Expired</t>
        </is>
      </c>
      <c r="N6" s="8" t="inlineStr">
        <is>
          <t>Yes</t>
        </is>
      </c>
      <c r="O6" s="8" t="inlineStr">
        <is>
          <t>No</t>
        </is>
      </c>
      <c r="P6" s="10" t="inlineStr">
        <is>
          <t>2026-02-12</t>
        </is>
      </c>
      <c r="Q6" s="7" t="inlineStr">
        <is>
          <t>RISK: COI expired 2026-04-30. Pending renewed cert before any new awards. Quality is fine, paperwork is slow.</t>
        </is>
      </c>
    </row>
    <row r="7" ht="32" customHeight="1">
      <c r="A7" s="7" t="inlineStr">
        <is>
          <t>EXAMPLE - North Cascade HVAC</t>
        </is>
      </c>
      <c r="B7" s="8" t="inlineStr">
        <is>
          <t>Sam Petrov</t>
        </is>
      </c>
      <c r="C7" s="8" t="inlineStr">
        <is>
          <t>(555) 920-4477</t>
        </is>
      </c>
      <c r="D7" s="8" t="inlineStr">
        <is>
          <t>sam@ncascadehvac.example</t>
        </is>
      </c>
      <c r="E7" s="7" t="inlineStr">
        <is>
          <t>201 Mountain View Dr, Bellingham WA 98225</t>
        </is>
      </c>
      <c r="F7" s="8" t="inlineStr">
        <is>
          <t>HVAC</t>
        </is>
      </c>
      <c r="G7" s="9" t="inlineStr">
        <is>
          <t>23</t>
        </is>
      </c>
      <c r="H7" s="9" t="inlineStr">
        <is>
          <t>23 30 00</t>
        </is>
      </c>
      <c r="I7" s="7">
        <f>IFERROR(VLOOKUP(G7,CSI_Table,2,FALSE),"")</f>
        <v/>
      </c>
      <c r="J7" s="8" t="inlineStr">
        <is>
          <t>WA-MEC-55619</t>
        </is>
      </c>
      <c r="K7" s="8" t="inlineStr">
        <is>
          <t>WA</t>
        </is>
      </c>
      <c r="L7" s="8" t="inlineStr">
        <is>
          <t>Active</t>
        </is>
      </c>
      <c r="M7" s="8" t="inlineStr">
        <is>
          <t>Yes</t>
        </is>
      </c>
      <c r="N7" s="8" t="inlineStr">
        <is>
          <t>Yes</t>
        </is>
      </c>
      <c r="O7" s="8" t="inlineStr">
        <is>
          <t>Yes</t>
        </is>
      </c>
      <c r="P7" s="10" t="inlineStr">
        <is>
          <t>2026-03-22</t>
        </is>
      </c>
      <c r="Q7" s="7" t="inlineStr">
        <is>
          <t>Preferred HVAC. Strong on VAV controls. Owner-rep approved on Riverside and Pinnacle.</t>
        </is>
      </c>
    </row>
    <row r="8" ht="32" customHeight="1">
      <c r="A8" s="7" t="inlineStr">
        <is>
          <t>EXAMPLE - Granite West Concrete</t>
        </is>
      </c>
      <c r="B8" s="8" t="inlineStr">
        <is>
          <t>Tomas Okafor</t>
        </is>
      </c>
      <c r="C8" s="8" t="inlineStr">
        <is>
          <t>(555) 717-3360</t>
        </is>
      </c>
      <c r="D8" s="8" t="inlineStr">
        <is>
          <t>tomas@granitewest.example</t>
        </is>
      </c>
      <c r="E8" s="7" t="inlineStr">
        <is>
          <t>3300 Plant Rd, Spokane WA 99202</t>
        </is>
      </c>
      <c r="F8" s="8" t="inlineStr">
        <is>
          <t>Concrete</t>
        </is>
      </c>
      <c r="G8" s="9" t="inlineStr">
        <is>
          <t>03</t>
        </is>
      </c>
      <c r="H8" s="9" t="inlineStr">
        <is>
          <t>03 30 00</t>
        </is>
      </c>
      <c r="I8" s="7">
        <f>IFERROR(VLOOKUP(G8,CSI_Table,2,FALSE),"")</f>
        <v/>
      </c>
      <c r="J8" s="8" t="inlineStr">
        <is>
          <t>WA-CON-88914</t>
        </is>
      </c>
      <c r="K8" s="8" t="inlineStr">
        <is>
          <t>WA</t>
        </is>
      </c>
      <c r="L8" s="8" t="inlineStr">
        <is>
          <t>Active</t>
        </is>
      </c>
      <c r="M8" s="8" t="inlineStr">
        <is>
          <t>Yes</t>
        </is>
      </c>
      <c r="N8" s="8" t="inlineStr">
        <is>
          <t>Yes</t>
        </is>
      </c>
      <c r="O8" s="8" t="inlineStr">
        <is>
          <t>No</t>
        </is>
      </c>
      <c r="P8" s="10" t="inlineStr">
        <is>
          <t>2026-01-18</t>
        </is>
      </c>
      <c r="Q8" s="7" t="inlineStr">
        <is>
          <t>Used on small slab pours. Bigger pours we move to GraniteCore. Pricing is fair, scheduling is the friction.</t>
        </is>
      </c>
    </row>
    <row r="9" ht="32" customHeight="1">
      <c r="A9" s="7" t="inlineStr">
        <is>
          <t>EXAMPLE - Cornerstone Masonry</t>
        </is>
      </c>
      <c r="B9" s="8" t="inlineStr">
        <is>
          <t>Lila Bennett</t>
        </is>
      </c>
      <c r="C9" s="8" t="inlineStr">
        <is>
          <t>(555) 332-5511</t>
        </is>
      </c>
      <c r="D9" s="8" t="inlineStr">
        <is>
          <t>lila@cornermason.example</t>
        </is>
      </c>
      <c r="E9" s="7" t="inlineStr">
        <is>
          <t>44 Brick Yard Ln, Boise ID 83702</t>
        </is>
      </c>
      <c r="F9" s="8" t="inlineStr">
        <is>
          <t>Masonry</t>
        </is>
      </c>
      <c r="G9" s="9" t="inlineStr">
        <is>
          <t>04</t>
        </is>
      </c>
      <c r="H9" s="9" t="inlineStr">
        <is>
          <t>04 20 00</t>
        </is>
      </c>
      <c r="I9" s="7">
        <f>IFERROR(VLOOKUP(G9,CSI_Table,2,FALSE),"")</f>
        <v/>
      </c>
      <c r="J9" s="8" t="inlineStr">
        <is>
          <t>ID-MSN-21908</t>
        </is>
      </c>
      <c r="K9" s="8" t="inlineStr">
        <is>
          <t>ID</t>
        </is>
      </c>
      <c r="L9" s="8" t="inlineStr">
        <is>
          <t>Pending</t>
        </is>
      </c>
      <c r="M9" s="8" t="inlineStr">
        <is>
          <t>Yes</t>
        </is>
      </c>
      <c r="N9" s="8" t="inlineStr">
        <is>
          <t>No</t>
        </is>
      </c>
      <c r="O9" s="8" t="inlineStr">
        <is>
          <t>Reserved</t>
        </is>
      </c>
      <c r="P9" s="10" t="n"/>
      <c r="Q9" s="7" t="inlineStr">
        <is>
          <t>License renewal pending with state - confirm before award. W9 not received. New relationship, no work assigned yet.</t>
        </is>
      </c>
    </row>
    <row r="10" ht="32" customHeight="1">
      <c r="A10" s="7" t="inlineStr">
        <is>
          <t>EXAMPLE - Skyline Roofing Co</t>
        </is>
      </c>
      <c r="B10" s="8" t="inlineStr">
        <is>
          <t>Jorge Alvarez</t>
        </is>
      </c>
      <c r="C10" s="8" t="inlineStr">
        <is>
          <t>(555) 224-6611</t>
        </is>
      </c>
      <c r="D10" s="8" t="inlineStr">
        <is>
          <t>jorge@skylineroof.example</t>
        </is>
      </c>
      <c r="E10" s="7" t="inlineStr">
        <is>
          <t>1101 Industrial Pkwy, Reno NV 89502</t>
        </is>
      </c>
      <c r="F10" s="8" t="inlineStr">
        <is>
          <t>Roofing</t>
        </is>
      </c>
      <c r="G10" s="9" t="inlineStr">
        <is>
          <t>07</t>
        </is>
      </c>
      <c r="H10" s="9" t="inlineStr">
        <is>
          <t>07 50 00</t>
        </is>
      </c>
      <c r="I10" s="7">
        <f>IFERROR(VLOOKUP(G10,CSI_Table,2,FALSE),"")</f>
        <v/>
      </c>
      <c r="J10" s="8" t="inlineStr">
        <is>
          <t>NV-ROOF-44520</t>
        </is>
      </c>
      <c r="K10" s="8" t="inlineStr">
        <is>
          <t>NV</t>
        </is>
      </c>
      <c r="L10" s="8" t="inlineStr">
        <is>
          <t>Active</t>
        </is>
      </c>
      <c r="M10" s="8" t="inlineStr">
        <is>
          <t>Yes</t>
        </is>
      </c>
      <c r="N10" s="8" t="inlineStr">
        <is>
          <t>Yes</t>
        </is>
      </c>
      <c r="O10" s="8" t="inlineStr">
        <is>
          <t>Yes</t>
        </is>
      </c>
      <c r="P10" s="10" t="inlineStr">
        <is>
          <t>2026-04-19</t>
        </is>
      </c>
      <c r="Q10" s="7" t="inlineStr">
        <is>
          <t>TPO and modified bit. Did the wind-event membrane repair on Riverside. Responsive in emergencies, premium pricing.</t>
        </is>
      </c>
    </row>
    <row r="11" ht="32" customHeight="1">
      <c r="A11" s="7" t="inlineStr">
        <is>
          <t>EXAMPLE - Allied Drywall &amp; Finishes</t>
        </is>
      </c>
      <c r="B11" s="8" t="inlineStr">
        <is>
          <t>Kim Park</t>
        </is>
      </c>
      <c r="C11" s="8" t="inlineStr">
        <is>
          <t>(555) 559-2218</t>
        </is>
      </c>
      <c r="D11" s="8" t="inlineStr">
        <is>
          <t>kim@allieddrywall.example</t>
        </is>
      </c>
      <c r="E11" s="7" t="inlineStr">
        <is>
          <t>78 Trade Center Dr, Seattle WA 98108</t>
        </is>
      </c>
      <c r="F11" s="8" t="inlineStr">
        <is>
          <t>Drywall</t>
        </is>
      </c>
      <c r="G11" s="9" t="inlineStr">
        <is>
          <t>09</t>
        </is>
      </c>
      <c r="H11" s="9" t="inlineStr">
        <is>
          <t>09 29 00</t>
        </is>
      </c>
      <c r="I11" s="7">
        <f>IFERROR(VLOOKUP(G11,CSI_Table,2,FALSE),"")</f>
        <v/>
      </c>
      <c r="J11" s="8" t="inlineStr">
        <is>
          <t>WA-CTR-203847</t>
        </is>
      </c>
      <c r="K11" s="8" t="inlineStr">
        <is>
          <t>WA</t>
        </is>
      </c>
      <c r="L11" s="8" t="inlineStr">
        <is>
          <t>Unknown</t>
        </is>
      </c>
      <c r="M11" s="8" t="inlineStr">
        <is>
          <t>No</t>
        </is>
      </c>
      <c r="N11" s="8" t="inlineStr">
        <is>
          <t>Yes</t>
        </is>
      </c>
      <c r="O11" s="8" t="inlineStr">
        <is>
          <t>No</t>
        </is>
      </c>
      <c r="P11" s="10" t="inlineStr">
        <is>
          <t>2025-11-04</t>
        </is>
      </c>
      <c r="Q11" s="7" t="inlineStr">
        <is>
          <t>Used 6 months ago. License status unknown - need to verify with L&amp;I before next award. No current COI on file.</t>
        </is>
      </c>
    </row>
    <row r="12" ht="32" customHeight="1">
      <c r="A12" s="7" t="n"/>
      <c r="B12" s="8" t="n"/>
      <c r="C12" s="8" t="n"/>
      <c r="D12" s="8" t="n"/>
      <c r="E12" s="7" t="n"/>
      <c r="F12" s="8" t="n"/>
      <c r="G12" s="9" t="n"/>
      <c r="H12" s="9" t="n"/>
      <c r="I12" s="7">
        <f>IFERROR(VLOOKUP(G12,CSI_Table,2,FALSE),"")</f>
        <v/>
      </c>
      <c r="J12" s="8" t="n"/>
      <c r="K12" s="8" t="n"/>
      <c r="L12" s="8" t="n"/>
      <c r="M12" s="8" t="n"/>
      <c r="N12" s="8" t="n"/>
      <c r="O12" s="8" t="n"/>
      <c r="P12" s="10" t="n"/>
      <c r="Q12" s="7" t="n"/>
    </row>
    <row r="13" ht="32" customHeight="1">
      <c r="A13" s="7" t="n"/>
      <c r="B13" s="8" t="n"/>
      <c r="C13" s="8" t="n"/>
      <c r="D13" s="8" t="n"/>
      <c r="E13" s="7" t="n"/>
      <c r="F13" s="8" t="n"/>
      <c r="G13" s="9" t="n"/>
      <c r="H13" s="9" t="n"/>
      <c r="I13" s="7">
        <f>IFERROR(VLOOKUP(G13,CSI_Table,2,FALSE),"")</f>
        <v/>
      </c>
      <c r="J13" s="8" t="n"/>
      <c r="K13" s="8" t="n"/>
      <c r="L13" s="8" t="n"/>
      <c r="M13" s="8" t="n"/>
      <c r="N13" s="8" t="n"/>
      <c r="O13" s="8" t="n"/>
      <c r="P13" s="10" t="n"/>
      <c r="Q13" s="7" t="n"/>
    </row>
    <row r="14" ht="32" customHeight="1">
      <c r="A14" s="7" t="n"/>
      <c r="B14" s="8" t="n"/>
      <c r="C14" s="8" t="n"/>
      <c r="D14" s="8" t="n"/>
      <c r="E14" s="7" t="n"/>
      <c r="F14" s="8" t="n"/>
      <c r="G14" s="9" t="n"/>
      <c r="H14" s="9" t="n"/>
      <c r="I14" s="7">
        <f>IFERROR(VLOOKUP(G14,CSI_Table,2,FALSE),"")</f>
        <v/>
      </c>
      <c r="J14" s="8" t="n"/>
      <c r="K14" s="8" t="n"/>
      <c r="L14" s="8" t="n"/>
      <c r="M14" s="8" t="n"/>
      <c r="N14" s="8" t="n"/>
      <c r="O14" s="8" t="n"/>
      <c r="P14" s="10" t="n"/>
      <c r="Q14" s="7" t="n"/>
    </row>
    <row r="15" ht="32" customHeight="1">
      <c r="A15" s="7" t="n"/>
      <c r="B15" s="8" t="n"/>
      <c r="C15" s="8" t="n"/>
      <c r="D15" s="8" t="n"/>
      <c r="E15" s="7" t="n"/>
      <c r="F15" s="8" t="n"/>
      <c r="G15" s="9" t="n"/>
      <c r="H15" s="9" t="n"/>
      <c r="I15" s="7">
        <f>IFERROR(VLOOKUP(G15,CSI_Table,2,FALSE),"")</f>
        <v/>
      </c>
      <c r="J15" s="8" t="n"/>
      <c r="K15" s="8" t="n"/>
      <c r="L15" s="8" t="n"/>
      <c r="M15" s="8" t="n"/>
      <c r="N15" s="8" t="n"/>
      <c r="O15" s="8" t="n"/>
      <c r="P15" s="10" t="n"/>
      <c r="Q15" s="7" t="n"/>
    </row>
    <row r="16" ht="32" customHeight="1">
      <c r="A16" s="7" t="n"/>
      <c r="B16" s="8" t="n"/>
      <c r="C16" s="8" t="n"/>
      <c r="D16" s="8" t="n"/>
      <c r="E16" s="7" t="n"/>
      <c r="F16" s="8" t="n"/>
      <c r="G16" s="9" t="n"/>
      <c r="H16" s="9" t="n"/>
      <c r="I16" s="7">
        <f>IFERROR(VLOOKUP(G16,CSI_Table,2,FALSE),"")</f>
        <v/>
      </c>
      <c r="J16" s="8" t="n"/>
      <c r="K16" s="8" t="n"/>
      <c r="L16" s="8" t="n"/>
      <c r="M16" s="8" t="n"/>
      <c r="N16" s="8" t="n"/>
      <c r="O16" s="8" t="n"/>
      <c r="P16" s="10" t="n"/>
      <c r="Q16" s="7" t="n"/>
    </row>
    <row r="17" ht="32" customHeight="1">
      <c r="A17" s="7" t="n"/>
      <c r="B17" s="8" t="n"/>
      <c r="C17" s="8" t="n"/>
      <c r="D17" s="8" t="n"/>
      <c r="E17" s="7" t="n"/>
      <c r="F17" s="8" t="n"/>
      <c r="G17" s="9" t="n"/>
      <c r="H17" s="9" t="n"/>
      <c r="I17" s="7">
        <f>IFERROR(VLOOKUP(G17,CSI_Table,2,FALSE),"")</f>
        <v/>
      </c>
      <c r="J17" s="8" t="n"/>
      <c r="K17" s="8" t="n"/>
      <c r="L17" s="8" t="n"/>
      <c r="M17" s="8" t="n"/>
      <c r="N17" s="8" t="n"/>
      <c r="O17" s="8" t="n"/>
      <c r="P17" s="10" t="n"/>
      <c r="Q17" s="7" t="n"/>
    </row>
    <row r="18" ht="32" customHeight="1">
      <c r="A18" s="7" t="n"/>
      <c r="B18" s="8" t="n"/>
      <c r="C18" s="8" t="n"/>
      <c r="D18" s="8" t="n"/>
      <c r="E18" s="7" t="n"/>
      <c r="F18" s="8" t="n"/>
      <c r="G18" s="9" t="n"/>
      <c r="H18" s="9" t="n"/>
      <c r="I18" s="7">
        <f>IFERROR(VLOOKUP(G18,CSI_Table,2,FALSE),"")</f>
        <v/>
      </c>
      <c r="J18" s="8" t="n"/>
      <c r="K18" s="8" t="n"/>
      <c r="L18" s="8" t="n"/>
      <c r="M18" s="8" t="n"/>
      <c r="N18" s="8" t="n"/>
      <c r="O18" s="8" t="n"/>
      <c r="P18" s="10" t="n"/>
      <c r="Q18" s="7" t="n"/>
    </row>
    <row r="19" ht="32" customHeight="1">
      <c r="A19" s="7" t="n"/>
      <c r="B19" s="8" t="n"/>
      <c r="C19" s="8" t="n"/>
      <c r="D19" s="8" t="n"/>
      <c r="E19" s="7" t="n"/>
      <c r="F19" s="8" t="n"/>
      <c r="G19" s="9" t="n"/>
      <c r="H19" s="9" t="n"/>
      <c r="I19" s="7">
        <f>IFERROR(VLOOKUP(G19,CSI_Table,2,FALSE),"")</f>
        <v/>
      </c>
      <c r="J19" s="8" t="n"/>
      <c r="K19" s="8" t="n"/>
      <c r="L19" s="8" t="n"/>
      <c r="M19" s="8" t="n"/>
      <c r="N19" s="8" t="n"/>
      <c r="O19" s="8" t="n"/>
      <c r="P19" s="10" t="n"/>
      <c r="Q19" s="7" t="n"/>
    </row>
    <row r="20" ht="32" customHeight="1">
      <c r="A20" s="7" t="n"/>
      <c r="B20" s="8" t="n"/>
      <c r="C20" s="8" t="n"/>
      <c r="D20" s="8" t="n"/>
      <c r="E20" s="7" t="n"/>
      <c r="F20" s="8" t="n"/>
      <c r="G20" s="9" t="n"/>
      <c r="H20" s="9" t="n"/>
      <c r="I20" s="7">
        <f>IFERROR(VLOOKUP(G20,CSI_Table,2,FALSE),"")</f>
        <v/>
      </c>
      <c r="J20" s="8" t="n"/>
      <c r="K20" s="8" t="n"/>
      <c r="L20" s="8" t="n"/>
      <c r="M20" s="8" t="n"/>
      <c r="N20" s="8" t="n"/>
      <c r="O20" s="8" t="n"/>
      <c r="P20" s="10" t="n"/>
      <c r="Q20" s="7" t="n"/>
    </row>
    <row r="21" ht="32" customHeight="1">
      <c r="A21" s="7" t="n"/>
      <c r="B21" s="8" t="n"/>
      <c r="C21" s="8" t="n"/>
      <c r="D21" s="8" t="n"/>
      <c r="E21" s="7" t="n"/>
      <c r="F21" s="8" t="n"/>
      <c r="G21" s="9" t="n"/>
      <c r="H21" s="9" t="n"/>
      <c r="I21" s="7">
        <f>IFERROR(VLOOKUP(G21,CSI_Table,2,FALSE),"")</f>
        <v/>
      </c>
      <c r="J21" s="8" t="n"/>
      <c r="K21" s="8" t="n"/>
      <c r="L21" s="8" t="n"/>
      <c r="M21" s="8" t="n"/>
      <c r="N21" s="8" t="n"/>
      <c r="O21" s="8" t="n"/>
      <c r="P21" s="10" t="n"/>
      <c r="Q21" s="7" t="n"/>
    </row>
    <row r="22" ht="32" customHeight="1">
      <c r="A22" s="7" t="n"/>
      <c r="B22" s="8" t="n"/>
      <c r="C22" s="8" t="n"/>
      <c r="D22" s="8" t="n"/>
      <c r="E22" s="7" t="n"/>
      <c r="F22" s="8" t="n"/>
      <c r="G22" s="9" t="n"/>
      <c r="H22" s="9" t="n"/>
      <c r="I22" s="7">
        <f>IFERROR(VLOOKUP(G22,CSI_Table,2,FALSE),"")</f>
        <v/>
      </c>
      <c r="J22" s="8" t="n"/>
      <c r="K22" s="8" t="n"/>
      <c r="L22" s="8" t="n"/>
      <c r="M22" s="8" t="n"/>
      <c r="N22" s="8" t="n"/>
      <c r="O22" s="8" t="n"/>
      <c r="P22" s="10" t="n"/>
      <c r="Q22" s="7" t="n"/>
    </row>
    <row r="23" ht="32" customHeight="1">
      <c r="A23" s="7" t="n"/>
      <c r="B23" s="8" t="n"/>
      <c r="C23" s="8" t="n"/>
      <c r="D23" s="8" t="n"/>
      <c r="E23" s="7" t="n"/>
      <c r="F23" s="8" t="n"/>
      <c r="G23" s="9" t="n"/>
      <c r="H23" s="9" t="n"/>
      <c r="I23" s="7">
        <f>IFERROR(VLOOKUP(G23,CSI_Table,2,FALSE),"")</f>
        <v/>
      </c>
      <c r="J23" s="8" t="n"/>
      <c r="K23" s="8" t="n"/>
      <c r="L23" s="8" t="n"/>
      <c r="M23" s="8" t="n"/>
      <c r="N23" s="8" t="n"/>
      <c r="O23" s="8" t="n"/>
      <c r="P23" s="10" t="n"/>
      <c r="Q23" s="7" t="n"/>
    </row>
    <row r="24" ht="32" customHeight="1">
      <c r="A24" s="7" t="n"/>
      <c r="B24" s="8" t="n"/>
      <c r="C24" s="8" t="n"/>
      <c r="D24" s="8" t="n"/>
      <c r="E24" s="7" t="n"/>
      <c r="F24" s="8" t="n"/>
      <c r="G24" s="9" t="n"/>
      <c r="H24" s="9" t="n"/>
      <c r="I24" s="7">
        <f>IFERROR(VLOOKUP(G24,CSI_Table,2,FALSE),"")</f>
        <v/>
      </c>
      <c r="J24" s="8" t="n"/>
      <c r="K24" s="8" t="n"/>
      <c r="L24" s="8" t="n"/>
      <c r="M24" s="8" t="n"/>
      <c r="N24" s="8" t="n"/>
      <c r="O24" s="8" t="n"/>
      <c r="P24" s="10" t="n"/>
      <c r="Q24" s="7" t="n"/>
    </row>
    <row r="25" ht="32" customHeight="1">
      <c r="A25" s="7" t="n"/>
      <c r="B25" s="8" t="n"/>
      <c r="C25" s="8" t="n"/>
      <c r="D25" s="8" t="n"/>
      <c r="E25" s="7" t="n"/>
      <c r="F25" s="8" t="n"/>
      <c r="G25" s="9" t="n"/>
      <c r="H25" s="9" t="n"/>
      <c r="I25" s="7">
        <f>IFERROR(VLOOKUP(G25,CSI_Table,2,FALSE),"")</f>
        <v/>
      </c>
      <c r="J25" s="8" t="n"/>
      <c r="K25" s="8" t="n"/>
      <c r="L25" s="8" t="n"/>
      <c r="M25" s="8" t="n"/>
      <c r="N25" s="8" t="n"/>
      <c r="O25" s="8" t="n"/>
      <c r="P25" s="10" t="n"/>
      <c r="Q25" s="7" t="n"/>
    </row>
    <row r="26" ht="32" customHeight="1">
      <c r="A26" s="7" t="n"/>
      <c r="B26" s="8" t="n"/>
      <c r="C26" s="8" t="n"/>
      <c r="D26" s="8" t="n"/>
      <c r="E26" s="7" t="n"/>
      <c r="F26" s="8" t="n"/>
      <c r="G26" s="9" t="n"/>
      <c r="H26" s="9" t="n"/>
      <c r="I26" s="7">
        <f>IFERROR(VLOOKUP(G26,CSI_Table,2,FALSE),"")</f>
        <v/>
      </c>
      <c r="J26" s="8" t="n"/>
      <c r="K26" s="8" t="n"/>
      <c r="L26" s="8" t="n"/>
      <c r="M26" s="8" t="n"/>
      <c r="N26" s="8" t="n"/>
      <c r="O26" s="8" t="n"/>
      <c r="P26" s="10" t="n"/>
      <c r="Q26" s="7" t="n"/>
    </row>
    <row r="27" ht="32" customHeight="1">
      <c r="A27" s="7" t="n"/>
      <c r="B27" s="8" t="n"/>
      <c r="C27" s="8" t="n"/>
      <c r="D27" s="8" t="n"/>
      <c r="E27" s="7" t="n"/>
      <c r="F27" s="8" t="n"/>
      <c r="G27" s="9" t="n"/>
      <c r="H27" s="9" t="n"/>
      <c r="I27" s="7">
        <f>IFERROR(VLOOKUP(G27,CSI_Table,2,FALSE),"")</f>
        <v/>
      </c>
      <c r="J27" s="8" t="n"/>
      <c r="K27" s="8" t="n"/>
      <c r="L27" s="8" t="n"/>
      <c r="M27" s="8" t="n"/>
      <c r="N27" s="8" t="n"/>
      <c r="O27" s="8" t="n"/>
      <c r="P27" s="10" t="n"/>
      <c r="Q27" s="7" t="n"/>
    </row>
    <row r="28" ht="32" customHeight="1">
      <c r="A28" s="7" t="n"/>
      <c r="B28" s="8" t="n"/>
      <c r="C28" s="8" t="n"/>
      <c r="D28" s="8" t="n"/>
      <c r="E28" s="7" t="n"/>
      <c r="F28" s="8" t="n"/>
      <c r="G28" s="9" t="n"/>
      <c r="H28" s="9" t="n"/>
      <c r="I28" s="7">
        <f>IFERROR(VLOOKUP(G28,CSI_Table,2,FALSE),"")</f>
        <v/>
      </c>
      <c r="J28" s="8" t="n"/>
      <c r="K28" s="8" t="n"/>
      <c r="L28" s="8" t="n"/>
      <c r="M28" s="8" t="n"/>
      <c r="N28" s="8" t="n"/>
      <c r="O28" s="8" t="n"/>
      <c r="P28" s="10" t="n"/>
      <c r="Q28" s="7" t="n"/>
    </row>
    <row r="29" ht="32" customHeight="1">
      <c r="A29" s="7" t="n"/>
      <c r="B29" s="8" t="n"/>
      <c r="C29" s="8" t="n"/>
      <c r="D29" s="8" t="n"/>
      <c r="E29" s="7" t="n"/>
      <c r="F29" s="8" t="n"/>
      <c r="G29" s="9" t="n"/>
      <c r="H29" s="9" t="n"/>
      <c r="I29" s="7">
        <f>IFERROR(VLOOKUP(G29,CSI_Table,2,FALSE),"")</f>
        <v/>
      </c>
      <c r="J29" s="8" t="n"/>
      <c r="K29" s="8" t="n"/>
      <c r="L29" s="8" t="n"/>
      <c r="M29" s="8" t="n"/>
      <c r="N29" s="8" t="n"/>
      <c r="O29" s="8" t="n"/>
      <c r="P29" s="10" t="n"/>
      <c r="Q29" s="7" t="n"/>
    </row>
    <row r="30" ht="32" customHeight="1">
      <c r="A30" s="7" t="n"/>
      <c r="B30" s="8" t="n"/>
      <c r="C30" s="8" t="n"/>
      <c r="D30" s="8" t="n"/>
      <c r="E30" s="7" t="n"/>
      <c r="F30" s="8" t="n"/>
      <c r="G30" s="9" t="n"/>
      <c r="H30" s="9" t="n"/>
      <c r="I30" s="7">
        <f>IFERROR(VLOOKUP(G30,CSI_Table,2,FALSE),"")</f>
        <v/>
      </c>
      <c r="J30" s="8" t="n"/>
      <c r="K30" s="8" t="n"/>
      <c r="L30" s="8" t="n"/>
      <c r="M30" s="8" t="n"/>
      <c r="N30" s="8" t="n"/>
      <c r="O30" s="8" t="n"/>
      <c r="P30" s="10" t="n"/>
      <c r="Q30" s="7" t="n"/>
    </row>
    <row r="31" ht="32" customHeight="1">
      <c r="A31" s="7" t="n"/>
      <c r="B31" s="8" t="n"/>
      <c r="C31" s="8" t="n"/>
      <c r="D31" s="8" t="n"/>
      <c r="E31" s="7" t="n"/>
      <c r="F31" s="8" t="n"/>
      <c r="G31" s="9" t="n"/>
      <c r="H31" s="9" t="n"/>
      <c r="I31" s="7">
        <f>IFERROR(VLOOKUP(G31,CSI_Table,2,FALSE),"")</f>
        <v/>
      </c>
      <c r="J31" s="8" t="n"/>
      <c r="K31" s="8" t="n"/>
      <c r="L31" s="8" t="n"/>
      <c r="M31" s="8" t="n"/>
      <c r="N31" s="8" t="n"/>
      <c r="O31" s="8" t="n"/>
      <c r="P31" s="10" t="n"/>
      <c r="Q31" s="7" t="n"/>
    </row>
    <row r="32" ht="32" customHeight="1">
      <c r="A32" s="7" t="n"/>
      <c r="B32" s="8" t="n"/>
      <c r="C32" s="8" t="n"/>
      <c r="D32" s="8" t="n"/>
      <c r="E32" s="7" t="n"/>
      <c r="F32" s="8" t="n"/>
      <c r="G32" s="9" t="n"/>
      <c r="H32" s="9" t="n"/>
      <c r="I32" s="7">
        <f>IFERROR(VLOOKUP(G32,CSI_Table,2,FALSE),"")</f>
        <v/>
      </c>
      <c r="J32" s="8" t="n"/>
      <c r="K32" s="8" t="n"/>
      <c r="L32" s="8" t="n"/>
      <c r="M32" s="8" t="n"/>
      <c r="N32" s="8" t="n"/>
      <c r="O32" s="8" t="n"/>
      <c r="P32" s="10" t="n"/>
      <c r="Q32" s="7" t="n"/>
    </row>
    <row r="33" ht="32" customHeight="1">
      <c r="A33" s="7" t="n"/>
      <c r="B33" s="8" t="n"/>
      <c r="C33" s="8" t="n"/>
      <c r="D33" s="8" t="n"/>
      <c r="E33" s="7" t="n"/>
      <c r="F33" s="8" t="n"/>
      <c r="G33" s="9" t="n"/>
      <c r="H33" s="9" t="n"/>
      <c r="I33" s="7">
        <f>IFERROR(VLOOKUP(G33,CSI_Table,2,FALSE),"")</f>
        <v/>
      </c>
      <c r="J33" s="8" t="n"/>
      <c r="K33" s="8" t="n"/>
      <c r="L33" s="8" t="n"/>
      <c r="M33" s="8" t="n"/>
      <c r="N33" s="8" t="n"/>
      <c r="O33" s="8" t="n"/>
      <c r="P33" s="10" t="n"/>
      <c r="Q33" s="7" t="n"/>
    </row>
    <row r="34" ht="32" customHeight="1">
      <c r="A34" s="7" t="n"/>
      <c r="B34" s="8" t="n"/>
      <c r="C34" s="8" t="n"/>
      <c r="D34" s="8" t="n"/>
      <c r="E34" s="7" t="n"/>
      <c r="F34" s="8" t="n"/>
      <c r="G34" s="9" t="n"/>
      <c r="H34" s="9" t="n"/>
      <c r="I34" s="7">
        <f>IFERROR(VLOOKUP(G34,CSI_Table,2,FALSE),"")</f>
        <v/>
      </c>
      <c r="J34" s="8" t="n"/>
      <c r="K34" s="8" t="n"/>
      <c r="L34" s="8" t="n"/>
      <c r="M34" s="8" t="n"/>
      <c r="N34" s="8" t="n"/>
      <c r="O34" s="8" t="n"/>
      <c r="P34" s="10" t="n"/>
      <c r="Q34" s="7" t="n"/>
    </row>
    <row r="35" ht="32" customHeight="1">
      <c r="A35" s="7" t="n"/>
      <c r="B35" s="8" t="n"/>
      <c r="C35" s="8" t="n"/>
      <c r="D35" s="8" t="n"/>
      <c r="E35" s="7" t="n"/>
      <c r="F35" s="8" t="n"/>
      <c r="G35" s="9" t="n"/>
      <c r="H35" s="9" t="n"/>
      <c r="I35" s="7">
        <f>IFERROR(VLOOKUP(G35,CSI_Table,2,FALSE),"")</f>
        <v/>
      </c>
      <c r="J35" s="8" t="n"/>
      <c r="K35" s="8" t="n"/>
      <c r="L35" s="8" t="n"/>
      <c r="M35" s="8" t="n"/>
      <c r="N35" s="8" t="n"/>
      <c r="O35" s="8" t="n"/>
      <c r="P35" s="10" t="n"/>
      <c r="Q35" s="7" t="n"/>
    </row>
    <row r="36" ht="32" customHeight="1">
      <c r="A36" s="7" t="n"/>
      <c r="B36" s="8" t="n"/>
      <c r="C36" s="8" t="n"/>
      <c r="D36" s="8" t="n"/>
      <c r="E36" s="7" t="n"/>
      <c r="F36" s="8" t="n"/>
      <c r="G36" s="9" t="n"/>
      <c r="H36" s="9" t="n"/>
      <c r="I36" s="7">
        <f>IFERROR(VLOOKUP(G36,CSI_Table,2,FALSE),"")</f>
        <v/>
      </c>
      <c r="J36" s="8" t="n"/>
      <c r="K36" s="8" t="n"/>
      <c r="L36" s="8" t="n"/>
      <c r="M36" s="8" t="n"/>
      <c r="N36" s="8" t="n"/>
      <c r="O36" s="8" t="n"/>
      <c r="P36" s="10" t="n"/>
      <c r="Q36" s="7" t="n"/>
    </row>
  </sheetData>
  <mergeCells count="1">
    <mergeCell ref="A1:Q1"/>
  </mergeCells>
  <conditionalFormatting sqref="L4:L36">
    <cfRule type="expression" priority="1" dxfId="0" stopIfTrue="0">
      <formula>$L4="Active"</formula>
    </cfRule>
    <cfRule type="expression" priority="2" dxfId="1" stopIfTrue="0">
      <formula>$L4="Pending"</formula>
    </cfRule>
    <cfRule type="expression" priority="3" dxfId="2" stopIfTrue="0">
      <formula>OR($L4="Expired",$L4="Unknown")</formula>
    </cfRule>
  </conditionalFormatting>
  <conditionalFormatting sqref="M4:M36">
    <cfRule type="expression" priority="4" dxfId="0" stopIfTrue="0">
      <formula>$M4="Yes"</formula>
    </cfRule>
    <cfRule type="expression" priority="5" dxfId="2" stopIfTrue="0">
      <formula>OR($M4="No",$M4="Expired")</formula>
    </cfRule>
  </conditionalFormatting>
  <conditionalFormatting sqref="N4:N36">
    <cfRule type="expression" priority="6" dxfId="0" stopIfTrue="0">
      <formula>$N4="Yes"</formula>
    </cfRule>
    <cfRule type="expression" priority="7" dxfId="2" stopIfTrue="0">
      <formula>$N4="No"</formula>
    </cfRule>
  </conditionalFormatting>
  <conditionalFormatting sqref="O4:O36">
    <cfRule type="expression" priority="8" dxfId="0" stopIfTrue="0">
      <formula>$O4="Yes"</formula>
    </cfRule>
  </conditionalFormatting>
  <dataValidations count="6">
    <dataValidation sqref="F4:F36" showDropDown="0" showInputMessage="0" showErrorMessage="0" allowBlank="1" errorTitle="Invalid trade" error="Pick a trade from the dropdown." type="list">
      <formula1>"General,Mechanical,Electrical,Plumbing,Structural Steel,HVAC,Roofing,Concrete,Masonry,Drywall,Flooring,Painting,Other"</formula1>
    </dataValidation>
    <dataValidation sqref="G4:G36" showDropDown="0" showInputMessage="0" showErrorMessage="0" allowBlank="1" errorTitle="Invalid CSI Division" error="Pick a CSI Division from the dropdown." type="list">
      <formula1>=CSI_Divisions</formula1>
    </dataValidation>
    <dataValidation sqref="L4:L36" showDropDown="0" showInputMessage="0" showErrorMessage="0" allowBlank="1" errorTitle="Invalid license status" error="Pick a license status from the dropdown." type="list">
      <formula1>"Active,Expired,Pending,Unknown"</formula1>
    </dataValidation>
    <dataValidation sqref="M4:M36" showDropDown="0" showInputMessage="0" showErrorMessage="0" allowBlank="1" errorTitle="Invalid COI value" error="Pick Yes / No / Expired." type="list">
      <formula1>"Yes,No,Expired"</formula1>
    </dataValidation>
    <dataValidation sqref="N4:N36" showDropDown="0" showInputMessage="0" showErrorMessage="0" allowBlank="1" errorTitle="Invalid W9 value" error="Pick Yes / No." type="list">
      <formula1>"Yes,No"</formula1>
    </dataValidation>
    <dataValidation sqref="O4:O36" showDropDown="0" showInputMessage="0" showErrorMessage="0" allowBlank="1" errorTitle="Invalid preferred value" error="Pick Yes / No / Reserved." type="list">
      <formula1>"Yes,No,Reserved"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18" customWidth="1" min="4" max="4"/>
    <col width="22" customWidth="1" min="5" max="5"/>
  </cols>
  <sheetData>
    <row r="1" ht="28" customHeight="1">
      <c r="A1" s="1" t="inlineStr">
        <is>
          <t>Trade Summary (auto roll-up)</t>
        </is>
      </c>
    </row>
    <row r="2">
      <c r="A2" s="5" t="inlineStr">
        <is>
          <t>Reads from Subcontractor Master List via COUNTIFS - do not edit. One row per trade in the canonical dropdown list.</t>
        </is>
      </c>
    </row>
    <row r="3" ht="28" customHeight="1">
      <c r="A3" s="6" t="inlineStr">
        <is>
          <t>Trade</t>
        </is>
      </c>
      <c r="B3" s="6" t="inlineStr">
        <is>
          <t>Count</t>
        </is>
      </c>
      <c r="C3" s="6" t="inlineStr">
        <is>
          <t>Preferred Count</t>
        </is>
      </c>
      <c r="D3" s="6" t="inlineStr">
        <is>
          <t>With COI Count</t>
        </is>
      </c>
      <c r="E3" s="6" t="inlineStr">
        <is>
          <t>Active License Count</t>
        </is>
      </c>
    </row>
    <row r="4" ht="22" customHeight="1">
      <c r="A4" s="11" t="inlineStr">
        <is>
          <t>General</t>
        </is>
      </c>
      <c r="B4" s="12">
        <f>COUNTIF('Subcontractor Master List'!$F$4:$F$36,A4)</f>
        <v/>
      </c>
      <c r="C4" s="12">
        <f>COUNTIFS('Subcontractor Master List'!$F$4:$F$36,A4,'Subcontractor Master List'!$O$4:$O$36,"Yes")</f>
        <v/>
      </c>
      <c r="D4" s="12">
        <f>COUNTIFS('Subcontractor Master List'!$F$4:$F$36,A4,'Subcontractor Master List'!$M$4:$M$36,"Yes")</f>
        <v/>
      </c>
      <c r="E4" s="12">
        <f>COUNTIFS('Subcontractor Master List'!$F$4:$F$36,A4,'Subcontractor Master List'!$L$4:$L$36,"Active")</f>
        <v/>
      </c>
    </row>
    <row r="5" ht="22" customHeight="1">
      <c r="A5" s="11" t="inlineStr">
        <is>
          <t>Mechanical</t>
        </is>
      </c>
      <c r="B5" s="12">
        <f>COUNTIF('Subcontractor Master List'!$F$4:$F$36,A5)</f>
        <v/>
      </c>
      <c r="C5" s="12">
        <f>COUNTIFS('Subcontractor Master List'!$F$4:$F$36,A5,'Subcontractor Master List'!$O$4:$O$36,"Yes")</f>
        <v/>
      </c>
      <c r="D5" s="12">
        <f>COUNTIFS('Subcontractor Master List'!$F$4:$F$36,A5,'Subcontractor Master List'!$M$4:$M$36,"Yes")</f>
        <v/>
      </c>
      <c r="E5" s="12">
        <f>COUNTIFS('Subcontractor Master List'!$F$4:$F$36,A5,'Subcontractor Master List'!$L$4:$L$36,"Active")</f>
        <v/>
      </c>
    </row>
    <row r="6" ht="22" customHeight="1">
      <c r="A6" s="11" t="inlineStr">
        <is>
          <t>Electrical</t>
        </is>
      </c>
      <c r="B6" s="12">
        <f>COUNTIF('Subcontractor Master List'!$F$4:$F$36,A6)</f>
        <v/>
      </c>
      <c r="C6" s="12">
        <f>COUNTIFS('Subcontractor Master List'!$F$4:$F$36,A6,'Subcontractor Master List'!$O$4:$O$36,"Yes")</f>
        <v/>
      </c>
      <c r="D6" s="12">
        <f>COUNTIFS('Subcontractor Master List'!$F$4:$F$36,A6,'Subcontractor Master List'!$M$4:$M$36,"Yes")</f>
        <v/>
      </c>
      <c r="E6" s="12">
        <f>COUNTIFS('Subcontractor Master List'!$F$4:$F$36,A6,'Subcontractor Master List'!$L$4:$L$36,"Active")</f>
        <v/>
      </c>
    </row>
    <row r="7" ht="22" customHeight="1">
      <c r="A7" s="11" t="inlineStr">
        <is>
          <t>Plumbing</t>
        </is>
      </c>
      <c r="B7" s="12">
        <f>COUNTIF('Subcontractor Master List'!$F$4:$F$36,A7)</f>
        <v/>
      </c>
      <c r="C7" s="12">
        <f>COUNTIFS('Subcontractor Master List'!$F$4:$F$36,A7,'Subcontractor Master List'!$O$4:$O$36,"Yes")</f>
        <v/>
      </c>
      <c r="D7" s="12">
        <f>COUNTIFS('Subcontractor Master List'!$F$4:$F$36,A7,'Subcontractor Master List'!$M$4:$M$36,"Yes")</f>
        <v/>
      </c>
      <c r="E7" s="12">
        <f>COUNTIFS('Subcontractor Master List'!$F$4:$F$36,A7,'Subcontractor Master List'!$L$4:$L$36,"Active")</f>
        <v/>
      </c>
    </row>
    <row r="8" ht="22" customHeight="1">
      <c r="A8" s="11" t="inlineStr">
        <is>
          <t>Structural Steel</t>
        </is>
      </c>
      <c r="B8" s="12">
        <f>COUNTIF('Subcontractor Master List'!$F$4:$F$36,A8)</f>
        <v/>
      </c>
      <c r="C8" s="12">
        <f>COUNTIFS('Subcontractor Master List'!$F$4:$F$36,A8,'Subcontractor Master List'!$O$4:$O$36,"Yes")</f>
        <v/>
      </c>
      <c r="D8" s="12">
        <f>COUNTIFS('Subcontractor Master List'!$F$4:$F$36,A8,'Subcontractor Master List'!$M$4:$M$36,"Yes")</f>
        <v/>
      </c>
      <c r="E8" s="12">
        <f>COUNTIFS('Subcontractor Master List'!$F$4:$F$36,A8,'Subcontractor Master List'!$L$4:$L$36,"Active")</f>
        <v/>
      </c>
    </row>
    <row r="9" ht="22" customHeight="1">
      <c r="A9" s="11" t="inlineStr">
        <is>
          <t>HVAC</t>
        </is>
      </c>
      <c r="B9" s="12">
        <f>COUNTIF('Subcontractor Master List'!$F$4:$F$36,A9)</f>
        <v/>
      </c>
      <c r="C9" s="12">
        <f>COUNTIFS('Subcontractor Master List'!$F$4:$F$36,A9,'Subcontractor Master List'!$O$4:$O$36,"Yes")</f>
        <v/>
      </c>
      <c r="D9" s="12">
        <f>COUNTIFS('Subcontractor Master List'!$F$4:$F$36,A9,'Subcontractor Master List'!$M$4:$M$36,"Yes")</f>
        <v/>
      </c>
      <c r="E9" s="12">
        <f>COUNTIFS('Subcontractor Master List'!$F$4:$F$36,A9,'Subcontractor Master List'!$L$4:$L$36,"Active")</f>
        <v/>
      </c>
    </row>
    <row r="10" ht="22" customHeight="1">
      <c r="A10" s="11" t="inlineStr">
        <is>
          <t>Roofing</t>
        </is>
      </c>
      <c r="B10" s="12">
        <f>COUNTIF('Subcontractor Master List'!$F$4:$F$36,A10)</f>
        <v/>
      </c>
      <c r="C10" s="12">
        <f>COUNTIFS('Subcontractor Master List'!$F$4:$F$36,A10,'Subcontractor Master List'!$O$4:$O$36,"Yes")</f>
        <v/>
      </c>
      <c r="D10" s="12">
        <f>COUNTIFS('Subcontractor Master List'!$F$4:$F$36,A10,'Subcontractor Master List'!$M$4:$M$36,"Yes")</f>
        <v/>
      </c>
      <c r="E10" s="12">
        <f>COUNTIFS('Subcontractor Master List'!$F$4:$F$36,A10,'Subcontractor Master List'!$L$4:$L$36,"Active")</f>
        <v/>
      </c>
    </row>
    <row r="11" ht="22" customHeight="1">
      <c r="A11" s="11" t="inlineStr">
        <is>
          <t>Concrete</t>
        </is>
      </c>
      <c r="B11" s="12">
        <f>COUNTIF('Subcontractor Master List'!$F$4:$F$36,A11)</f>
        <v/>
      </c>
      <c r="C11" s="12">
        <f>COUNTIFS('Subcontractor Master List'!$F$4:$F$36,A11,'Subcontractor Master List'!$O$4:$O$36,"Yes")</f>
        <v/>
      </c>
      <c r="D11" s="12">
        <f>COUNTIFS('Subcontractor Master List'!$F$4:$F$36,A11,'Subcontractor Master List'!$M$4:$M$36,"Yes")</f>
        <v/>
      </c>
      <c r="E11" s="12">
        <f>COUNTIFS('Subcontractor Master List'!$F$4:$F$36,A11,'Subcontractor Master List'!$L$4:$L$36,"Active")</f>
        <v/>
      </c>
    </row>
    <row r="12" ht="22" customHeight="1">
      <c r="A12" s="11" t="inlineStr">
        <is>
          <t>Masonry</t>
        </is>
      </c>
      <c r="B12" s="12">
        <f>COUNTIF('Subcontractor Master List'!$F$4:$F$36,A12)</f>
        <v/>
      </c>
      <c r="C12" s="12">
        <f>COUNTIFS('Subcontractor Master List'!$F$4:$F$36,A12,'Subcontractor Master List'!$O$4:$O$36,"Yes")</f>
        <v/>
      </c>
      <c r="D12" s="12">
        <f>COUNTIFS('Subcontractor Master List'!$F$4:$F$36,A12,'Subcontractor Master List'!$M$4:$M$36,"Yes")</f>
        <v/>
      </c>
      <c r="E12" s="12">
        <f>COUNTIFS('Subcontractor Master List'!$F$4:$F$36,A12,'Subcontractor Master List'!$L$4:$L$36,"Active")</f>
        <v/>
      </c>
    </row>
    <row r="13" ht="22" customHeight="1">
      <c r="A13" s="11" t="inlineStr">
        <is>
          <t>Drywall</t>
        </is>
      </c>
      <c r="B13" s="12">
        <f>COUNTIF('Subcontractor Master List'!$F$4:$F$36,A13)</f>
        <v/>
      </c>
      <c r="C13" s="12">
        <f>COUNTIFS('Subcontractor Master List'!$F$4:$F$36,A13,'Subcontractor Master List'!$O$4:$O$36,"Yes")</f>
        <v/>
      </c>
      <c r="D13" s="12">
        <f>COUNTIFS('Subcontractor Master List'!$F$4:$F$36,A13,'Subcontractor Master List'!$M$4:$M$36,"Yes")</f>
        <v/>
      </c>
      <c r="E13" s="12">
        <f>COUNTIFS('Subcontractor Master List'!$F$4:$F$36,A13,'Subcontractor Master List'!$L$4:$L$36,"Active")</f>
        <v/>
      </c>
    </row>
    <row r="14" ht="22" customHeight="1">
      <c r="A14" s="11" t="inlineStr">
        <is>
          <t>Flooring</t>
        </is>
      </c>
      <c r="B14" s="12">
        <f>COUNTIF('Subcontractor Master List'!$F$4:$F$36,A14)</f>
        <v/>
      </c>
      <c r="C14" s="12">
        <f>COUNTIFS('Subcontractor Master List'!$F$4:$F$36,A14,'Subcontractor Master List'!$O$4:$O$36,"Yes")</f>
        <v/>
      </c>
      <c r="D14" s="12">
        <f>COUNTIFS('Subcontractor Master List'!$F$4:$F$36,A14,'Subcontractor Master List'!$M$4:$M$36,"Yes")</f>
        <v/>
      </c>
      <c r="E14" s="12">
        <f>COUNTIFS('Subcontractor Master List'!$F$4:$F$36,A14,'Subcontractor Master List'!$L$4:$L$36,"Active")</f>
        <v/>
      </c>
    </row>
    <row r="15" ht="22" customHeight="1">
      <c r="A15" s="11" t="inlineStr">
        <is>
          <t>Painting</t>
        </is>
      </c>
      <c r="B15" s="12">
        <f>COUNTIF('Subcontractor Master List'!$F$4:$F$36,A15)</f>
        <v/>
      </c>
      <c r="C15" s="12">
        <f>COUNTIFS('Subcontractor Master List'!$F$4:$F$36,A15,'Subcontractor Master List'!$O$4:$O$36,"Yes")</f>
        <v/>
      </c>
      <c r="D15" s="12">
        <f>COUNTIFS('Subcontractor Master List'!$F$4:$F$36,A15,'Subcontractor Master List'!$M$4:$M$36,"Yes")</f>
        <v/>
      </c>
      <c r="E15" s="12">
        <f>COUNTIFS('Subcontractor Master List'!$F$4:$F$36,A15,'Subcontractor Master List'!$L$4:$L$36,"Active")</f>
        <v/>
      </c>
    </row>
    <row r="16" ht="22" customHeight="1">
      <c r="A16" s="11" t="inlineStr">
        <is>
          <t>Other</t>
        </is>
      </c>
      <c r="B16" s="12">
        <f>COUNTIF('Subcontractor Master List'!$F$4:$F$36,A16)</f>
        <v/>
      </c>
      <c r="C16" s="12">
        <f>COUNTIFS('Subcontractor Master List'!$F$4:$F$36,A16,'Subcontractor Master List'!$O$4:$O$36,"Yes")</f>
        <v/>
      </c>
      <c r="D16" s="12">
        <f>COUNTIFS('Subcontractor Master List'!$F$4:$F$36,A16,'Subcontractor Master List'!$M$4:$M$36,"Yes")</f>
        <v/>
      </c>
      <c r="E16" s="12">
        <f>COUNTIFS('Subcontractor Master List'!$F$4:$F$36,A16,'Subcontractor Master List'!$L$4:$L$36,"Active")</f>
        <v/>
      </c>
    </row>
    <row r="18">
      <c r="A18" s="13" t="inlineStr">
        <is>
          <t>TOTALS</t>
        </is>
      </c>
      <c r="B18" s="14">
        <f>SUM(B4:B16)</f>
        <v/>
      </c>
      <c r="C18" s="14">
        <f>SUM(C4:C16)</f>
        <v/>
      </c>
      <c r="D18" s="14">
        <f>SUM(D4:D16)</f>
        <v/>
      </c>
      <c r="E18" s="14">
        <f>SUM(E4:E16)</f>
        <v/>
      </c>
    </row>
  </sheetData>
  <mergeCells count="1">
    <mergeCell ref="A1:E1"/>
  </mergeCells>
  <conditionalFormatting sqref="B4:B16">
    <cfRule type="cellIs" priority="1" operator="greaterThan" dxfId="0">
      <formula>0</formula>
    </cfRule>
  </conditionalFormatting>
  <conditionalFormatting sqref="C4:C16">
    <cfRule type="cellIs" priority="2" operator="greaterThan" dxfId="0">
      <formula>0</formula>
    </cfRule>
  </conditionalFormatting>
  <conditionalFormatting sqref="D4:D16">
    <cfRule type="cellIs" priority="3" operator="greaterThan" dxfId="0">
      <formula>0</formula>
    </cfRule>
  </conditionalFormatting>
  <conditionalFormatting sqref="E4:E16">
    <cfRule type="cellIs" priority="4" operator="greaterThan" dxfId="0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8" customWidth="1" min="4" max="4"/>
    <col width="14" customWidth="1" min="5" max="5"/>
    <col width="10" customWidth="1" min="6" max="6"/>
    <col hidden="1" width="13" customWidth="1" min="8" max="8"/>
    <col hidden="1" width="13" customWidth="1" min="9" max="9"/>
  </cols>
  <sheetData>
    <row r="1" ht="32" customHeight="1">
      <c r="A1" s="1" t="inlineStr">
        <is>
          <t>Subcontractor Dashboard</t>
        </is>
      </c>
    </row>
    <row r="2">
      <c r="A2" s="5" t="inlineStr">
        <is>
          <t>Auto-calculated from Subcontractor Master List. Update that tab - this one stays in sync.</t>
        </is>
      </c>
    </row>
    <row r="4" ht="26" customHeight="1">
      <c r="A4" s="15" t="inlineStr">
        <is>
          <t>Roster Snapshot</t>
        </is>
      </c>
    </row>
    <row r="5" ht="28" customHeight="1">
      <c r="A5" s="16" t="inlineStr">
        <is>
          <t>Total Subs in List</t>
        </is>
      </c>
      <c r="B5" s="17" t="n"/>
      <c r="C5" s="18" t="n"/>
      <c r="D5" s="19">
        <f>COUNTA('Subcontractor Master List'!$A$4:$A$36)</f>
        <v/>
      </c>
      <c r="E5" s="17" t="n"/>
      <c r="F5" s="18" t="n"/>
    </row>
    <row r="6" ht="28" customHeight="1">
      <c r="A6" s="16" t="inlineStr">
        <is>
          <t>Total Preferred Subs</t>
        </is>
      </c>
      <c r="B6" s="17" t="n"/>
      <c r="C6" s="18" t="n"/>
      <c r="D6" s="19">
        <f>COUNTIF('Subcontractor Master List'!$O$4:$O$36,"Yes")</f>
        <v/>
      </c>
      <c r="E6" s="17" t="n"/>
      <c r="F6" s="18" t="n"/>
    </row>
    <row r="7" ht="28" customHeight="1">
      <c r="A7" s="16" t="inlineStr">
        <is>
          <t>Fully Compliant (COI + W9 + Active License)</t>
        </is>
      </c>
      <c r="B7" s="17" t="n"/>
      <c r="C7" s="18" t="n"/>
      <c r="D7" s="19">
        <f>SUMPRODUCT(('Subcontractor Master List'!$M$4:$M$36="Yes")*('Subcontractor Master List'!$N$4:$N$36="Yes")*('Subcontractor Master List'!$L$4:$L$36="Active"))</f>
        <v/>
      </c>
      <c r="E7" s="17" t="n"/>
      <c r="F7" s="18" t="n"/>
    </row>
    <row r="8" ht="28" customHeight="1">
      <c r="A8" s="16" t="inlineStr">
        <is>
          <t>Compliance Rate</t>
        </is>
      </c>
      <c r="B8" s="17" t="n"/>
      <c r="C8" s="18" t="n"/>
      <c r="D8" s="20">
        <f>IFERROR(SUMPRODUCT(('Subcontractor Master List'!$M$4:$M$36="Yes")*('Subcontractor Master List'!$N$4:$N$36="Yes")*('Subcontractor Master List'!$L$4:$L$36="Active"))/COUNTA('Subcontractor Master List'!$A$4:$A$36),0)</f>
        <v/>
      </c>
      <c r="E8" s="17" t="n"/>
      <c r="F8" s="18" t="n"/>
    </row>
    <row r="10" ht="26" customHeight="1">
      <c r="A10" s="15" t="inlineStr">
        <is>
          <t>Risk Flags</t>
        </is>
      </c>
    </row>
    <row r="11" ht="26" customHeight="1">
      <c r="A11" s="16" t="inlineStr">
        <is>
          <t>Missing W9</t>
        </is>
      </c>
      <c r="B11" s="17" t="n"/>
      <c r="C11" s="18" t="n"/>
      <c r="D11" s="19">
        <f>COUNTIF('Subcontractor Master List'!$N$4:$N$36,"No")</f>
        <v/>
      </c>
      <c r="E11" s="17" t="n"/>
      <c r="F11" s="18" t="n"/>
    </row>
    <row r="12" ht="26" customHeight="1">
      <c r="A12" s="16" t="inlineStr">
        <is>
          <t>Missing COI</t>
        </is>
      </c>
      <c r="B12" s="17" t="n"/>
      <c r="C12" s="18" t="n"/>
      <c r="D12" s="19">
        <f>COUNTIF('Subcontractor Master List'!$M$4:$M$36,"No")</f>
        <v/>
      </c>
      <c r="E12" s="17" t="n"/>
      <c r="F12" s="18" t="n"/>
    </row>
    <row r="13" ht="26" customHeight="1">
      <c r="A13" s="16" t="inlineStr">
        <is>
          <t>COI Expired</t>
        </is>
      </c>
      <c r="B13" s="17" t="n"/>
      <c r="C13" s="18" t="n"/>
      <c r="D13" s="19">
        <f>COUNTIF('Subcontractor Master List'!$M$4:$M$36,"Expired")</f>
        <v/>
      </c>
      <c r="E13" s="17" t="n"/>
      <c r="F13" s="18" t="n"/>
    </row>
    <row r="14" ht="26" customHeight="1">
      <c r="A14" s="16" t="inlineStr">
        <is>
          <t>License Expired</t>
        </is>
      </c>
      <c r="B14" s="17" t="n"/>
      <c r="C14" s="18" t="n"/>
      <c r="D14" s="19">
        <f>COUNTIF('Subcontractor Master List'!$L$4:$L$36,"Expired")</f>
        <v/>
      </c>
      <c r="E14" s="17" t="n"/>
      <c r="F14" s="18" t="n"/>
    </row>
    <row r="15" ht="26" customHeight="1">
      <c r="A15" s="16" t="inlineStr">
        <is>
          <t>License Pending</t>
        </is>
      </c>
      <c r="B15" s="17" t="n"/>
      <c r="C15" s="18" t="n"/>
      <c r="D15" s="19">
        <f>COUNTIF('Subcontractor Master List'!$L$4:$L$36,"Pending")</f>
        <v/>
      </c>
      <c r="E15" s="17" t="n"/>
      <c r="F15" s="18" t="n"/>
    </row>
    <row r="16" ht="26" customHeight="1">
      <c r="A16" s="16" t="inlineStr">
        <is>
          <t>License Status Unknown</t>
        </is>
      </c>
      <c r="B16" s="17" t="n"/>
      <c r="C16" s="18" t="n"/>
      <c r="D16" s="19">
        <f>COUNTIF('Subcontractor Master List'!$L$4:$L$36,"Unknown")</f>
        <v/>
      </c>
      <c r="E16" s="17" t="n"/>
      <c r="F16" s="18" t="n"/>
    </row>
    <row r="18" ht="26" customHeight="1">
      <c r="A18" s="15" t="inlineStr">
        <is>
          <t>Top Trades by Count</t>
        </is>
      </c>
    </row>
    <row r="19" ht="28" customHeight="1">
      <c r="A19" s="6" t="inlineStr">
        <is>
          <t>Rank</t>
        </is>
      </c>
      <c r="B19" s="6" t="inlineStr">
        <is>
          <t>Trade</t>
        </is>
      </c>
      <c r="C19" s="18" t="n"/>
      <c r="D19" t="inlineStr">
        <is>
          <t>Count</t>
        </is>
      </c>
      <c r="H19">
        <f>COUNTIF('Subcontractor Master List'!$F$4:$F$36,"General")</f>
        <v/>
      </c>
      <c r="I19" t="inlineStr">
        <is>
          <t>General</t>
        </is>
      </c>
    </row>
    <row r="20" ht="22" customHeight="1">
      <c r="A20" s="21" t="n">
        <v>1</v>
      </c>
      <c r="B20" s="22">
        <f>IFERROR(INDEX($I$19:$I$31,MATCH(LARGE($H$19:$H$31,1),$H$19:$H$31,0)),"")</f>
        <v/>
      </c>
      <c r="C20" s="18" t="n"/>
      <c r="D20" s="23">
        <f>IFERROR(LARGE($H$19:$H$31,1),0)</f>
        <v/>
      </c>
      <c r="E20" s="17" t="n"/>
      <c r="F20" s="18" t="n"/>
      <c r="H20">
        <f>COUNTIF('Subcontractor Master List'!$F$4:$F$36,"Mechanical")</f>
        <v/>
      </c>
      <c r="I20" t="inlineStr">
        <is>
          <t>Mechanical</t>
        </is>
      </c>
    </row>
    <row r="21" ht="22" customHeight="1">
      <c r="A21" s="21" t="n">
        <v>2</v>
      </c>
      <c r="B21" s="22">
        <f>IFERROR(INDEX($I$19:$I$31,MATCH(LARGE($H$19:$H$31,2),$H$19:$H$31,0)),"")</f>
        <v/>
      </c>
      <c r="C21" s="18" t="n"/>
      <c r="D21" s="23">
        <f>IFERROR(LARGE($H$19:$H$31,2),0)</f>
        <v/>
      </c>
      <c r="E21" s="17" t="n"/>
      <c r="F21" s="18" t="n"/>
      <c r="H21">
        <f>COUNTIF('Subcontractor Master List'!$F$4:$F$36,"Electrical")</f>
        <v/>
      </c>
      <c r="I21" t="inlineStr">
        <is>
          <t>Electrical</t>
        </is>
      </c>
    </row>
    <row r="22" ht="22" customHeight="1">
      <c r="A22" s="21" t="n">
        <v>3</v>
      </c>
      <c r="B22" s="22">
        <f>IFERROR(INDEX($I$19:$I$31,MATCH(LARGE($H$19:$H$31,3),$H$19:$H$31,0)),"")</f>
        <v/>
      </c>
      <c r="C22" s="18" t="n"/>
      <c r="D22" s="23">
        <f>IFERROR(LARGE($H$19:$H$31,3),0)</f>
        <v/>
      </c>
      <c r="E22" s="17" t="n"/>
      <c r="F22" s="18" t="n"/>
      <c r="H22">
        <f>COUNTIF('Subcontractor Master List'!$F$4:$F$36,"Plumbing")</f>
        <v/>
      </c>
      <c r="I22" t="inlineStr">
        <is>
          <t>Plumbing</t>
        </is>
      </c>
    </row>
    <row r="23" ht="22" customHeight="1">
      <c r="A23" s="21" t="n">
        <v>4</v>
      </c>
      <c r="B23" s="22">
        <f>IFERROR(INDEX($I$19:$I$31,MATCH(LARGE($H$19:$H$31,4),$H$19:$H$31,0)),"")</f>
        <v/>
      </c>
      <c r="C23" s="18" t="n"/>
      <c r="D23" s="23">
        <f>IFERROR(LARGE($H$19:$H$31,4),0)</f>
        <v/>
      </c>
      <c r="E23" s="17" t="n"/>
      <c r="F23" s="18" t="n"/>
      <c r="H23">
        <f>COUNTIF('Subcontractor Master List'!$F$4:$F$36,"Structural Steel")</f>
        <v/>
      </c>
      <c r="I23" t="inlineStr">
        <is>
          <t>Structural Steel</t>
        </is>
      </c>
    </row>
    <row r="24" ht="22" customHeight="1">
      <c r="A24" s="21" t="n">
        <v>5</v>
      </c>
      <c r="B24" s="22">
        <f>IFERROR(INDEX($I$19:$I$31,MATCH(LARGE($H$19:$H$31,5),$H$19:$H$31,0)),"")</f>
        <v/>
      </c>
      <c r="C24" s="18" t="n"/>
      <c r="D24" s="23">
        <f>IFERROR(LARGE($H$19:$H$31,5),0)</f>
        <v/>
      </c>
      <c r="E24" s="17" t="n"/>
      <c r="F24" s="18" t="n"/>
      <c r="H24">
        <f>COUNTIF('Subcontractor Master List'!$F$4:$F$36,"HVAC")</f>
        <v/>
      </c>
      <c r="I24" t="inlineStr">
        <is>
          <t>HVAC</t>
        </is>
      </c>
    </row>
    <row r="25">
      <c r="H25">
        <f>COUNTIF('Subcontractor Master List'!$F$4:$F$36,"Roofing")</f>
        <v/>
      </c>
      <c r="I25" t="inlineStr">
        <is>
          <t>Roofing</t>
        </is>
      </c>
    </row>
    <row r="26">
      <c r="H26">
        <f>COUNTIF('Subcontractor Master List'!$F$4:$F$36,"Concrete")</f>
        <v/>
      </c>
      <c r="I26" t="inlineStr">
        <is>
          <t>Concrete</t>
        </is>
      </c>
    </row>
    <row r="27">
      <c r="H27">
        <f>COUNTIF('Subcontractor Master List'!$F$4:$F$36,"Masonry")</f>
        <v/>
      </c>
      <c r="I27" t="inlineStr">
        <is>
          <t>Masonry</t>
        </is>
      </c>
    </row>
    <row r="28">
      <c r="H28">
        <f>COUNTIF('Subcontractor Master List'!$F$4:$F$36,"Drywall")</f>
        <v/>
      </c>
      <c r="I28" t="inlineStr">
        <is>
          <t>Drywall</t>
        </is>
      </c>
    </row>
    <row r="29">
      <c r="H29">
        <f>COUNTIF('Subcontractor Master List'!$F$4:$F$36,"Flooring")</f>
        <v/>
      </c>
      <c r="I29" t="inlineStr">
        <is>
          <t>Flooring</t>
        </is>
      </c>
    </row>
    <row r="30">
      <c r="H30">
        <f>COUNTIF('Subcontractor Master List'!$F$4:$F$36,"Painting")</f>
        <v/>
      </c>
      <c r="I30" t="inlineStr">
        <is>
          <t>Painting</t>
        </is>
      </c>
    </row>
    <row r="31">
      <c r="H31">
        <f>COUNTIF('Subcontractor Master List'!$F$4:$F$36,"Other")</f>
        <v/>
      </c>
      <c r="I31" t="inlineStr">
        <is>
          <t>Other</t>
        </is>
      </c>
    </row>
  </sheetData>
  <mergeCells count="37">
    <mergeCell ref="D11:F11"/>
    <mergeCell ref="D13:F13"/>
    <mergeCell ref="B22:C22"/>
    <mergeCell ref="A18:F18"/>
    <mergeCell ref="A12:C12"/>
    <mergeCell ref="D7:F7"/>
    <mergeCell ref="D16:F16"/>
    <mergeCell ref="A2:F2"/>
    <mergeCell ref="B21:C21"/>
    <mergeCell ref="A5:C5"/>
    <mergeCell ref="A8:C8"/>
    <mergeCell ref="A14:C14"/>
    <mergeCell ref="D12:F12"/>
    <mergeCell ref="B23:C23"/>
    <mergeCell ref="A4:F4"/>
    <mergeCell ref="D8:F8"/>
    <mergeCell ref="D15:F15"/>
    <mergeCell ref="D24:F24"/>
    <mergeCell ref="A10:F10"/>
    <mergeCell ref="A13:C13"/>
    <mergeCell ref="D14:F14"/>
    <mergeCell ref="D5:F5"/>
    <mergeCell ref="D23:F23"/>
    <mergeCell ref="B19:C19"/>
    <mergeCell ref="A15:C15"/>
    <mergeCell ref="D20:F20"/>
    <mergeCell ref="D19:F19"/>
    <mergeCell ref="B24:C24"/>
    <mergeCell ref="A11:C11"/>
    <mergeCell ref="A1:F1"/>
    <mergeCell ref="B20:C20"/>
    <mergeCell ref="A6:C6"/>
    <mergeCell ref="D22:F22"/>
    <mergeCell ref="D21:F21"/>
    <mergeCell ref="A7:C7"/>
    <mergeCell ref="D6:F6"/>
    <mergeCell ref="A16:C16"/>
  </mergeCells>
  <conditionalFormatting sqref="D11">
    <cfRule type="cellIs" priority="1" operator="greaterThan" dxfId="3" stopIfTrue="0">
      <formula>0</formula>
    </cfRule>
    <cfRule type="cellIs" priority="2" operator="equal" dxfId="4" stopIfTrue="0">
      <formula>0</formula>
    </cfRule>
  </conditionalFormatting>
  <conditionalFormatting sqref="D12">
    <cfRule type="cellIs" priority="3" operator="greaterThan" dxfId="3" stopIfTrue="0">
      <formula>0</formula>
    </cfRule>
    <cfRule type="cellIs" priority="4" operator="equal" dxfId="4" stopIfTrue="0">
      <formula>0</formula>
    </cfRule>
  </conditionalFormatting>
  <conditionalFormatting sqref="D13">
    <cfRule type="cellIs" priority="5" operator="greaterThan" dxfId="3" stopIfTrue="0">
      <formula>0</formula>
    </cfRule>
    <cfRule type="cellIs" priority="6" operator="equal" dxfId="4" stopIfTrue="0">
      <formula>0</formula>
    </cfRule>
  </conditionalFormatting>
  <conditionalFormatting sqref="D14">
    <cfRule type="cellIs" priority="7" operator="greaterThan" dxfId="3" stopIfTrue="0">
      <formula>0</formula>
    </cfRule>
    <cfRule type="cellIs" priority="8" operator="equal" dxfId="4" stopIfTrue="0">
      <formula>0</formula>
    </cfRule>
  </conditionalFormatting>
  <conditionalFormatting sqref="D15">
    <cfRule type="cellIs" priority="9" operator="greaterThan" dxfId="3" stopIfTrue="0">
      <formula>0</formula>
    </cfRule>
    <cfRule type="cellIs" priority="10" operator="equal" dxfId="4" stopIfTrue="0">
      <formula>0</formula>
    </cfRule>
  </conditionalFormatting>
  <conditionalFormatting sqref="D16">
    <cfRule type="cellIs" priority="11" operator="greaterThan" dxfId="3" stopIfTrue="0">
      <formula>0</formula>
    </cfRule>
    <cfRule type="cellIs" priority="12" operator="equal" dxfId="4" stopIfTrue="0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8" customHeight="1">
      <c r="A1" s="1" t="inlineStr">
        <is>
          <t>CSI MasterFormat Division Reference</t>
        </is>
      </c>
    </row>
    <row r="2">
      <c r="A2" s="5" t="inlineStr">
        <is>
          <t>Canonical list - do not edit. Feeds dropdowns and VLOOKUPs in Subcontractor Master List.</t>
        </is>
      </c>
    </row>
    <row r="3" ht="28" customHeight="1">
      <c r="A3" s="6" t="inlineStr">
        <is>
          <t>CSI Division</t>
        </is>
      </c>
      <c r="B3" s="6" t="inlineStr">
        <is>
          <t>Division Name</t>
        </is>
      </c>
    </row>
    <row r="4">
      <c r="A4" s="24" t="inlineStr">
        <is>
          <t>01</t>
        </is>
      </c>
      <c r="B4" s="25" t="inlineStr">
        <is>
          <t>General Requirements</t>
        </is>
      </c>
    </row>
    <row r="5">
      <c r="A5" s="24" t="inlineStr">
        <is>
          <t>02</t>
        </is>
      </c>
      <c r="B5" s="25" t="inlineStr">
        <is>
          <t>Existing Conditions</t>
        </is>
      </c>
    </row>
    <row r="6">
      <c r="A6" s="24" t="inlineStr">
        <is>
          <t>03</t>
        </is>
      </c>
      <c r="B6" s="25" t="inlineStr">
        <is>
          <t>Concrete</t>
        </is>
      </c>
    </row>
    <row r="7">
      <c r="A7" s="24" t="inlineStr">
        <is>
          <t>04</t>
        </is>
      </c>
      <c r="B7" s="25" t="inlineStr">
        <is>
          <t>Masonry</t>
        </is>
      </c>
    </row>
    <row r="8">
      <c r="A8" s="24" t="inlineStr">
        <is>
          <t>05</t>
        </is>
      </c>
      <c r="B8" s="25" t="inlineStr">
        <is>
          <t>Metals</t>
        </is>
      </c>
    </row>
    <row r="9">
      <c r="A9" s="24" t="inlineStr">
        <is>
          <t>06</t>
        </is>
      </c>
      <c r="B9" s="25" t="inlineStr">
        <is>
          <t>Wood, Plastics, and Composites</t>
        </is>
      </c>
    </row>
    <row r="10">
      <c r="A10" s="24" t="inlineStr">
        <is>
          <t>07</t>
        </is>
      </c>
      <c r="B10" s="25" t="inlineStr">
        <is>
          <t>Thermal and Moisture Protection</t>
        </is>
      </c>
    </row>
    <row r="11">
      <c r="A11" s="24" t="inlineStr">
        <is>
          <t>08</t>
        </is>
      </c>
      <c r="B11" s="25" t="inlineStr">
        <is>
          <t>Openings</t>
        </is>
      </c>
    </row>
    <row r="12">
      <c r="A12" s="24" t="inlineStr">
        <is>
          <t>09</t>
        </is>
      </c>
      <c r="B12" s="25" t="inlineStr">
        <is>
          <t>Finishes</t>
        </is>
      </c>
    </row>
    <row r="13">
      <c r="A13" s="24" t="inlineStr">
        <is>
          <t>10</t>
        </is>
      </c>
      <c r="B13" s="25" t="inlineStr">
        <is>
          <t>Specialties</t>
        </is>
      </c>
    </row>
    <row r="14">
      <c r="A14" s="24" t="inlineStr">
        <is>
          <t>11</t>
        </is>
      </c>
      <c r="B14" s="25" t="inlineStr">
        <is>
          <t>Equipment</t>
        </is>
      </c>
    </row>
    <row r="15">
      <c r="A15" s="24" t="inlineStr">
        <is>
          <t>12</t>
        </is>
      </c>
      <c r="B15" s="25" t="inlineStr">
        <is>
          <t>Furnishings</t>
        </is>
      </c>
    </row>
    <row r="16">
      <c r="A16" s="24" t="inlineStr">
        <is>
          <t>13</t>
        </is>
      </c>
      <c r="B16" s="25" t="inlineStr">
        <is>
          <t>Special Construction</t>
        </is>
      </c>
    </row>
    <row r="17">
      <c r="A17" s="24" t="inlineStr">
        <is>
          <t>14</t>
        </is>
      </c>
      <c r="B17" s="25" t="inlineStr">
        <is>
          <t>Conveying Equipment</t>
        </is>
      </c>
    </row>
    <row r="18">
      <c r="A18" s="24" t="inlineStr">
        <is>
          <t>21</t>
        </is>
      </c>
      <c r="B18" s="25" t="inlineStr">
        <is>
          <t>Fire Suppression</t>
        </is>
      </c>
    </row>
    <row r="19">
      <c r="A19" s="24" t="inlineStr">
        <is>
          <t>22</t>
        </is>
      </c>
      <c r="B19" s="25" t="inlineStr">
        <is>
          <t>Plumbing</t>
        </is>
      </c>
    </row>
    <row r="20">
      <c r="A20" s="24" t="inlineStr">
        <is>
          <t>23</t>
        </is>
      </c>
      <c r="B20" s="25" t="inlineStr">
        <is>
          <t>HVAC</t>
        </is>
      </c>
    </row>
    <row r="21">
      <c r="A21" s="24" t="inlineStr">
        <is>
          <t>25</t>
        </is>
      </c>
      <c r="B21" s="25" t="inlineStr">
        <is>
          <t>Integrated Automation</t>
        </is>
      </c>
    </row>
    <row r="22">
      <c r="A22" s="24" t="inlineStr">
        <is>
          <t>26</t>
        </is>
      </c>
      <c r="B22" s="25" t="inlineStr">
        <is>
          <t>Electrical</t>
        </is>
      </c>
    </row>
    <row r="23">
      <c r="A23" s="24" t="inlineStr">
        <is>
          <t>27</t>
        </is>
      </c>
      <c r="B23" s="25" t="inlineStr">
        <is>
          <t>Communications</t>
        </is>
      </c>
    </row>
    <row r="24">
      <c r="A24" s="24" t="inlineStr">
        <is>
          <t>28</t>
        </is>
      </c>
      <c r="B24" s="25" t="inlineStr">
        <is>
          <t>Electronic Safety and Security</t>
        </is>
      </c>
    </row>
    <row r="25">
      <c r="A25" s="24" t="inlineStr">
        <is>
          <t>31</t>
        </is>
      </c>
      <c r="B25" s="25" t="inlineStr">
        <is>
          <t>Earthwork</t>
        </is>
      </c>
    </row>
    <row r="26">
      <c r="A26" s="24" t="inlineStr">
        <is>
          <t>32</t>
        </is>
      </c>
      <c r="B26" s="25" t="inlineStr">
        <is>
          <t>Exterior Improvements</t>
        </is>
      </c>
    </row>
    <row r="27">
      <c r="A27" s="24" t="inlineStr">
        <is>
          <t>33</t>
        </is>
      </c>
      <c r="B27" s="25" t="inlineStr">
        <is>
          <t>Utilities</t>
        </is>
      </c>
    </row>
    <row r="28">
      <c r="A28" s="24" t="inlineStr">
        <is>
          <t>34</t>
        </is>
      </c>
      <c r="B28" s="25" t="inlineStr">
        <is>
          <t>Transportation</t>
        </is>
      </c>
    </row>
    <row r="29">
      <c r="A29" s="24" t="inlineStr">
        <is>
          <t>35</t>
        </is>
      </c>
      <c r="B29" s="25" t="inlineStr">
        <is>
          <t>Waterway and Marine Construction</t>
        </is>
      </c>
    </row>
    <row r="30">
      <c r="A30" s="24" t="inlineStr">
        <is>
          <t>40</t>
        </is>
      </c>
      <c r="B30" s="25" t="inlineStr">
        <is>
          <t>Process Interconnections</t>
        </is>
      </c>
    </row>
    <row r="31">
      <c r="A31" s="24" t="inlineStr">
        <is>
          <t>41</t>
        </is>
      </c>
      <c r="B31" s="25" t="inlineStr">
        <is>
          <t>Material Processing and Handling Equipment</t>
        </is>
      </c>
    </row>
    <row r="32">
      <c r="A32" s="24" t="inlineStr">
        <is>
          <t>42</t>
        </is>
      </c>
      <c r="B32" s="25" t="inlineStr">
        <is>
          <t>Process Heating, Cooling, and Drying Equipment</t>
        </is>
      </c>
    </row>
    <row r="33">
      <c r="A33" s="24" t="inlineStr">
        <is>
          <t>43</t>
        </is>
      </c>
      <c r="B33" s="25" t="inlineStr">
        <is>
          <t>Process Gas and Liquid Handling, Purification, and Storage Equipment</t>
        </is>
      </c>
    </row>
    <row r="34">
      <c r="A34" s="24" t="inlineStr">
        <is>
          <t>44</t>
        </is>
      </c>
      <c r="B34" s="25" t="inlineStr">
        <is>
          <t>Pollution and Waste Control Equipment</t>
        </is>
      </c>
    </row>
    <row r="35">
      <c r="A35" s="24" t="inlineStr">
        <is>
          <t>45</t>
        </is>
      </c>
      <c r="B35" s="25" t="inlineStr">
        <is>
          <t>Industry-Specific Manufacturing Equipment</t>
        </is>
      </c>
    </row>
    <row r="36">
      <c r="A36" s="24" t="inlineStr">
        <is>
          <t>46</t>
        </is>
      </c>
      <c r="B36" s="25" t="inlineStr">
        <is>
          <t>Water and Wastewater Equipment</t>
        </is>
      </c>
    </row>
    <row r="37">
      <c r="A37" s="24" t="inlineStr">
        <is>
          <t>48</t>
        </is>
      </c>
      <c r="B37" s="25" t="inlineStr">
        <is>
          <t>Electrical Power Generation</t>
        </is>
      </c>
    </row>
    <row r="38">
      <c r="A38" s="24" t="inlineStr">
        <is>
          <t>49</t>
        </is>
      </c>
      <c r="B38" s="25" t="inlineStr">
        <is>
          <t>Reserved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2026-05-14T10:24:08Z</dcterms:created>
  <dcterms:modified xmlns:dcterms="http://purl.org/dc/terms/" xmlns:xsi="http://www.w3.org/2001/XMLSchema-instance" xsi:type="dcterms:W3CDTF">2026-05-14T10:24:08Z</dcterms:modified>
</cp:coreProperties>
</file>